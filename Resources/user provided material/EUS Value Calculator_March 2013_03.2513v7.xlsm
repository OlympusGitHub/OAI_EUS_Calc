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date1904="1" codeName="ThisWorkbook"/>
  <bookViews>
    <workbookView xWindow="-855" yWindow="225" windowWidth="12885" windowHeight="5910" tabRatio="761"/>
  </bookViews>
  <sheets>
    <sheet name="Cover Letter" sheetId="16" r:id="rId1"/>
    <sheet name="Introduction" sheetId="17" r:id="rId2"/>
    <sheet name="Input" sheetId="4" r:id="rId3"/>
    <sheet name="Results" sheetId="5" r:id="rId4"/>
    <sheet name="Assumptions" sheetId="10" r:id="rId5"/>
    <sheet name="Reimbursements" sheetId="12" r:id="rId6"/>
  </sheets>
  <externalReferences>
    <externalReference r:id="rId7"/>
    <externalReference r:id="rId8"/>
  </externalReferences>
  <definedNames>
    <definedName name="ALDAHOL">[1]APPENDICES!$E$24</definedName>
    <definedName name="CAP_COST">'[1]TCO CALC'!$D$9</definedName>
    <definedName name="CIDEX_OPA">[1]APPENDICES!$E$21</definedName>
    <definedName name="COLON_LABOR">'[1]TCO CALC'!$D$15</definedName>
    <definedName name="COLON_REIMBURSE">'[1]TCO CALC'!$D$21</definedName>
    <definedName name="COLON_SUPPLY">'[1]TCO CALC'!$G$15</definedName>
    <definedName name="COLON_VOLUME">'[1]TCO CALC'!$G$10</definedName>
    <definedName name="COMP_SERVICE">[1]APPENDICES!$E$11</definedName>
    <definedName name="CONTRACT_SAVE">[1]APPENDICES!$G$39</definedName>
    <definedName name="COURIER">[1]APPENDICES!$G$35</definedName>
    <definedName name="CYCLE_COST">'[1]TCO CALC'!$D$26</definedName>
    <definedName name="DATE">'[1]TCO CALC'!$D$6</definedName>
    <definedName name="DISC_FACTOR">'[1]TCO CALC'!$G$25</definedName>
    <definedName name="DOWNTIME">[1]APPENDICES!$E$12</definedName>
    <definedName name="EGD_LABOR">'[1]TCO CALC'!$D$14</definedName>
    <definedName name="EGD_REIMBURSE">'[1]TCO CALC'!$D$20</definedName>
    <definedName name="EGD_SUPPLY">'[1]TCO CALC'!$G$14</definedName>
    <definedName name="EGD_VOLUME">'[1]TCO CALC'!$G$9</definedName>
    <definedName name="ELEX_VAL">[2]APPENDICES!$D$10</definedName>
    <definedName name="ESS_VALUE">'[1]INTERNAL VALUE ASSUMPTIONS'!$B$8</definedName>
    <definedName name="ESS_VISITS">[1]APPENDICES!$G$36</definedName>
    <definedName name="FACILITY_NAME">'[1]TCO CALC'!$D$5</definedName>
    <definedName name="FEDEX_COST">'[1]INTERNAL VALUE ASSUMPTIONS'!$B$7</definedName>
    <definedName name="GLUT_CYCLE">[1]APPENDICES!$E$18</definedName>
    <definedName name="LABOR_COST" localSheetId="1">'[1]APPENDIX 1 MODEL ASSUMPTIONS'!#REF!</definedName>
    <definedName name="LABOR_COST" localSheetId="5">'[1]APPENDIX 1 MODEL ASSUMPTIONS'!#REF!</definedName>
    <definedName name="LABOR_COST">'[1]APPENDIX 1 MODEL ASSUMPTIONS'!#REF!</definedName>
    <definedName name="LEASE_PAYMENT_MONTH">'[1]TCO CALC'!$D$11</definedName>
    <definedName name="NUM_ELEX">[1]APPENDICES!$G$38</definedName>
    <definedName name="NUM_SCOPES">[1]APPENDICES!$G$37</definedName>
    <definedName name="OLY_PROFIT" localSheetId="1">'[1]TCO CALC'!#REF!</definedName>
    <definedName name="OLY_PROFIT" localSheetId="5">'[1]TCO CALC'!#REF!</definedName>
    <definedName name="OLY_PROFIT">'[1]TCO CALC'!#REF!</definedName>
    <definedName name="OLYMPUS_VALUE">'[1]TCO CALC'!$F$42</definedName>
    <definedName name="OSL">[1]APPENDICES!$G$34</definedName>
    <definedName name="OSL_VAL">'[1]INTERNAL VALUE ASSUMPTIONS'!$B$6</definedName>
    <definedName name="OTHER_LABOR">'[1]TCO CALC'!$D$16</definedName>
    <definedName name="OTHER_REIMBURSE">'[1]TCO CALC'!$D$22</definedName>
    <definedName name="OTHER_SUPPLY">'[1]TCO CALC'!$G$16</definedName>
    <definedName name="OTHER_VOLUME">'[1]TCO CALC'!$G$11</definedName>
    <definedName name="PA_CYCLE" localSheetId="1">#REF!</definedName>
    <definedName name="PA_CYCLE" localSheetId="5">#REF!</definedName>
    <definedName name="PA_CYCLE">#REF!</definedName>
    <definedName name="PEROX_CYCLE" localSheetId="1">#REF!</definedName>
    <definedName name="PEROX_CYCLE" localSheetId="5">#REF!</definedName>
    <definedName name="PEROX_CYCLE">#REF!</definedName>
    <definedName name="_xlnm.Print_Area" localSheetId="4">Assumptions!$B$1:$M$41</definedName>
    <definedName name="_xlnm.Print_Area" localSheetId="0">'Cover Letter'!$A$1:$J$47</definedName>
    <definedName name="_xlnm.Print_Area" localSheetId="2">Input!$A$1:$K$68</definedName>
    <definedName name="_xlnm.Print_Area" localSheetId="1">Introduction!$A$1:$J$44</definedName>
    <definedName name="_xlnm.Print_Area" localSheetId="5">Reimbursements!$B$1:$J$38</definedName>
    <definedName name="_xlnm.Print_Area" localSheetId="3">Results!$B$1:$I$81</definedName>
    <definedName name="PROFIT">'[1]TCO CALC'!$F$46</definedName>
    <definedName name="SCOPE_VAL">[2]APPENDICES!$D$9</definedName>
    <definedName name="SERVICE_CONTRACT">'[1]TCO CALC'!$G$20</definedName>
    <definedName name="SERVICE_TERM">'[1]TCO CALC'!$G$21</definedName>
    <definedName name="SINGLE_SHOT_PAA">[1]APPENDICES!$E$19</definedName>
    <definedName name="SINGLE_SHOT_RAP">[1]APPENDICES!$E$20</definedName>
    <definedName name="ss" localSheetId="1">'[1]APPENDIX 1 MODEL ASSUMPTIONS'!#REF!</definedName>
    <definedName name="ss">'[1]APPENDIX 1 MODEL ASSUMPTIONS'!#REF!</definedName>
    <definedName name="STERIS_DRY">[1]APPENDICES!$E$23</definedName>
    <definedName name="STERIS_PAA">[1]APPENDICES!$E$22</definedName>
    <definedName name="SUPPLY_COST" localSheetId="1">'[1]APPENDIX 1 MODEL ASSUMPTIONS'!#REF!</definedName>
    <definedName name="SUPPLY_COST" localSheetId="5">'[1]APPENDIX 1 MODEL ASSUMPTIONS'!#REF!</definedName>
    <definedName name="SUPPLY_COST">'[1]APPENDIX 1 MODEL ASSUMPTIONS'!#REF!</definedName>
    <definedName name="TCO">'[1]TCO CALC'!$F$43</definedName>
    <definedName name="TERM_YRS">'[1]TCO CALC'!$D$10</definedName>
    <definedName name="TOTAL_OLY_VAL">[1]APPENDICES!$H$43</definedName>
    <definedName name="TOTAL_PROCEDURE">'[1]TCO CALC'!$F$33</definedName>
    <definedName name="TOTAL_REVENUE">'[1]TCO CALC'!$F$34</definedName>
  </definedNames>
  <calcPr calcId="125725"/>
</workbook>
</file>

<file path=xl/calcChain.xml><?xml version="1.0" encoding="utf-8"?>
<calcChain xmlns="http://schemas.openxmlformats.org/spreadsheetml/2006/main">
  <c r="G37" i="4"/>
  <c r="G27"/>
  <c r="H57"/>
  <c r="D12" i="5" s="1"/>
  <c r="H56" i="4"/>
  <c r="D11" i="5" s="1"/>
  <c r="H55" i="4"/>
  <c r="D10" i="5" s="1"/>
  <c r="H54" i="4"/>
  <c r="D9" i="5" s="1"/>
  <c r="H53" i="4"/>
  <c r="D8" i="5" s="1"/>
  <c r="H52" i="4"/>
  <c r="D7" i="5" s="1"/>
  <c r="C8"/>
  <c r="C9"/>
  <c r="C10"/>
  <c r="C11"/>
  <c r="C12"/>
  <c r="C13"/>
  <c r="C7"/>
  <c r="D13"/>
  <c r="G29" i="4" l="1"/>
  <c r="G41"/>
  <c r="G39"/>
  <c r="I58" i="5" l="1"/>
  <c r="G58"/>
  <c r="E58"/>
  <c r="E33"/>
  <c r="G35"/>
  <c r="I35"/>
  <c r="I60"/>
  <c r="G60"/>
  <c r="E60"/>
  <c r="E35"/>
  <c r="F14"/>
  <c r="E24"/>
  <c r="G24" s="1"/>
  <c r="E49"/>
  <c r="G38" i="4"/>
  <c r="G50" i="5" l="1"/>
  <c r="I24"/>
  <c r="G25"/>
  <c r="G9" s="1"/>
  <c r="I49"/>
  <c r="G49"/>
  <c r="E50"/>
  <c r="E25"/>
  <c r="G7" l="1"/>
  <c r="E26"/>
  <c r="I25"/>
  <c r="G11" s="1"/>
  <c r="I50"/>
  <c r="E61"/>
  <c r="E59"/>
  <c r="E28"/>
  <c r="E37"/>
  <c r="E27"/>
  <c r="E62"/>
  <c r="E53"/>
  <c r="E34"/>
  <c r="E36"/>
  <c r="E52"/>
  <c r="E51"/>
  <c r="G52"/>
  <c r="G34"/>
  <c r="G28"/>
  <c r="G36"/>
  <c r="G53"/>
  <c r="G27"/>
  <c r="G51"/>
  <c r="G26"/>
  <c r="G59"/>
  <c r="G62"/>
  <c r="G37"/>
  <c r="G61"/>
  <c r="E8" l="1"/>
  <c r="E7"/>
  <c r="E11"/>
  <c r="E12"/>
  <c r="E10"/>
  <c r="E9"/>
  <c r="E13"/>
  <c r="G63"/>
  <c r="G38"/>
  <c r="E63"/>
  <c r="I59"/>
  <c r="I27"/>
  <c r="I37"/>
  <c r="I52"/>
  <c r="I53"/>
  <c r="I51"/>
  <c r="I26"/>
  <c r="I61"/>
  <c r="I62"/>
  <c r="I34"/>
  <c r="I36"/>
  <c r="I28"/>
  <c r="E38"/>
  <c r="H11" l="1"/>
  <c r="I54" s="1"/>
  <c r="I55" s="1"/>
  <c r="H7"/>
  <c r="H9"/>
  <c r="I38"/>
  <c r="I63"/>
  <c r="I11" l="1"/>
  <c r="I29"/>
  <c r="I30" s="1"/>
  <c r="I39" s="1"/>
  <c r="E54"/>
  <c r="E55" s="1"/>
  <c r="E64" s="1"/>
  <c r="I7"/>
  <c r="E29"/>
  <c r="E30" s="1"/>
  <c r="E39" s="1"/>
  <c r="G54"/>
  <c r="G55" s="1"/>
  <c r="G64" s="1"/>
  <c r="G29"/>
  <c r="G30" s="1"/>
  <c r="G39" s="1"/>
  <c r="I9"/>
  <c r="I64"/>
  <c r="G40" l="1"/>
  <c r="G65"/>
  <c r="I65"/>
  <c r="I40"/>
</calcChain>
</file>

<file path=xl/comments1.xml><?xml version="1.0" encoding="utf-8"?>
<comments xmlns="http://schemas.openxmlformats.org/spreadsheetml/2006/main">
  <authors>
    <author>Swarna Desai User</author>
    <author>Samantha Zeigler</author>
  </authors>
  <commentList>
    <comment ref="H19" authorId="0">
      <text>
        <r>
          <rPr>
            <sz val="9"/>
            <color indexed="81"/>
            <rFont val="Verdana"/>
            <family val="2"/>
          </rPr>
          <t>This value should be the average number of cases per week over the course of the year. You may begin with a fewer number of cases, but your caseload will ramp up as the year goes on.</t>
        </r>
      </text>
    </comment>
    <comment ref="H27" authorId="0">
      <text>
        <r>
          <rPr>
            <sz val="9"/>
            <color indexed="81"/>
            <rFont val="Verdana"/>
            <family val="2"/>
          </rPr>
          <t>Nursing labor costs are based on Olympus 2013 Benchmarking Data of an average 3 hour total length of stay for EUS cases, and a 1:1 RN to patient ratio to compensate for other personnel costs (scheduler, tech support, etc.) at a rate of $35/hour. If physician is hospital employed, this figure also includes 1 MD hour/case at a rate of $200/hour.</t>
        </r>
      </text>
    </comment>
    <comment ref="H28" authorId="1">
      <text>
        <r>
          <rPr>
            <sz val="9"/>
            <color indexed="81"/>
            <rFont val="Verdana"/>
            <family val="2"/>
          </rPr>
          <t>Request a service quotation from service administration.</t>
        </r>
      </text>
    </comment>
    <comment ref="H29" authorId="0">
      <text>
        <r>
          <rPr>
            <sz val="9"/>
            <color indexed="81"/>
            <rFont val="Verdana"/>
            <family val="2"/>
          </rPr>
          <t xml:space="preserve">Variable costs per patient is based on FNA usage in approximately 35% of all cases (Is EUS a financially viable for community based hospital? Gastrointestinal Endoscopy, Volume 69, Issue 2, 2009: Pages S253-S254R. Patel, C. O'loughlin, N. Narahari, A. Leonard, T. Handzel, H. Patterson), and also includes the cost of additional devices, sedation (medication and IV), endoscope reprocessing and PPE.
</t>
        </r>
      </text>
    </comment>
    <comment ref="H30" authorId="0">
      <text>
        <r>
          <rPr>
            <sz val="9"/>
            <color indexed="81"/>
            <rFont val="Verdana"/>
            <family val="2"/>
          </rPr>
          <t>This field is intentionally left blank as incremental costs associated with introducing EUS to a facility are captured elsewhere within this Tool. Use this field if a new room is being built for EUS procedures, or if you would like to capture additional overhead costs.</t>
        </r>
      </text>
    </comment>
    <comment ref="H35" authorId="1">
      <text>
        <r>
          <rPr>
            <sz val="10"/>
            <color indexed="81"/>
            <rFont val="Tahoma"/>
            <family val="2"/>
          </rPr>
          <t>Enter payor mix</t>
        </r>
        <r>
          <rPr>
            <sz val="8"/>
            <color indexed="81"/>
            <rFont val="Tahoma"/>
            <family val="2"/>
          </rPr>
          <t xml:space="preserve">
</t>
        </r>
      </text>
    </comment>
    <comment ref="H36" authorId="1">
      <text>
        <r>
          <rPr>
            <sz val="10"/>
            <color indexed="81"/>
            <rFont val="Tahoma"/>
            <family val="2"/>
          </rPr>
          <t>Enter Payor Mix</t>
        </r>
        <r>
          <rPr>
            <sz val="8"/>
            <color indexed="81"/>
            <rFont val="Tahoma"/>
            <family val="2"/>
          </rPr>
          <t xml:space="preserve">
</t>
        </r>
      </text>
    </comment>
    <comment ref="H37" authorId="0">
      <text>
        <r>
          <rPr>
            <sz val="9"/>
            <color indexed="81"/>
            <rFont val="Verdana"/>
            <family val="2"/>
          </rPr>
          <t>Estimated using 2013 Average HOPPS payment for CPT 43242. NOTE: Reduce reimbursement input if physician practice patterns will not typically include fine needle aspiration.  See reimbursement tab for details.  Source: 2013 Medicare Hospital Outpatient Final Rule</t>
        </r>
      </text>
    </comment>
    <comment ref="H38" authorId="0">
      <text>
        <r>
          <rPr>
            <sz val="9"/>
            <color indexed="81"/>
            <rFont val="Verdana"/>
            <family val="2"/>
          </rPr>
          <t>Non-Medicare Facility Fee per case is an approximation assuming Medicare Facility Fee per case increased  by 10 percent. This amount based on 2013 Medicare Fee Schedule for CPT 43242 ($927*1.1=$1020.70). See below for details if using "other" CPT code.</t>
        </r>
      </text>
    </comment>
    <comment ref="H39" authorId="0">
      <text>
        <r>
          <rPr>
            <sz val="9"/>
            <color indexed="81"/>
            <rFont val="Verdana"/>
            <family val="2"/>
          </rPr>
          <t>Only applicable if the EUS physician is hospital employed. Adjust with weighted averages as needed. Other CPT codes for reference: CPT 43232 = $264, CPT 43238 = $295. See reimbursement tab for details. Source: 2013 Medicare Physician Final Rule.
Weighted Average:
Medicare Fee Schedule based on an average of 65% of lowest physician CPT (264*.65=171.60) and 35% of the highest physician CPT code (428*.35=149.80).  Would equal $321.40</t>
        </r>
      </text>
    </comment>
    <comment ref="H40" authorId="0">
      <text>
        <r>
          <rPr>
            <sz val="9"/>
            <color indexed="81"/>
            <rFont val="Verdana"/>
            <family val="2"/>
          </rPr>
          <t>Secondary providers include anesthesiologists, CRNAs, etc...</t>
        </r>
      </text>
    </comment>
    <comment ref="H41" authorId="0">
      <text>
        <r>
          <rPr>
            <sz val="9"/>
            <color indexed="81"/>
            <rFont val="Verdana"/>
            <family val="2"/>
          </rPr>
          <t>Average Medicare Reimbursement for anesthesia during endoscopy is based on CPT 00801 (anesthesia code): 5 Base Units and CPT 00810 (anesthesia for lower intestinal endoscopic procedures, endoscope introduced distal to duodenum): 5 Base Units and $21.92 2012 National anesthesia conversion factor = $110 payment. Only applicable if a secondary provider delivers anesthesia during EUS.  Source: 2013 Medicare Physician Final Rule.</t>
        </r>
      </text>
    </comment>
    <comment ref="D50" authorId="0">
      <text>
        <r>
          <rPr>
            <sz val="9"/>
            <color indexed="81"/>
            <rFont val="Verdana"/>
            <family val="2"/>
          </rPr>
          <t>Source: Parada KS, Peng R, Erickson RA, Hawes R, Sahai AV, Ziogas A, Chang KJ: A Resource Utilization Projection Study of Endoscopic Ultrasound. Gastrointestinal Endoscopy 2002; 55(3):328-334. No update found.</t>
        </r>
      </text>
    </comment>
    <comment ref="I52" authorId="0">
      <text>
        <r>
          <rPr>
            <sz val="9"/>
            <color indexed="81"/>
            <rFont val="Verdana"/>
            <family val="2"/>
          </rPr>
          <t>Average Medicare Reimbursement for Pathology is estimated based on the 2013 Medicare HOPPS Final Rule payment w/o geographic adjustment for APC343 (CPT 88305-26 Level IV surgical pathology): $25.  Assuming that the pathologist is a hospital employee, the most recent Medicare physician fee schedule for CPT 88305-26 (pathologist's interpretation): $24.  Exclude this amount if the pathologist is not a hospital employee. It is assumed one case will result in two biopsies:  ($25 + $24) x 2 = $199. Source: 2013 Medicare Physician and Hospital Outpatient Final Rules.</t>
        </r>
      </text>
    </comment>
    <comment ref="I53" authorId="0">
      <text>
        <r>
          <rPr>
            <sz val="9"/>
            <color indexed="81"/>
            <rFont val="Verdana"/>
            <family val="2"/>
          </rPr>
          <t xml:space="preserve">Average Medicare reimbursement for Surgery is based on the 2013 Medicare MS-DRG 328 (Stomach, Esophageal and Duodenal Proc w/o CC/MCC); Weight 1.3848, multiplied by 2013 National Inpatient Prospective Payment System Average Base rate excluding capital add-on ($5,209.74) = Payment $7,709. Source: 2013 Medicare Acute Inpatient PPS Final Rule.  </t>
        </r>
      </text>
    </comment>
    <comment ref="I54" authorId="0">
      <text>
        <r>
          <rPr>
            <sz val="9"/>
            <color indexed="81"/>
            <rFont val="Verdana"/>
            <family val="2"/>
          </rPr>
          <t>National average (wage index greater than one) of the most common GI DRG rates is calculated by using the national adjusted full update standardized labor, non-labor and capital amounts. Source: MM8041 Revised January 4, 2013. Federal Register. Customers are encouraged to enter site-specific estimates based on claims data.</t>
        </r>
      </text>
    </comment>
    <comment ref="I55" authorId="0">
      <text>
        <r>
          <rPr>
            <sz val="9"/>
            <color indexed="81"/>
            <rFont val="Verdana"/>
            <family val="2"/>
          </rPr>
          <t xml:space="preserve">Average Medicare Inpatient Reimbursement for Oncology is estimated based on the 2013 Medicare MS-DRG 484 (Chemotherapy w/o acute leukemia as secondary diagnosis w/o CC/MCC): Weight (1.9939) multiplied by 2013 National Inpatient Prospective Payment System Average Base rate excluding capital add-on ($5,209.74) = Payment $10,388. Source: 2013 Medicare Acute Inpatient PPS Final Rule. </t>
        </r>
      </text>
    </comment>
    <comment ref="I56" authorId="0">
      <text>
        <r>
          <rPr>
            <sz val="9"/>
            <color indexed="81"/>
            <rFont val="Verdana"/>
            <family val="2"/>
          </rPr>
          <t xml:space="preserve">Average Medicare Reimbursement for Radiology is estimated based on the average APC 276 (Level I Digestive Radiology) payment - $81.  Source: 2013 Medicare Hospital Outpatient Final Rule
</t>
        </r>
      </text>
    </comment>
    <comment ref="I57" authorId="0">
      <text>
        <r>
          <rPr>
            <sz val="9"/>
            <color indexed="81"/>
            <rFont val="Verdana"/>
            <family val="2"/>
          </rPr>
          <t xml:space="preserve">Average Medicare Reimbursement for Anesthesia is estimated based on the 2013 Medicare Physician fee schedule for CPT 00790 (anesthesia for intraperitoneal procedures in upper abdomen incl. laparoscopy). 7 base units multiplied by 2013 National anesthesia conversion factor of $21.52 = Payment of $154.  Source: 2013 Medicare Physician Final Rule
</t>
        </r>
      </text>
    </comment>
  </commentList>
</comments>
</file>

<file path=xl/comments2.xml><?xml version="1.0" encoding="utf-8"?>
<comments xmlns="http://schemas.openxmlformats.org/spreadsheetml/2006/main">
  <authors>
    <author>Swarna Desai User</author>
  </authors>
  <commentList>
    <comment ref="B33" authorId="0">
      <text>
        <r>
          <rPr>
            <sz val="9"/>
            <color indexed="81"/>
            <rFont val="Verdana"/>
            <family val="2"/>
          </rPr>
          <t>This model does not take depreciation into account</t>
        </r>
      </text>
    </comment>
    <comment ref="B34" authorId="0">
      <text>
        <r>
          <rPr>
            <sz val="9"/>
            <color indexed="81"/>
            <rFont val="Verdana"/>
            <family val="2"/>
          </rPr>
          <t>Includes a 3 percent cost-of-living increase year-over-year</t>
        </r>
      </text>
    </comment>
    <comment ref="B59" authorId="0">
      <text>
        <r>
          <rPr>
            <sz val="9"/>
            <color indexed="81"/>
            <rFont val="Verdana"/>
            <family val="2"/>
          </rPr>
          <t>Includes a 3 percent cost-of-living increase year-over-year</t>
        </r>
      </text>
    </comment>
  </commentList>
</comments>
</file>

<file path=xl/sharedStrings.xml><?xml version="1.0" encoding="utf-8"?>
<sst xmlns="http://schemas.openxmlformats.org/spreadsheetml/2006/main" count="224" uniqueCount="159">
  <si>
    <t>Annual Service Cost</t>
  </si>
  <si>
    <t>$296 (nursing + doc)</t>
  </si>
  <si>
    <t>Code Description</t>
  </si>
  <si>
    <t>Upper Gastrointestinal Procedures</t>
  </si>
  <si>
    <t>MD 
Payment 
In-Facility</t>
  </si>
  <si>
    <t>Hospital 
Outpatient Payment</t>
  </si>
  <si>
    <t>ASC 
Facility Payment</t>
  </si>
  <si>
    <t>Medicare Physician, Hospital Outpatient, and ASC Payments</t>
  </si>
  <si>
    <t>Lower Gastrointestinal Procedures</t>
  </si>
  <si>
    <t>Sigmoidoscopy, flexible; with transendoscopic ultrasound guided intramural or transmural fine needle aspiration/biopsy(s)</t>
  </si>
  <si>
    <t>Colonoscopy, flexible; with transendoscopic ultrasound guided intramural or transmural fine needle aspiration/biopsy(s)</t>
  </si>
  <si>
    <t xml:space="preserve">Medicare Hospital Inpatient Payment
</t>
  </si>
  <si>
    <t>MD 
Payment 
In-Office</t>
  </si>
  <si>
    <t>Inpatient payment information not shown because the transendoscopic ultrasound-guided fine needle aspiration procedure will rarely, if ever, be the primary reason for a hospital admission.</t>
  </si>
  <si>
    <t xml:space="preserve">Variable costs per patient is based on FNA usage in approximately 35% of all cases (Is EUS a financially viable for community based hospital? Gastrointestinal Endoscopy, Volume 69, Issue 2, 2009: Pages S253-S254R. Patel, C. O'loughlin, N. Narahari, A. Leonard, T. Handzel, H. Patterson), and also includes the cost of additional devices, sedation (medication and IV), endoscope reprocessing and PPE. </t>
  </si>
  <si>
    <t>Revenue</t>
  </si>
  <si>
    <t>Total Downstream GROWTH Revenue</t>
  </si>
  <si>
    <t xml:space="preserve">Downstream Operating Margin </t>
  </si>
  <si>
    <t xml:space="preserve">Annual Operating Margin </t>
  </si>
  <si>
    <t>Net Operating Margin</t>
  </si>
  <si>
    <t xml:space="preserve">Net Operating Margin </t>
  </si>
  <si>
    <t xml:space="preserve">Total Downstream Operating Margin </t>
  </si>
  <si>
    <t>Percentage of cases reimbursed through non-Medicare payers</t>
  </si>
  <si>
    <t xml:space="preserve">Medicare Facility Fee per case </t>
  </si>
  <si>
    <t>Upper gastrointestinal endoscopy with transendoscopic ultrasound-guided intramural or transmural fine needle aspiration/biopsy(s) (includes endoscopic ultrasound examination of the esophagus. Stomach, and either the duodenum and/or jejunum as appropriate)</t>
  </si>
  <si>
    <t>Endoscopy Account Manager</t>
  </si>
  <si>
    <t>Olympus EUS Value Calculator</t>
  </si>
  <si>
    <t>Assumptions - EUS Value Calculator</t>
  </si>
  <si>
    <t>Price/Per</t>
  </si>
  <si>
    <t>q</t>
  </si>
  <si>
    <t>Best Regards</t>
  </si>
  <si>
    <t>[Enter Name]</t>
  </si>
  <si>
    <r>
      <t xml:space="preserve">CPT </t>
    </r>
    <r>
      <rPr>
        <b/>
        <sz val="10"/>
        <rFont val="Calibri"/>
        <family val="2"/>
      </rPr>
      <t>®</t>
    </r>
    <r>
      <rPr>
        <b/>
        <sz val="10"/>
        <rFont val="Arial"/>
        <family val="2"/>
      </rPr>
      <t xml:space="preserve">
Code</t>
    </r>
  </si>
  <si>
    <r>
      <t>Physician</t>
    </r>
    <r>
      <rPr>
        <vertAlign val="superscript"/>
        <sz val="10"/>
        <rFont val="Arial"/>
        <family val="2"/>
      </rPr>
      <t>1</t>
    </r>
  </si>
  <si>
    <r>
      <t>Facility</t>
    </r>
    <r>
      <rPr>
        <vertAlign val="superscript"/>
        <sz val="10"/>
        <rFont val="Arial"/>
        <family val="2"/>
      </rPr>
      <t>1</t>
    </r>
  </si>
  <si>
    <t xml:space="preserve">The EUS Calculator is a work tool and it is not a guaranty or representation of results.  Olympus and its employees, consultants, agents, and representatives (collectively, “Olympus”) cannot and do not represent or warrant that you will actually receive the downstream revenue indicated by the EUS Value Calculator.  This model is presented solely as an example based on a number of assumptions, and on a cash basis, for the purpose of demonstrating the potential for creating incremental downstream revenue created by the use of the Olympus Endoscopic Ultrasound Portfolio, which may be a key factor in assessing the value of this technology for your organization.  The model does not utilize accrual or time value methodologies, nor does it take into account depreciation or tax impact (income tax, property tax, sales and use tax), all of which might affect the potential downstream revenue associated with the use of the Olympus Endoscopic Ultrasound products.  Additionally, pricing is provided solely as an example and will vary based on equipment configuration and the list prices and rates in effect at the time of your acquisition.  Actual Medicare reimbursement payments may vary depending on the patient’s insurance and the institution’s specific contractual agreements, and this calculator does not by any means provide any advice, guaranties or representations that the Olympus Endoscopic Ultrasound products (or any other product offered by Olympus) will be entitled to reimbursement (Medicare, Medicaid or otherwise), nor does it suggest how the Olympus Endoscopic Ultrasound products should be reflected on applicable cost reports.
Olympus disclaims all warranties, express or implied, of any kind whatsoever, including, without limitation, any warranties as to merchantability or fitness for a particular purpose.  Under no circumstances shall Olympus be liable for any costs, expenses, losses, claims, liabilities, or other damages (whether direct, indirect, special, incidental, consequential, or otherwise) that may arise from or be incurred in connection with this EUS Value Calculator or any use thereof.
Your Olympus Medical Products Representative and Olympus Financial Services Representative are both on call to provide you with a proposal after discussing your specific needs.
</t>
  </si>
  <si>
    <t>If your customized analysis used any of the original assumptions from the Input tab, please see below for a reference of how the number was generated.</t>
  </si>
  <si>
    <t>Surgery Reimbursement</t>
  </si>
  <si>
    <t>Admissions Reimbursement</t>
  </si>
  <si>
    <t>Oncology Reimbursement</t>
  </si>
  <si>
    <t>Radiology Reimbursement</t>
  </si>
  <si>
    <t>Anesthesia - Non Endoscopy Reimbursement</t>
  </si>
  <si>
    <t xml:space="preserve">ASSUMPTION </t>
  </si>
  <si>
    <t>Anesthesia Fee per case</t>
  </si>
  <si>
    <t>Pathology Reimbursement</t>
  </si>
  <si>
    <t>Other fixed costs</t>
  </si>
  <si>
    <t>Total Anesthesia Fees</t>
  </si>
  <si>
    <t>Add'l Equipment</t>
  </si>
  <si>
    <t>SOURCE</t>
  </si>
  <si>
    <t>QUESTION</t>
  </si>
  <si>
    <t>(does not include modifiers)</t>
  </si>
  <si>
    <t>Physician Fee per case</t>
  </si>
  <si>
    <t>Service &amp; Maintenance</t>
  </si>
  <si>
    <t>Year 1</t>
  </si>
  <si>
    <t>Year 2</t>
  </si>
  <si>
    <t>Year 3</t>
  </si>
  <si>
    <t>Endoscopes</t>
  </si>
  <si>
    <t>Number of working days per year</t>
  </si>
  <si>
    <t>Anticipated annual increase in EUS caseload</t>
  </si>
  <si>
    <t>Total Facility Fees (without modifiers)</t>
  </si>
  <si>
    <t>DISCLAIMER:</t>
  </si>
  <si>
    <t>SSD-Alpha 5</t>
  </si>
  <si>
    <t>Medicare Facility Fee per case (does not include modifiers)</t>
  </si>
  <si>
    <t>GF-UC140P-AL5</t>
  </si>
  <si>
    <t>of Downstream Reimbursement is calculated as Downstream Revenue</t>
  </si>
  <si>
    <t>Net profit margin generated from downstream cases</t>
  </si>
  <si>
    <t>Labor</t>
  </si>
  <si>
    <t>Reimbursement</t>
  </si>
  <si>
    <t>Total Cost</t>
  </si>
  <si>
    <t>Expenditure</t>
  </si>
  <si>
    <t>Other variable costs</t>
  </si>
  <si>
    <t>Variable costs per patient</t>
  </si>
  <si>
    <t>GF-UE160-AL5</t>
  </si>
  <si>
    <t>GF-UCT140-AL5</t>
  </si>
  <si>
    <t>Pathology</t>
  </si>
  <si>
    <t>Surgery</t>
  </si>
  <si>
    <t>Admissions</t>
  </si>
  <si>
    <t>Oncology</t>
  </si>
  <si>
    <t>Radiology</t>
  </si>
  <si>
    <t>Anesthesia - Non Endoscopy</t>
  </si>
  <si>
    <t>Will a secondary provider deliver anesthesia during EUS cases?</t>
  </si>
  <si>
    <t>Operating Costs</t>
  </si>
  <si>
    <t>Number of patients per year</t>
  </si>
  <si>
    <t>Equipment</t>
  </si>
  <si>
    <t>Other</t>
  </si>
  <si>
    <t>Department</t>
  </si>
  <si>
    <t>Average Medicare Reimbursement</t>
  </si>
  <si>
    <t>EU-ME1</t>
  </si>
  <si>
    <t xml:space="preserve">Physician Fee per case </t>
  </si>
  <si>
    <t>Labor costs per case</t>
  </si>
  <si>
    <t>Yes</t>
  </si>
  <si>
    <t>?</t>
  </si>
  <si>
    <t xml:space="preserve">Endoscopic ultrasound (EUS) is widely available in academic facilities, but not well established in the community hospital setting. While the initial cost of capital equipment and reimbursement concerns have been a deterrent for community hospitals considering an EUS program, it is important to note that the financial benefits of EUS extend beyond the GI department alone. The EUS program can often be a powerful downstream revenue generator for a hospital, with the EUS case often serving as the patient's first point of entry into the hospital system. A significant percentage of EUS patients may require additional services from the facility, creating an indirect revenue stream that originated within the GI department but benefits the facility as a whole. </t>
  </si>
  <si>
    <t>About EUS</t>
  </si>
  <si>
    <t xml:space="preserve">Percent of EUS Cases Utilizing Services of Other Departments  </t>
  </si>
  <si>
    <t>EUS Cases Utilizing Services of Other Departments</t>
  </si>
  <si>
    <t>Processors</t>
  </si>
  <si>
    <t>Quantity</t>
  </si>
  <si>
    <t>Total Physician Fees</t>
  </si>
  <si>
    <t>Expected Case Volume</t>
  </si>
  <si>
    <t>Downstream Revenue Model</t>
  </si>
  <si>
    <t>Number of patients per week</t>
  </si>
  <si>
    <t>Total number of EUS patients anticipated per week</t>
  </si>
  <si>
    <t>Additional fixed costs per patient</t>
  </si>
  <si>
    <t>Percentage of cases reimbursed through Medicare</t>
  </si>
  <si>
    <t>Non-Medicare Facility Fee per case</t>
  </si>
  <si>
    <t>Anesthesia reimbursement per case (Facility Fee)</t>
  </si>
  <si>
    <t xml:space="preserve">Downstream, or indirect, revenue is revenue that may be generated when a patient requires additional hospital services beyond their initial presentation into the healthcare system. In this case, the EUS procedure is considered the patient’s first point of entry into the hospital. A significant percentage of EUS patients may likely require additional services from the facility, creating an indirect revenue stream that originated within the GI department but benefits the facility as a whole. </t>
  </si>
  <si>
    <t>Facility type</t>
  </si>
  <si>
    <t>Will the physician performing EUS be facility employed?</t>
  </si>
  <si>
    <r>
      <t>Notice to Reader:</t>
    </r>
    <r>
      <rPr>
        <sz val="10"/>
        <rFont val="Arial"/>
        <family val="2"/>
      </rPr>
      <t xml:space="preserve">  The information presented here is for illustrative purposes only and does not constitute reimbursement or legal advice. The reimbursement information provided by Olympus America Inc. and/or its direct or indirect (through one or more intermediaries) parent companies, affiliates, or subsidiaries (collectively, the "Olympus Group") is gathered from third party sources and is subject to change without notice.  Reimbursement rules vary widely by insurer so you should understand and comply with any specific rules that may be set by the patient's insurer. You must also understand and comply with Medicare's complex rules.  It is the provider’s sole responsibility to determine medical necessity and to in turn identify which CPT codes to report and to submit accurate claims.  You should always consult with your local payers regarding reimbursement matters.  Under no circumstances shall the Olympus Group or its employees, consultants, agents or representatives be liable for costs, expenses, losses, claims, liabilities or other damages (whether direct, indirect, special, incidental, consequential or otherwise) that may arise from or be incurred in connection with this information or any use thereof.</t>
    </r>
  </si>
  <si>
    <t>Number cases</t>
  </si>
  <si>
    <t xml:space="preserve">                    - Staging of lung cancer -- EUS is valuable in helping physicians detect cancer in mediastinal lymph nodes.</t>
  </si>
  <si>
    <t>Thank you for your time and interest in Olympus' products and solutions. At Olympus, we appreciate the opportunity to partner with our customers to provide the most advanced and efficient care to your patients.  We look forward to doing business with you.</t>
  </si>
  <si>
    <t>Hospital</t>
  </si>
  <si>
    <t>explain what "Additional" includes</t>
  </si>
  <si>
    <t>Input - EUS Value Calculator</t>
  </si>
  <si>
    <t>EUS Introduction</t>
  </si>
  <si>
    <t>Results - Downstream Revenue Model and Three-Year Projections</t>
  </si>
  <si>
    <t>Upper gastrointestinal endoscopy with transendoscopic ultrasound-guided intramural or transmural fine needle aspiration/biopsy(s) esophagus (includes endoscopic ultrasound examination limited to the esophagus</t>
  </si>
  <si>
    <t>Esophagoscopy, rigid or flexible; with transendoscopic ultrasound-guided intramural or transmural fine needle aspiration/biopsy(s)</t>
  </si>
  <si>
    <t>The EU-ME1 is Olympus' most versatile processor</t>
  </si>
  <si>
    <t xml:space="preserve">Olympus quality is backed by 510K FDA regulations </t>
  </si>
  <si>
    <t>Flexible financial options are available and can be tailored to meet your needs</t>
  </si>
  <si>
    <t>Olympus University offers accredited training courses at no charge (value ~ $300/course)</t>
  </si>
  <si>
    <t>Olympus offers 24/7 technical support</t>
  </si>
  <si>
    <t>Our customers can utilize web portals for repair history and equipment information</t>
  </si>
  <si>
    <t>EUS combines endoscopy and ultrasound in order to obtain the most accurate, high-resolution images and information about the digestive tract and the surrounding tissue and organs. By guiding an endoscope with an ultrasound transducer at its tip, sound beyond the range of human hearing is emitted within body cavities and creates images of the targeted areas.
EUS allows a minimally invasive, non-surgical evaluation of the internal organs with a high degree of accuracy. The applications for EUS have continued to expand and are now used to assess several types of cancers and disorders:
                    - Submucosal lesions -- Ultrasound scanning over submucosal nodules in the esophagus or stomach.
                    - Chronic pancreatitis --  EUS aids in providing detailed information about the pancreas and pancreatic duct.
                    - Disorders of the bile duct and fecal incontinence.</t>
  </si>
  <si>
    <t>Our broad Field Support Team is available to serve your needs</t>
  </si>
  <si>
    <t>Olympus offers improved B-mode imaging capability, redesigned forceps, NBI and detachable cable</t>
  </si>
  <si>
    <t xml:space="preserve">Investing in Olympus technology is an important decision. Investing smarter in today's economy is a necessary one. That's why we've developed the Olympus EUS Value Calculator. EUS can be a compelling business proposition and major addition to your existing GI portfolio. In an effort to assist our current and prospective customers with their own analyses, Olympus has developed a flexible and tailored EUS Value Calculator. Please keep in mind the following Olympus points when performing your analysis:
</t>
  </si>
  <si>
    <r>
      <rPr>
        <b/>
        <sz val="12"/>
        <rFont val="Arial"/>
        <family val="2"/>
      </rPr>
      <t>What's New</t>
    </r>
    <r>
      <rPr>
        <sz val="12"/>
        <rFont val="Arial"/>
        <family val="2"/>
      </rPr>
      <t xml:space="preserve">
The GF-UCT180 features a newly developed curved linear array transducer to deliver higher-quality ultrasound image with greater depth and offers you the power and flexibility you need for straightforward tissue sampling to sophisticated endoscopic ultrasound-guided treatment. A redesigned elevator gives you more reliable control over devices passed through the channel and a detachable ultrasound cable helps facilitate easier handling, reprocessing and storage. The endoscopic image the GF-UCT180 incorporates a high-resolution "Q" CCD that delivers sharp, clear images. Narrow Band Imaging (NBI) capability is also supported by the Olympus GF-UCT-180, offering enhanced visualization of mucosal and capillary structures. 
</t>
    </r>
    <r>
      <rPr>
        <b/>
        <sz val="12"/>
        <rFont val="Arial"/>
        <family val="2"/>
      </rPr>
      <t>Clinical Support</t>
    </r>
    <r>
      <rPr>
        <sz val="12"/>
        <rFont val="Arial"/>
        <family val="2"/>
      </rPr>
      <t xml:space="preserve">
Olympus Clinical Application Specialists (CAS) offer something others cannot: a team of clinically-skilled people aimed at supporting you with a combined experience level of more than 200 years working in the GI lab. The CAS team specializes in education, procedures and clinical support.
</t>
    </r>
    <r>
      <rPr>
        <b/>
        <sz val="12"/>
        <rFont val="Arial"/>
        <family val="2"/>
      </rPr>
      <t>Financial Support</t>
    </r>
    <r>
      <rPr>
        <sz val="12"/>
        <rFont val="Arial"/>
        <family val="2"/>
      </rPr>
      <t xml:space="preserve">
Having the most advanced endoscopic technology at your fingertips helps ensure the best care possible for your patients. To assist you in meeting your operation's goals, Olympus offers specialized financial options that can be tailored to meet your needs. Please inquire about these options with your salesperson.
</t>
    </r>
    <r>
      <rPr>
        <b/>
        <sz val="12"/>
        <rFont val="Arial"/>
        <family val="2"/>
      </rPr>
      <t>Focused Attention</t>
    </r>
    <r>
      <rPr>
        <sz val="12"/>
        <rFont val="Arial"/>
        <family val="2"/>
      </rPr>
      <t xml:space="preserve">
Olympus has a full support team that includes: Endoscopy Account Managers, Clinical EndoTherapy Specialists, Clinical Application Specialists, Field Service Engineers, Endoscopy Support Specialists, a 24-hour technical assistance center and customer service representatives, all focuses to serve your needs.
</t>
    </r>
  </si>
  <si>
    <r>
      <t xml:space="preserve">To begin, please enter the following required information. The placeholder values are conservative assumptions calculated by Olympus that are based on industry statistics and feedback. To understand the origin of an assumption, mouse over the question mark icon to the right of the value. If you have detailed information as it relates to your particular facility, simply delete the assumed value and </t>
    </r>
    <r>
      <rPr>
        <b/>
        <sz val="16"/>
        <rFont val="Arial"/>
        <family val="2"/>
      </rPr>
      <t>replace with your specific data</t>
    </r>
    <r>
      <rPr>
        <sz val="16"/>
        <rFont val="Arial"/>
        <family val="2"/>
      </rPr>
      <t>.</t>
    </r>
  </si>
  <si>
    <t>Placeholder estimate. Get Service Quote.</t>
  </si>
  <si>
    <t>GF-UCT180 &amp; MAJ 1597</t>
  </si>
  <si>
    <t>ProSound F75</t>
  </si>
  <si>
    <t>2013 Reimbursements</t>
  </si>
  <si>
    <t>Year 1 Cases</t>
  </si>
  <si>
    <t xml:space="preserve">The Lease section is for illustrative purposes only. The cost of cash versus lease may not be exactly the same due to other financing fees not captured in this tool. </t>
  </si>
  <si>
    <t>CPT Copyright 2012 American Medical Association. All rights reserved. CPT is a registered trademark of the American Medical Association</t>
  </si>
  <si>
    <r>
      <t>Three-Year Projection Assuming</t>
    </r>
    <r>
      <rPr>
        <b/>
        <sz val="20"/>
        <color indexed="18"/>
        <rFont val="Arial"/>
        <family val="2"/>
      </rPr>
      <t xml:space="preserve"> Cash Outlay</t>
    </r>
  </si>
  <si>
    <r>
      <t xml:space="preserve">Three-Year Projection Assuming </t>
    </r>
    <r>
      <rPr>
        <b/>
        <sz val="20"/>
        <color indexed="18"/>
        <rFont val="Arial"/>
        <family val="2"/>
      </rPr>
      <t xml:space="preserve">Fair Market Value Lease </t>
    </r>
  </si>
  <si>
    <t>Rates referenced in these guides do not reflect Sequestration, automatic reductions in federal spending that will result in a 2% across-the-board reduction to ALL Medicare rates on March 1, 2013, unless Congress passes legislation to stop the sequester.</t>
  </si>
  <si>
    <t>The ProSound F75 is Olympus' premier platform which offers our best image quality</t>
  </si>
  <si>
    <t>This calculator illustrates how EUS can generate downstream revenue and provide solid financial returns based on specific investment, cost and revenue assumptions.  All relevant information to your current business situation is included on the "Input" page. Remember, this tool is designed to be flexible and to take into account your unique situation in terms of procedure volume, revenue, costs and the value of Olympus services that you plan to utilize going forward.</t>
  </si>
  <si>
    <t>$105 (nursing)</t>
  </si>
  <si>
    <t>Nursing labor costs are based on Olympus 2013 Benchmarking Data of an average 3 hour total length of stay for EUS cases, and a 1:1 RN to patient ratio to compensate for other personnel costs (scheduler, tech support, etc.) at a rate of $35/hour. If physician is hospital employed, this figure also includes 1 MD hour/case at a rate of $200/hour.</t>
  </si>
  <si>
    <t>Estimated using 2013 Average HOPPS payment for CPT 43242. NOTE: Reduce reimbursement input if physician practice patterns will not typically include fine needle aspiration.  See reimbursement tab for details.  Source: 2013 Medicare Hospital Outpatient Final Rule.</t>
  </si>
  <si>
    <t>Non-Medicare Facility Fee per case is an approximation assuming Medicare Facility Fee per case increased  by 10 percent. This amount based on 2013 Medicare Fee Schedule for CPT 43242 ($927*1.1=$1019.70). See below for details if using "other" CPT code.</t>
  </si>
  <si>
    <t>Only applicable if the EUS physician is hospital employed. Adjust with weighted averages as needed. Other CPT codes for reference: CPT 43232 = $264, CPT 43238 = $428. See reimbursement tab for details. Source: 2013 Medicare Physician Final Rule.</t>
  </si>
  <si>
    <t>Average Medicare Reimbursement for anesthesia during endoscopy is based on CPT 00801 (anesthesia code): 5 Base Units and CPT 00810 (anesthesia for lower intestinal endoscopic procedures, endoscope introduced distal to duodenum): 5 Base Units and $21.92 2013 National anesthesia conversion factor = $110 payment. Only applicable if a secondary provider delivers anesthesia during EUS.  Source: 2013 Medicare Physician Final Rule.</t>
  </si>
  <si>
    <t>Average Medicare Reimbursement for Pathology is estimated based on the 2013 Medicare HOPPS Final Rule payment w/o geographic adjustment for APC343 (CPT 88305-26 Level IV surgical pathology): $25.  Assuming that the pathologist is a hospital employee, the most recent Medicare physician fee schedule for CPT 88305-26 (pathologist's interpretation): $24.  Exclude this amount if the pathologist is not a hospital employee. It is assumed one case will result in two biopsies:  ($25 + $24) x 2 = $99. Source: 2013 Medicare Physician and Hospital Outpatient Final Rules.</t>
  </si>
  <si>
    <t xml:space="preserve">Average Medicare reimbursement for Surgery is based on the 2013 Medicare MS-DRG 328 (Stomach, Esophageal and Duodenal Proc w/o CC/MCC); Weight 1.3848, multiplied by 2013 National Inpatient Prospective Payment System Average Base rate excluding capital add-on ($5,209.74) = Payment $7,709. Source: 2013 Medicare Acute Inpatient PPS Final Rule.  </t>
  </si>
  <si>
    <t>National average (wage index greater than one) of the most common GI DRG rates is calculated by using the national adjusted full update standardized labor, non-labor and capital amounts. Source: MM8041 Revised January 4, 2013. Customers are encouraged to enter site-specific estimates based on claims data.</t>
  </si>
  <si>
    <t xml:space="preserve">Average Medicare Inpatient Reimbursement for Oncology is estimated based on the 2013 Medicare MS-DRG 484 (Chemotherapy w/o acute leukemia as secondary diagnosis w/o CC/MCC): Weight (1.9939) multiplied by 2013 National Inpatient Prospective Payment System Average Base rate excluding capital add-on ($5,209.74) = Payment $10,388. Source: 2013 Medicare Acute Inpatient PPS Final Rule. </t>
  </si>
  <si>
    <t>Average Medicare Reimbursement for Radiology is estimated based on the average APC 276 (Level I Digestive Radiology) payment - $81.  Source: 2013 Medicare Hospital Outpatient Final Rule.</t>
  </si>
  <si>
    <t>Average Medicare Reimbursement for Anesthesia is estimated based on the 2013 Medicare Physician fee schedule for CPT 00790 (anesthesia for intraperitoneal procedures in upper abdomen incl. laparoscopy). 7 base units multiplied by 2013 National anesthesia conversion factor of $21.52 = Payment of $154.  Source: 2013 Medicare Physician Final Rule.</t>
  </si>
  <si>
    <t>Note: Represents National Average Medicare Fees (Without Geographic Adjustment) Last Updated March 2013.  N/A signifies Medicare expects that rarely, if ever, will this procedure be performed in this setting.</t>
  </si>
  <si>
    <r>
      <t>1</t>
    </r>
    <r>
      <rPr>
        <b/>
        <sz val="10"/>
        <rFont val="Arial"/>
        <family val="2"/>
      </rPr>
      <t xml:space="preserve"> Sources:</t>
    </r>
    <r>
      <rPr>
        <sz val="10"/>
        <rFont val="Arial"/>
        <family val="2"/>
      </rPr>
      <t xml:space="preserve">  CPT &amp; Description: CPT</t>
    </r>
    <r>
      <rPr>
        <vertAlign val="superscript"/>
        <sz val="10"/>
        <rFont val="Arial"/>
        <family val="2"/>
      </rPr>
      <t>®</t>
    </r>
    <r>
      <rPr>
        <sz val="10"/>
        <rFont val="Arial"/>
        <family val="2"/>
      </rPr>
      <t xml:space="preserve"> 2013 American Medical Association. Hospital/ASC rates:  January 2013 Update to Appendix B and Appendix AA, respectively, from the CMS website.  Physician Fees:  Physician fee calculation by Olympus America Inc. and/or its direct or indirect (through one or more intermediaries) parent companies, affiliates, subsidiaries. Physician rates calculated using conversion factor of $34.0230 and RVUs published in the CMS Physician Fee Schedule January 2013 release. CPT Copyright 2013 American Medical Association. All rights reserved. CPT is a registered trademark of the American Medical Association.  All rights reserved. Applicable FARS/DFARS apply to government use.</t>
    </r>
  </si>
</sst>
</file>

<file path=xl/styles.xml><?xml version="1.0" encoding="utf-8"?>
<styleSheet xmlns="http://schemas.openxmlformats.org/spreadsheetml/2006/main">
  <numFmts count="5">
    <numFmt numFmtId="6" formatCode="&quot;$&quot;#,##0_);[Red]\(&quot;$&quot;#,##0\)"/>
    <numFmt numFmtId="44" formatCode="_(&quot;$&quot;* #,##0.00_);_(&quot;$&quot;* \(#,##0.00\);_(&quot;$&quot;* &quot;-&quot;??_);_(@_)"/>
    <numFmt numFmtId="164" formatCode="&quot;$&quot;#,##0"/>
    <numFmt numFmtId="165" formatCode="&quot;$&quot;#,##0.00"/>
    <numFmt numFmtId="166" formatCode="0.0"/>
  </numFmts>
  <fonts count="40">
    <font>
      <sz val="10"/>
      <name val="Verdana"/>
    </font>
    <font>
      <sz val="9"/>
      <color indexed="81"/>
      <name val="Verdana"/>
      <family val="2"/>
    </font>
    <font>
      <b/>
      <sz val="12"/>
      <name val="Arial"/>
      <family val="2"/>
    </font>
    <font>
      <sz val="10"/>
      <name val="Arial"/>
      <family val="2"/>
    </font>
    <font>
      <sz val="11"/>
      <name val="Arial"/>
      <family val="2"/>
    </font>
    <font>
      <b/>
      <sz val="11"/>
      <name val="Arial"/>
      <family val="2"/>
    </font>
    <font>
      <b/>
      <sz val="14"/>
      <name val="Arial"/>
      <family val="2"/>
    </font>
    <font>
      <sz val="14"/>
      <name val="Arial"/>
      <family val="2"/>
    </font>
    <font>
      <sz val="12"/>
      <name val="Arial"/>
      <family val="2"/>
    </font>
    <font>
      <b/>
      <sz val="10"/>
      <name val="Arial"/>
      <family val="2"/>
    </font>
    <font>
      <sz val="10"/>
      <name val="Verdana"/>
      <family val="2"/>
    </font>
    <font>
      <sz val="8"/>
      <name val="Arial"/>
      <family val="2"/>
    </font>
    <font>
      <b/>
      <sz val="10"/>
      <name val="Calibri"/>
      <family val="2"/>
    </font>
    <font>
      <b/>
      <sz val="16"/>
      <color indexed="9"/>
      <name val="Arial"/>
      <family val="2"/>
    </font>
    <font>
      <sz val="10"/>
      <color indexed="9"/>
      <name val="Arial"/>
      <family val="2"/>
    </font>
    <font>
      <sz val="12"/>
      <name val="Wingdings"/>
      <charset val="2"/>
    </font>
    <font>
      <sz val="10"/>
      <color indexed="10"/>
      <name val="Arial"/>
      <family val="2"/>
    </font>
    <font>
      <sz val="12"/>
      <color indexed="10"/>
      <name val="Arial"/>
      <family val="2"/>
    </font>
    <font>
      <sz val="8"/>
      <name val="Verdana"/>
      <family val="2"/>
    </font>
    <font>
      <vertAlign val="superscript"/>
      <sz val="10"/>
      <name val="Arial"/>
      <family val="2"/>
    </font>
    <font>
      <b/>
      <vertAlign val="superscript"/>
      <sz val="10"/>
      <name val="Arial"/>
      <family val="2"/>
    </font>
    <font>
      <sz val="11"/>
      <color theme="1"/>
      <name val="Calibri"/>
      <family val="2"/>
      <scheme val="minor"/>
    </font>
    <font>
      <sz val="10"/>
      <color rgb="FFFF0000"/>
      <name val="Arial"/>
      <family val="2"/>
    </font>
    <font>
      <sz val="8"/>
      <color indexed="81"/>
      <name val="Tahoma"/>
      <family val="2"/>
    </font>
    <font>
      <sz val="10"/>
      <color indexed="81"/>
      <name val="Tahoma"/>
      <family val="2"/>
    </font>
    <font>
      <sz val="16"/>
      <name val="Arial"/>
      <family val="2"/>
    </font>
    <font>
      <b/>
      <sz val="16"/>
      <name val="Arial"/>
      <family val="2"/>
    </font>
    <font>
      <sz val="16"/>
      <color indexed="10"/>
      <name val="Arial"/>
      <family val="2"/>
    </font>
    <font>
      <b/>
      <i/>
      <sz val="16"/>
      <name val="Arial"/>
      <family val="2"/>
    </font>
    <font>
      <i/>
      <sz val="16"/>
      <name val="Arial"/>
      <family val="2"/>
    </font>
    <font>
      <sz val="16"/>
      <color rgb="FFFF0000"/>
      <name val="Arial"/>
      <family val="2"/>
    </font>
    <font>
      <sz val="16"/>
      <color theme="1"/>
      <name val="Arial"/>
      <family val="2"/>
    </font>
    <font>
      <sz val="16"/>
      <color rgb="FFFF0000"/>
      <name val="Verdana"/>
      <family val="2"/>
    </font>
    <font>
      <sz val="16"/>
      <name val="Verdana"/>
      <family val="2"/>
    </font>
    <font>
      <b/>
      <i/>
      <u/>
      <sz val="16"/>
      <name val="Arial"/>
      <family val="2"/>
    </font>
    <font>
      <sz val="11"/>
      <color rgb="FFFF0000"/>
      <name val="Arial"/>
      <family val="2"/>
    </font>
    <font>
      <sz val="20"/>
      <color indexed="18"/>
      <name val="Arial"/>
      <family val="2"/>
    </font>
    <font>
      <b/>
      <sz val="20"/>
      <color indexed="18"/>
      <name val="Arial"/>
      <family val="2"/>
    </font>
    <font>
      <sz val="20"/>
      <name val="Arial"/>
      <family val="2"/>
    </font>
    <font>
      <i/>
      <sz val="20"/>
      <name val="Arial"/>
      <family val="2"/>
    </font>
  </fonts>
  <fills count="17">
    <fill>
      <patternFill patternType="none"/>
    </fill>
    <fill>
      <patternFill patternType="gray125"/>
    </fill>
    <fill>
      <patternFill patternType="solid">
        <fgColor indexed="9"/>
        <bgColor indexed="9"/>
      </patternFill>
    </fill>
    <fill>
      <patternFill patternType="solid">
        <fgColor indexed="9"/>
        <bgColor indexed="64"/>
      </patternFill>
    </fill>
    <fill>
      <patternFill patternType="solid">
        <fgColor indexed="22"/>
        <bgColor indexed="64"/>
      </patternFill>
    </fill>
    <fill>
      <patternFill patternType="solid">
        <fgColor indexed="56"/>
        <bgColor indexed="64"/>
      </patternFill>
    </fill>
    <fill>
      <patternFill patternType="solid">
        <fgColor indexed="43"/>
        <bgColor indexed="41"/>
      </patternFill>
    </fill>
    <fill>
      <patternFill patternType="solid">
        <fgColor indexed="41"/>
        <bgColor indexed="41"/>
      </patternFill>
    </fill>
    <fill>
      <patternFill patternType="solid">
        <fgColor indexed="41"/>
        <bgColor indexed="64"/>
      </patternFill>
    </fill>
    <fill>
      <patternFill patternType="solid">
        <fgColor indexed="65"/>
        <bgColor indexed="9"/>
      </patternFill>
    </fill>
    <fill>
      <patternFill patternType="solid">
        <fgColor indexed="43"/>
        <bgColor indexed="9"/>
      </patternFill>
    </fill>
    <fill>
      <patternFill patternType="gray125">
        <fgColor indexed="9"/>
      </patternFill>
    </fill>
    <fill>
      <patternFill patternType="solid">
        <fgColor indexed="47"/>
        <bgColor indexed="64"/>
      </patternFill>
    </fill>
    <fill>
      <patternFill patternType="solid">
        <fgColor indexed="56"/>
        <bgColor indexed="9"/>
      </patternFill>
    </fill>
    <fill>
      <patternFill patternType="solid">
        <fgColor theme="0"/>
        <bgColor indexed="64"/>
      </patternFill>
    </fill>
    <fill>
      <patternFill patternType="solid">
        <fgColor rgb="FFFFFF99"/>
        <bgColor indexed="41"/>
      </patternFill>
    </fill>
    <fill>
      <patternFill patternType="solid">
        <fgColor theme="0"/>
        <bgColor indexed="9"/>
      </patternFill>
    </fill>
  </fills>
  <borders count="20">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1">
    <xf numFmtId="0" fontId="0" fillId="0" borderId="0"/>
    <xf numFmtId="44" fontId="10" fillId="0" borderId="0" applyFont="0" applyFill="0" applyBorder="0" applyAlignment="0" applyProtection="0"/>
    <xf numFmtId="0" fontId="3" fillId="0" borderId="0"/>
    <xf numFmtId="0" fontId="21" fillId="0" borderId="0"/>
    <xf numFmtId="0" fontId="21" fillId="0" borderId="0"/>
    <xf numFmtId="0" fontId="21" fillId="0" borderId="0"/>
    <xf numFmtId="0" fontId="21" fillId="0" borderId="0"/>
    <xf numFmtId="0" fontId="21" fillId="0" borderId="0"/>
    <xf numFmtId="0" fontId="21" fillId="0" borderId="0"/>
    <xf numFmtId="9" fontId="3" fillId="0" borderId="0" applyFont="0" applyFill="0" applyBorder="0" applyAlignment="0" applyProtection="0"/>
    <xf numFmtId="9" fontId="3" fillId="0" borderId="0" applyFont="0" applyFill="0" applyBorder="0" applyAlignment="0" applyProtection="0"/>
  </cellStyleXfs>
  <cellXfs count="288">
    <xf numFmtId="0" fontId="0" fillId="0" borderId="0" xfId="0"/>
    <xf numFmtId="0" fontId="3" fillId="2" borderId="0" xfId="0" applyFont="1" applyFill="1"/>
    <xf numFmtId="0" fontId="0" fillId="2" borderId="0" xfId="0" applyFill="1" applyAlignment="1"/>
    <xf numFmtId="0" fontId="4" fillId="2" borderId="0" xfId="0" applyFont="1" applyFill="1"/>
    <xf numFmtId="0" fontId="4" fillId="3" borderId="0" xfId="0" applyFont="1" applyFill="1" applyAlignment="1">
      <alignment horizontal="right"/>
    </xf>
    <xf numFmtId="0" fontId="3" fillId="3" borderId="0" xfId="0" applyFont="1" applyFill="1"/>
    <xf numFmtId="0" fontId="3" fillId="3" borderId="0" xfId="0" applyFont="1" applyFill="1" applyAlignment="1">
      <alignment horizontal="left"/>
    </xf>
    <xf numFmtId="0" fontId="3" fillId="3" borderId="0" xfId="0" applyFont="1" applyFill="1" applyBorder="1"/>
    <xf numFmtId="164" fontId="3" fillId="3" borderId="0" xfId="0" applyNumberFormat="1" applyFont="1" applyFill="1" applyBorder="1" applyAlignment="1">
      <alignment horizontal="left"/>
    </xf>
    <xf numFmtId="0" fontId="3" fillId="3" borderId="0" xfId="0" applyFont="1" applyFill="1" applyBorder="1" applyAlignment="1">
      <alignment horizontal="left" vertical="top"/>
    </xf>
    <xf numFmtId="0" fontId="3" fillId="3" borderId="0" xfId="0" applyFont="1" applyFill="1" applyBorder="1" applyAlignment="1">
      <alignment horizontal="left"/>
    </xf>
    <xf numFmtId="0" fontId="3" fillId="3" borderId="0" xfId="0" applyFont="1" applyFill="1" applyBorder="1"/>
    <xf numFmtId="0" fontId="14" fillId="5" borderId="0" xfId="0" applyFont="1" applyFill="1" applyBorder="1"/>
    <xf numFmtId="0" fontId="5" fillId="3" borderId="0" xfId="0" applyFont="1" applyFill="1" applyBorder="1" applyAlignment="1">
      <alignment horizontal="left" vertical="top" wrapText="1"/>
    </xf>
    <xf numFmtId="0" fontId="3" fillId="3" borderId="0" xfId="0" applyFont="1" applyFill="1" applyBorder="1" applyAlignment="1">
      <alignment vertical="top" wrapText="1"/>
    </xf>
    <xf numFmtId="0" fontId="6" fillId="7" borderId="1" xfId="0" applyFont="1" applyFill="1" applyBorder="1" applyAlignment="1">
      <alignment horizontal="center"/>
    </xf>
    <xf numFmtId="0" fontId="7" fillId="7" borderId="0" xfId="0" applyFont="1" applyFill="1" applyBorder="1" applyAlignment="1"/>
    <xf numFmtId="0" fontId="7" fillId="7" borderId="2" xfId="0" applyFont="1" applyFill="1" applyBorder="1" applyAlignment="1"/>
    <xf numFmtId="0" fontId="3" fillId="0" borderId="0" xfId="0" applyFont="1" applyAlignment="1">
      <alignment vertical="center"/>
    </xf>
    <xf numFmtId="0" fontId="3" fillId="3" borderId="0" xfId="0" applyFont="1" applyFill="1" applyAlignment="1">
      <alignment vertical="center"/>
    </xf>
    <xf numFmtId="0" fontId="15" fillId="3" borderId="0" xfId="0" applyFont="1" applyFill="1" applyBorder="1" applyAlignment="1">
      <alignment horizontal="right" vertical="center"/>
    </xf>
    <xf numFmtId="0" fontId="8" fillId="3" borderId="0" xfId="0" applyFont="1" applyFill="1" applyBorder="1" applyAlignment="1">
      <alignment vertical="center"/>
    </xf>
    <xf numFmtId="0" fontId="3" fillId="3" borderId="0" xfId="0" applyFont="1" applyFill="1" applyBorder="1" applyAlignment="1">
      <alignment vertical="center"/>
    </xf>
    <xf numFmtId="0" fontId="3" fillId="3" borderId="0" xfId="0" applyFont="1" applyFill="1" applyBorder="1" applyAlignment="1" applyProtection="1">
      <alignment vertical="center"/>
      <protection locked="0"/>
    </xf>
    <xf numFmtId="0" fontId="3" fillId="9" borderId="0" xfId="0" applyFont="1" applyFill="1" applyAlignment="1" applyProtection="1">
      <alignment vertical="center"/>
    </xf>
    <xf numFmtId="0" fontId="3" fillId="9" borderId="0" xfId="0" applyFont="1" applyFill="1" applyAlignment="1" applyProtection="1">
      <alignment vertical="center"/>
      <protection locked="0"/>
    </xf>
    <xf numFmtId="0" fontId="3" fillId="3" borderId="0" xfId="0" applyFont="1" applyFill="1" applyBorder="1" applyAlignment="1">
      <alignment horizontal="left"/>
    </xf>
    <xf numFmtId="0" fontId="3" fillId="3" borderId="0" xfId="0" applyFont="1" applyFill="1" applyBorder="1" applyAlignment="1">
      <alignment horizontal="center" vertical="center"/>
    </xf>
    <xf numFmtId="0" fontId="3" fillId="9" borderId="0" xfId="0" applyFont="1" applyFill="1" applyBorder="1" applyAlignment="1" applyProtection="1">
      <alignment vertical="center"/>
    </xf>
    <xf numFmtId="0" fontId="3" fillId="9" borderId="0" xfId="0" applyFont="1" applyFill="1" applyBorder="1" applyAlignment="1" applyProtection="1">
      <alignment vertical="center"/>
      <protection locked="0"/>
    </xf>
    <xf numFmtId="0" fontId="16" fillId="3" borderId="0" xfId="0" applyFont="1" applyFill="1" applyBorder="1"/>
    <xf numFmtId="0" fontId="3" fillId="0" borderId="0" xfId="0" applyFont="1" applyBorder="1" applyAlignment="1">
      <alignment vertical="center"/>
    </xf>
    <xf numFmtId="0" fontId="8" fillId="0" borderId="0" xfId="0" applyFont="1" applyBorder="1" applyAlignment="1">
      <alignment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0" fontId="4" fillId="0" borderId="0" xfId="0" applyFont="1" applyBorder="1" applyAlignment="1">
      <alignment vertical="center"/>
    </xf>
    <xf numFmtId="0" fontId="4" fillId="3" borderId="0" xfId="0" applyFont="1" applyFill="1" applyBorder="1" applyAlignment="1">
      <alignment vertical="center" wrapText="1"/>
    </xf>
    <xf numFmtId="0" fontId="8" fillId="3" borderId="0" xfId="0" applyFont="1" applyFill="1" applyBorder="1" applyAlignment="1" applyProtection="1">
      <alignment vertical="center"/>
      <protection locked="0"/>
    </xf>
    <xf numFmtId="0" fontId="17" fillId="9" borderId="0" xfId="0" applyFont="1" applyFill="1" applyAlignment="1" applyProtection="1">
      <alignment vertical="center"/>
      <protection locked="0"/>
    </xf>
    <xf numFmtId="0" fontId="3" fillId="3" borderId="0" xfId="0" applyFont="1" applyFill="1" applyBorder="1" applyAlignment="1">
      <alignment horizontal="left" vertical="top" wrapText="1"/>
    </xf>
    <xf numFmtId="0" fontId="3" fillId="3" borderId="0" xfId="0" applyFont="1" applyFill="1" applyBorder="1" applyAlignment="1">
      <alignment vertical="top" wrapText="1"/>
    </xf>
    <xf numFmtId="0" fontId="3" fillId="14" borderId="0" xfId="0" applyFont="1" applyFill="1" applyBorder="1"/>
    <xf numFmtId="0" fontId="5" fillId="14" borderId="0" xfId="0" applyFont="1" applyFill="1" applyBorder="1" applyAlignment="1">
      <alignment vertical="top" wrapText="1"/>
    </xf>
    <xf numFmtId="0" fontId="9" fillId="14" borderId="0" xfId="0" applyFont="1" applyFill="1" applyBorder="1"/>
    <xf numFmtId="0" fontId="9" fillId="14" borderId="0" xfId="0" applyFont="1" applyFill="1" applyBorder="1" applyAlignment="1">
      <alignment horizontal="left"/>
    </xf>
    <xf numFmtId="0" fontId="3" fillId="14" borderId="0" xfId="0" applyFont="1" applyFill="1" applyBorder="1" applyAlignment="1">
      <alignment horizontal="left"/>
    </xf>
    <xf numFmtId="0" fontId="3" fillId="14" borderId="0" xfId="0" applyFont="1" applyFill="1" applyBorder="1" applyAlignment="1">
      <alignment horizontal="left" vertical="top"/>
    </xf>
    <xf numFmtId="6" fontId="3" fillId="14" borderId="0" xfId="0" applyNumberFormat="1" applyFont="1" applyFill="1" applyBorder="1" applyAlignment="1">
      <alignment horizontal="left" vertical="top"/>
    </xf>
    <xf numFmtId="0" fontId="3" fillId="14" borderId="0" xfId="0" applyFont="1" applyFill="1" applyBorder="1" applyAlignment="1">
      <alignment wrapText="1"/>
    </xf>
    <xf numFmtId="164" fontId="3" fillId="14" borderId="0" xfId="0" applyNumberFormat="1" applyFont="1" applyFill="1" applyBorder="1" applyAlignment="1">
      <alignment horizontal="left"/>
    </xf>
    <xf numFmtId="0" fontId="4" fillId="3" borderId="0" xfId="0" applyFont="1" applyFill="1" applyBorder="1" applyAlignment="1">
      <alignment vertical="top"/>
    </xf>
    <xf numFmtId="0" fontId="4" fillId="0" borderId="0" xfId="0" applyFont="1" applyBorder="1" applyAlignment="1">
      <alignment vertical="top"/>
    </xf>
    <xf numFmtId="0" fontId="8" fillId="9" borderId="0" xfId="0" applyFont="1" applyFill="1" applyBorder="1" applyAlignment="1" applyProtection="1">
      <alignment vertical="center" wrapText="1"/>
    </xf>
    <xf numFmtId="0" fontId="3" fillId="0" borderId="0" xfId="0" applyFont="1" applyFill="1" applyBorder="1"/>
    <xf numFmtId="0" fontId="13" fillId="14" borderId="0" xfId="0" applyFont="1" applyFill="1" applyBorder="1" applyAlignment="1">
      <alignment horizontal="center" vertical="center"/>
    </xf>
    <xf numFmtId="0" fontId="22" fillId="3" borderId="0" xfId="0" applyFont="1" applyFill="1"/>
    <xf numFmtId="0" fontId="22" fillId="3" borderId="0" xfId="0" applyFont="1" applyFill="1" applyAlignment="1">
      <alignment vertical="center"/>
    </xf>
    <xf numFmtId="0" fontId="9" fillId="4" borderId="14" xfId="0" applyFont="1" applyFill="1" applyBorder="1" applyAlignment="1">
      <alignment wrapText="1"/>
    </xf>
    <xf numFmtId="164" fontId="9" fillId="4" borderId="15" xfId="0" applyNumberFormat="1" applyFont="1" applyFill="1" applyBorder="1" applyAlignment="1">
      <alignment horizontal="center" wrapText="1"/>
    </xf>
    <xf numFmtId="0" fontId="9" fillId="4" borderId="15" xfId="0" applyFont="1" applyFill="1" applyBorder="1" applyAlignment="1">
      <alignment horizontal="center" vertical="top" wrapText="1"/>
    </xf>
    <xf numFmtId="0" fontId="9" fillId="4" borderId="16" xfId="0" applyFont="1" applyFill="1" applyBorder="1" applyAlignment="1">
      <alignment horizontal="center" vertical="top" wrapText="1"/>
    </xf>
    <xf numFmtId="0" fontId="3" fillId="14" borderId="0" xfId="0" applyFont="1" applyFill="1" applyBorder="1" applyAlignment="1">
      <alignment vertical="center"/>
    </xf>
    <xf numFmtId="0" fontId="8" fillId="14" borderId="0" xfId="0" applyFont="1" applyFill="1" applyBorder="1" applyAlignment="1" applyProtection="1">
      <alignment vertical="center"/>
      <protection locked="0"/>
    </xf>
    <xf numFmtId="0" fontId="3" fillId="14" borderId="0" xfId="0" applyFont="1" applyFill="1" applyBorder="1" applyAlignment="1" applyProtection="1">
      <alignment vertical="center"/>
      <protection locked="0"/>
    </xf>
    <xf numFmtId="0" fontId="2" fillId="3" borderId="0" xfId="0" applyFont="1" applyFill="1" applyBorder="1" applyAlignment="1">
      <alignment horizontal="left" vertical="center"/>
    </xf>
    <xf numFmtId="0" fontId="8" fillId="3" borderId="0" xfId="0" applyFont="1" applyFill="1" applyBorder="1" applyAlignment="1">
      <alignment horizontal="left" vertical="top"/>
    </xf>
    <xf numFmtId="0" fontId="8" fillId="3" borderId="0" xfId="0" applyFont="1" applyFill="1" applyBorder="1" applyAlignment="1">
      <alignment horizontal="left" vertical="top" wrapText="1"/>
    </xf>
    <xf numFmtId="0" fontId="27" fillId="9" borderId="0" xfId="0" applyFont="1" applyFill="1" applyBorder="1" applyAlignment="1" applyProtection="1">
      <alignment vertical="center"/>
      <protection locked="0"/>
    </xf>
    <xf numFmtId="0" fontId="25" fillId="14" borderId="0" xfId="0" applyFont="1" applyFill="1" applyBorder="1" applyAlignment="1" applyProtection="1">
      <alignment vertical="center"/>
      <protection locked="0"/>
    </xf>
    <xf numFmtId="0" fontId="25" fillId="3" borderId="0" xfId="0" applyFont="1" applyFill="1" applyBorder="1" applyAlignment="1" applyProtection="1">
      <alignment vertical="center"/>
      <protection locked="0"/>
    </xf>
    <xf numFmtId="0" fontId="25" fillId="9" borderId="0" xfId="0" applyFont="1" applyFill="1" applyBorder="1" applyAlignment="1" applyProtection="1">
      <alignment vertical="center"/>
    </xf>
    <xf numFmtId="0" fontId="26" fillId="9" borderId="0" xfId="0" applyFont="1" applyFill="1" applyBorder="1" applyAlignment="1" applyProtection="1">
      <alignment vertical="center"/>
    </xf>
    <xf numFmtId="0" fontId="26" fillId="14" borderId="0" xfId="0" applyFont="1" applyFill="1" applyBorder="1" applyAlignment="1" applyProtection="1">
      <alignment vertical="center"/>
      <protection locked="0"/>
    </xf>
    <xf numFmtId="0" fontId="28" fillId="9" borderId="0" xfId="0" applyFont="1" applyFill="1" applyBorder="1" applyAlignment="1" applyProtection="1">
      <alignment vertical="center"/>
    </xf>
    <xf numFmtId="0" fontId="28" fillId="9" borderId="0" xfId="0" applyFont="1" applyFill="1" applyBorder="1" applyAlignment="1" applyProtection="1">
      <alignment horizontal="left" vertical="center"/>
      <protection locked="0"/>
    </xf>
    <xf numFmtId="0" fontId="29" fillId="9" borderId="0" xfId="0" applyFont="1" applyFill="1" applyBorder="1" applyAlignment="1" applyProtection="1">
      <alignment horizontal="left" vertical="center"/>
      <protection locked="0"/>
    </xf>
    <xf numFmtId="0" fontId="29" fillId="9" borderId="0" xfId="0" applyFont="1" applyFill="1" applyBorder="1" applyAlignment="1" applyProtection="1">
      <alignment horizontal="left" vertical="center"/>
    </xf>
    <xf numFmtId="0" fontId="28" fillId="9" borderId="0" xfId="0" applyFont="1" applyFill="1" applyBorder="1" applyAlignment="1" applyProtection="1">
      <alignment vertical="center"/>
      <protection locked="0"/>
    </xf>
    <xf numFmtId="0" fontId="29" fillId="14" borderId="0" xfId="0" applyFont="1" applyFill="1" applyBorder="1" applyAlignment="1" applyProtection="1">
      <alignment vertical="center"/>
      <protection locked="0"/>
    </xf>
    <xf numFmtId="0" fontId="29" fillId="14" borderId="0" xfId="0" applyFont="1" applyFill="1" applyBorder="1" applyAlignment="1" applyProtection="1">
      <alignment horizontal="left" vertical="center"/>
      <protection locked="0"/>
    </xf>
    <xf numFmtId="0" fontId="25" fillId="10" borderId="0" xfId="0" applyFont="1" applyFill="1" applyBorder="1" applyAlignment="1" applyProtection="1">
      <alignment horizontal="left" vertical="center"/>
      <protection locked="0"/>
    </xf>
    <xf numFmtId="164" fontId="25" fillId="10" borderId="0" xfId="0" applyNumberFormat="1" applyFont="1" applyFill="1" applyBorder="1" applyAlignment="1" applyProtection="1">
      <alignment horizontal="left" vertical="center"/>
      <protection locked="0"/>
    </xf>
    <xf numFmtId="164" fontId="25" fillId="2" borderId="0" xfId="0" applyNumberFormat="1" applyFont="1" applyFill="1" applyBorder="1" applyAlignment="1" applyProtection="1">
      <alignment horizontal="left" vertical="center"/>
      <protection locked="0"/>
    </xf>
    <xf numFmtId="0" fontId="25" fillId="9" borderId="0" xfId="0" applyFont="1" applyFill="1" applyBorder="1" applyAlignment="1" applyProtection="1">
      <alignment horizontal="left" vertical="center"/>
    </xf>
    <xf numFmtId="164" fontId="25" fillId="3" borderId="0" xfId="0" applyNumberFormat="1" applyFont="1" applyFill="1" applyBorder="1" applyAlignment="1" applyProtection="1">
      <alignment horizontal="left" vertical="center"/>
      <protection locked="0"/>
    </xf>
    <xf numFmtId="0" fontId="25" fillId="14" borderId="0" xfId="0" applyFont="1" applyFill="1" applyBorder="1" applyAlignment="1" applyProtection="1">
      <alignment horizontal="left" vertical="center"/>
      <protection locked="0"/>
    </xf>
    <xf numFmtId="164" fontId="25" fillId="14" borderId="0" xfId="0" applyNumberFormat="1" applyFont="1" applyFill="1" applyBorder="1" applyAlignment="1" applyProtection="1">
      <alignment horizontal="left" vertical="center"/>
      <protection locked="0"/>
    </xf>
    <xf numFmtId="0" fontId="25" fillId="2" borderId="0" xfId="0" applyFont="1" applyFill="1" applyBorder="1" applyAlignment="1" applyProtection="1">
      <alignment horizontal="left" vertical="center"/>
      <protection locked="0"/>
    </xf>
    <xf numFmtId="0" fontId="25" fillId="2" borderId="0" xfId="0" applyFont="1" applyFill="1" applyBorder="1" applyAlignment="1" applyProtection="1">
      <alignment horizontal="left" vertical="center"/>
    </xf>
    <xf numFmtId="0" fontId="25" fillId="2" borderId="0" xfId="0" applyFont="1" applyFill="1" applyBorder="1" applyAlignment="1" applyProtection="1">
      <alignment vertical="center"/>
    </xf>
    <xf numFmtId="6" fontId="25" fillId="10" borderId="0" xfId="0" applyNumberFormat="1" applyFont="1" applyFill="1" applyBorder="1" applyAlignment="1" applyProtection="1">
      <alignment horizontal="left" vertical="center"/>
      <protection locked="0"/>
    </xf>
    <xf numFmtId="0" fontId="25" fillId="14" borderId="0" xfId="0" applyFont="1" applyFill="1" applyBorder="1" applyAlignment="1" applyProtection="1">
      <alignment vertical="center"/>
    </xf>
    <xf numFmtId="6" fontId="25" fillId="14" borderId="0" xfId="0" applyNumberFormat="1" applyFont="1" applyFill="1" applyBorder="1" applyAlignment="1" applyProtection="1">
      <alignment horizontal="left" vertical="center"/>
      <protection locked="0"/>
    </xf>
    <xf numFmtId="0" fontId="25" fillId="9" borderId="0" xfId="0" applyFont="1" applyFill="1" applyBorder="1" applyAlignment="1" applyProtection="1">
      <alignment vertical="center"/>
      <protection locked="0"/>
    </xf>
    <xf numFmtId="0" fontId="25" fillId="11" borderId="0" xfId="0" applyFont="1" applyFill="1" applyBorder="1" applyAlignment="1" applyProtection="1">
      <alignment vertical="center"/>
    </xf>
    <xf numFmtId="0" fontId="25" fillId="10" borderId="0" xfId="0" applyFont="1" applyFill="1" applyBorder="1" applyAlignment="1" applyProtection="1">
      <alignment horizontal="right" vertical="center"/>
      <protection locked="0"/>
    </xf>
    <xf numFmtId="0" fontId="25" fillId="10" borderId="0" xfId="0" applyFont="1" applyFill="1" applyBorder="1" applyAlignment="1" applyProtection="1">
      <alignment vertical="center"/>
      <protection locked="0"/>
    </xf>
    <xf numFmtId="0" fontId="26" fillId="9" borderId="0" xfId="0" applyFont="1" applyFill="1" applyBorder="1" applyAlignment="1" applyProtection="1">
      <alignment horizontal="right" vertical="center"/>
    </xf>
    <xf numFmtId="9" fontId="25" fillId="10" borderId="0" xfId="0" applyNumberFormat="1" applyFont="1" applyFill="1" applyBorder="1" applyAlignment="1" applyProtection="1">
      <alignment vertical="center"/>
      <protection locked="0"/>
    </xf>
    <xf numFmtId="9" fontId="25" fillId="14" borderId="0" xfId="0" applyNumberFormat="1" applyFont="1" applyFill="1" applyBorder="1" applyAlignment="1" applyProtection="1">
      <alignment vertical="center"/>
      <protection locked="0"/>
    </xf>
    <xf numFmtId="0" fontId="25" fillId="14" borderId="0" xfId="0" applyFont="1" applyFill="1" applyBorder="1" applyAlignment="1" applyProtection="1">
      <alignment horizontal="right" vertical="center"/>
      <protection locked="0"/>
    </xf>
    <xf numFmtId="164" fontId="25" fillId="10" borderId="0" xfId="0" applyNumberFormat="1" applyFont="1" applyFill="1" applyBorder="1" applyAlignment="1" applyProtection="1">
      <alignment vertical="center"/>
    </xf>
    <xf numFmtId="164" fontId="25" fillId="14" borderId="0" xfId="0" applyNumberFormat="1" applyFont="1" applyFill="1" applyBorder="1" applyAlignment="1" applyProtection="1">
      <alignment vertical="center"/>
      <protection locked="0"/>
    </xf>
    <xf numFmtId="0" fontId="26" fillId="14" borderId="0" xfId="0" applyFont="1" applyFill="1" applyBorder="1" applyAlignment="1" applyProtection="1">
      <alignment horizontal="right" vertical="center"/>
      <protection locked="0"/>
    </xf>
    <xf numFmtId="3" fontId="25" fillId="10" borderId="0" xfId="0" applyNumberFormat="1" applyFont="1" applyFill="1" applyBorder="1" applyAlignment="1" applyProtection="1">
      <alignment horizontal="right" vertical="center"/>
      <protection locked="0"/>
    </xf>
    <xf numFmtId="6" fontId="25" fillId="10" borderId="0" xfId="0" applyNumberFormat="1" applyFont="1" applyFill="1" applyBorder="1" applyAlignment="1" applyProtection="1">
      <alignment vertical="center"/>
      <protection locked="0"/>
    </xf>
    <xf numFmtId="6" fontId="25" fillId="14" borderId="0" xfId="0" applyNumberFormat="1" applyFont="1" applyFill="1" applyBorder="1" applyAlignment="1" applyProtection="1">
      <alignment vertical="center"/>
      <protection locked="0"/>
    </xf>
    <xf numFmtId="0" fontId="30" fillId="9" borderId="0" xfId="0" applyFont="1" applyFill="1" applyBorder="1" applyAlignment="1" applyProtection="1">
      <alignment vertical="center"/>
    </xf>
    <xf numFmtId="0" fontId="31" fillId="9" borderId="0" xfId="0" applyFont="1" applyFill="1" applyBorder="1" applyAlignment="1" applyProtection="1">
      <alignment horizontal="right" vertical="center"/>
    </xf>
    <xf numFmtId="6" fontId="25" fillId="10" borderId="0" xfId="0" applyNumberFormat="1" applyFont="1" applyFill="1" applyBorder="1" applyAlignment="1" applyProtection="1">
      <alignment vertical="center"/>
    </xf>
    <xf numFmtId="0" fontId="26" fillId="2" borderId="0" xfId="0" applyFont="1" applyFill="1" applyBorder="1" applyAlignment="1" applyProtection="1">
      <alignment horizontal="right" vertical="center"/>
    </xf>
    <xf numFmtId="0" fontId="25" fillId="9" borderId="0" xfId="0" applyFont="1" applyFill="1" applyBorder="1" applyAlignment="1" applyProtection="1">
      <alignment horizontal="right" vertical="center"/>
    </xf>
    <xf numFmtId="0" fontId="32" fillId="3" borderId="0" xfId="0" applyFont="1" applyFill="1" applyBorder="1" applyAlignment="1" applyProtection="1">
      <alignment vertical="center"/>
    </xf>
    <xf numFmtId="0" fontId="33" fillId="14" borderId="0" xfId="0" applyFont="1" applyFill="1" applyBorder="1" applyAlignment="1" applyProtection="1">
      <alignment vertical="center"/>
      <protection locked="0"/>
    </xf>
    <xf numFmtId="0" fontId="25" fillId="14" borderId="0" xfId="0" applyFont="1" applyFill="1" applyBorder="1" applyAlignment="1" applyProtection="1">
      <alignment horizontal="center" vertical="center"/>
      <protection locked="0"/>
    </xf>
    <xf numFmtId="0" fontId="29" fillId="9" borderId="0" xfId="0" applyFont="1" applyFill="1" applyBorder="1" applyAlignment="1" applyProtection="1">
      <alignment vertical="center" wrapText="1"/>
    </xf>
    <xf numFmtId="0" fontId="29" fillId="9" borderId="0" xfId="0" applyFont="1" applyFill="1" applyBorder="1" applyAlignment="1" applyProtection="1">
      <alignment vertical="center" wrapText="1"/>
      <protection locked="0"/>
    </xf>
    <xf numFmtId="0" fontId="33" fillId="0" borderId="0" xfId="0" applyFont="1" applyBorder="1" applyAlignment="1" applyProtection="1">
      <alignment vertical="center"/>
    </xf>
    <xf numFmtId="0" fontId="29" fillId="9" borderId="0" xfId="0" applyFont="1" applyFill="1" applyBorder="1" applyAlignment="1" applyProtection="1">
      <alignment horizontal="center" vertical="center" wrapText="1"/>
      <protection locked="0"/>
    </xf>
    <xf numFmtId="0" fontId="29" fillId="14" borderId="0" xfId="0" applyFont="1" applyFill="1" applyBorder="1" applyAlignment="1" applyProtection="1">
      <alignment vertical="center" wrapText="1"/>
      <protection locked="0"/>
    </xf>
    <xf numFmtId="0" fontId="29" fillId="14" borderId="0" xfId="0" applyFont="1" applyFill="1" applyBorder="1" applyAlignment="1" applyProtection="1">
      <alignment horizontal="center" vertical="center" wrapText="1"/>
      <protection locked="0"/>
    </xf>
    <xf numFmtId="9" fontId="25" fillId="10" borderId="0" xfId="0" applyNumberFormat="1" applyFont="1" applyFill="1" applyBorder="1" applyAlignment="1" applyProtection="1">
      <alignment horizontal="right" vertical="center" wrapText="1"/>
      <protection locked="0"/>
    </xf>
    <xf numFmtId="164" fontId="25" fillId="10" borderId="0" xfId="0" applyNumberFormat="1" applyFont="1" applyFill="1" applyBorder="1" applyAlignment="1" applyProtection="1">
      <alignment horizontal="right" vertical="center" wrapText="1"/>
      <protection locked="0"/>
    </xf>
    <xf numFmtId="0" fontId="26" fillId="3" borderId="0" xfId="0" applyFont="1" applyFill="1" applyBorder="1" applyAlignment="1">
      <alignment horizontal="right" vertical="center"/>
    </xf>
    <xf numFmtId="9" fontId="25" fillId="14" borderId="0" xfId="0" applyNumberFormat="1" applyFont="1" applyFill="1" applyBorder="1" applyAlignment="1" applyProtection="1">
      <alignment horizontal="right" vertical="center" wrapText="1"/>
      <protection locked="0"/>
    </xf>
    <xf numFmtId="164" fontId="25" fillId="14" borderId="0" xfId="0" applyNumberFormat="1" applyFont="1" applyFill="1" applyBorder="1" applyAlignment="1" applyProtection="1">
      <alignment horizontal="right" vertical="center" wrapText="1"/>
      <protection locked="0"/>
    </xf>
    <xf numFmtId="0" fontId="25" fillId="14" borderId="0" xfId="0" applyFont="1" applyFill="1" applyBorder="1" applyAlignment="1" applyProtection="1">
      <alignment vertical="center" wrapText="1"/>
      <protection locked="0"/>
    </xf>
    <xf numFmtId="0" fontId="26" fillId="0" borderId="0" xfId="0" applyFont="1" applyBorder="1" applyAlignment="1">
      <alignment horizontal="right" vertical="center"/>
    </xf>
    <xf numFmtId="0" fontId="25" fillId="9" borderId="0" xfId="0" applyFont="1" applyFill="1" applyBorder="1" applyAlignment="1" applyProtection="1">
      <alignment vertical="center" wrapText="1"/>
    </xf>
    <xf numFmtId="9" fontId="25" fillId="2" borderId="0" xfId="0" applyNumberFormat="1" applyFont="1" applyFill="1" applyBorder="1" applyAlignment="1" applyProtection="1">
      <alignment horizontal="left" vertical="center"/>
      <protection locked="0"/>
    </xf>
    <xf numFmtId="9" fontId="25" fillId="10" borderId="0" xfId="0" applyNumberFormat="1" applyFont="1" applyFill="1" applyBorder="1" applyAlignment="1" applyProtection="1">
      <alignment horizontal="left" vertical="center"/>
      <protection locked="0"/>
    </xf>
    <xf numFmtId="9" fontId="25" fillId="14" borderId="0" xfId="0" applyNumberFormat="1" applyFont="1" applyFill="1" applyBorder="1" applyAlignment="1" applyProtection="1">
      <alignment horizontal="left" vertical="center"/>
      <protection locked="0"/>
    </xf>
    <xf numFmtId="0" fontId="26" fillId="15" borderId="11" xfId="0" applyFont="1" applyFill="1" applyBorder="1" applyAlignment="1">
      <alignment horizontal="center" wrapText="1"/>
    </xf>
    <xf numFmtId="0" fontId="26" fillId="15" borderId="6" xfId="0" applyFont="1" applyFill="1" applyBorder="1" applyAlignment="1">
      <alignment horizontal="center" wrapText="1"/>
    </xf>
    <xf numFmtId="0" fontId="26" fillId="6" borderId="6" xfId="0" applyFont="1" applyFill="1" applyBorder="1" applyAlignment="1">
      <alignment horizontal="center" wrapText="1"/>
    </xf>
    <xf numFmtId="0" fontId="26" fillId="6" borderId="7" xfId="0" applyFont="1" applyFill="1" applyBorder="1" applyAlignment="1">
      <alignment horizontal="center" wrapText="1"/>
    </xf>
    <xf numFmtId="0" fontId="27" fillId="2" borderId="0" xfId="0" applyFont="1" applyFill="1"/>
    <xf numFmtId="0" fontId="25" fillId="2" borderId="0" xfId="0" applyFont="1" applyFill="1"/>
    <xf numFmtId="0" fontId="25" fillId="15" borderId="1" xfId="0" applyFont="1" applyFill="1" applyBorder="1"/>
    <xf numFmtId="0" fontId="25" fillId="15" borderId="0" xfId="0" applyFont="1" applyFill="1" applyBorder="1" applyAlignment="1"/>
    <xf numFmtId="0" fontId="25" fillId="6" borderId="2" xfId="0" applyFont="1" applyFill="1" applyBorder="1" applyAlignment="1"/>
    <xf numFmtId="0" fontId="25" fillId="7" borderId="1" xfId="0" applyFont="1" applyFill="1" applyBorder="1" applyAlignment="1">
      <alignment wrapText="1"/>
    </xf>
    <xf numFmtId="9" fontId="25" fillId="7" borderId="0" xfId="0" applyNumberFormat="1" applyFont="1" applyFill="1" applyBorder="1" applyAlignment="1">
      <alignment horizontal="left" wrapText="1"/>
    </xf>
    <xf numFmtId="164" fontId="25" fillId="7" borderId="0" xfId="0" applyNumberFormat="1" applyFont="1" applyFill="1" applyBorder="1" applyAlignment="1">
      <alignment horizontal="left" wrapText="1"/>
    </xf>
    <xf numFmtId="1" fontId="26" fillId="15" borderId="1" xfId="0" applyNumberFormat="1" applyFont="1" applyFill="1" applyBorder="1" applyAlignment="1">
      <alignment horizontal="right"/>
    </xf>
    <xf numFmtId="1" fontId="25" fillId="15" borderId="0" xfId="0" applyNumberFormat="1" applyFont="1" applyFill="1" applyBorder="1" applyAlignment="1">
      <alignment horizontal="center"/>
    </xf>
    <xf numFmtId="165" fontId="25" fillId="6" borderId="0" xfId="0" applyNumberFormat="1" applyFont="1" applyFill="1" applyBorder="1" applyAlignment="1">
      <alignment horizontal="center"/>
    </xf>
    <xf numFmtId="165" fontId="25" fillId="6" borderId="2" xfId="0" applyNumberFormat="1" applyFont="1" applyFill="1" applyBorder="1" applyAlignment="1">
      <alignment horizontal="center"/>
    </xf>
    <xf numFmtId="0" fontId="26" fillId="15" borderId="1" xfId="0" applyFont="1" applyFill="1" applyBorder="1" applyAlignment="1">
      <alignment horizontal="right"/>
    </xf>
    <xf numFmtId="0" fontId="25" fillId="15" borderId="0" xfId="0" applyFont="1" applyFill="1" applyBorder="1" applyAlignment="1">
      <alignment horizontal="center"/>
    </xf>
    <xf numFmtId="0" fontId="25" fillId="6" borderId="0" xfId="0" applyFont="1" applyFill="1" applyBorder="1" applyAlignment="1">
      <alignment horizontal="center"/>
    </xf>
    <xf numFmtId="0" fontId="25" fillId="6" borderId="2" xfId="0" applyFont="1" applyFill="1" applyBorder="1" applyAlignment="1">
      <alignment horizontal="center"/>
    </xf>
    <xf numFmtId="0" fontId="25" fillId="6" borderId="0" xfId="0" applyFont="1" applyFill="1" applyBorder="1" applyAlignment="1"/>
    <xf numFmtId="0" fontId="25" fillId="15" borderId="3" xfId="0" applyFont="1" applyFill="1" applyBorder="1"/>
    <xf numFmtId="0" fontId="25" fillId="15" borderId="4" xfId="0" applyFont="1" applyFill="1" applyBorder="1" applyAlignment="1"/>
    <xf numFmtId="0" fontId="25" fillId="6" borderId="4" xfId="0" applyFont="1" applyFill="1" applyBorder="1" applyAlignment="1"/>
    <xf numFmtId="0" fontId="25" fillId="6" borderId="5" xfId="0" applyFont="1" applyFill="1" applyBorder="1" applyAlignment="1"/>
    <xf numFmtId="9" fontId="25" fillId="7" borderId="0" xfId="0" applyNumberFormat="1" applyFont="1" applyFill="1" applyBorder="1" applyAlignment="1">
      <alignment horizontal="right"/>
    </xf>
    <xf numFmtId="0" fontId="25" fillId="7" borderId="0" xfId="0" applyFont="1" applyFill="1" applyBorder="1" applyAlignment="1">
      <alignment horizontal="left"/>
    </xf>
    <xf numFmtId="0" fontId="25" fillId="7" borderId="0" xfId="0" applyFont="1" applyFill="1" applyBorder="1" applyAlignment="1"/>
    <xf numFmtId="0" fontId="25" fillId="7" borderId="2" xfId="0" applyFont="1" applyFill="1" applyBorder="1" applyAlignment="1"/>
    <xf numFmtId="0" fontId="25" fillId="2" borderId="0" xfId="0" applyFont="1" applyFill="1" applyBorder="1"/>
    <xf numFmtId="0" fontId="29" fillId="2" borderId="0" xfId="0" applyFont="1" applyFill="1" applyBorder="1"/>
    <xf numFmtId="0" fontId="2" fillId="2" borderId="0" xfId="0" applyFont="1" applyFill="1" applyAlignment="1">
      <alignment horizontal="right"/>
    </xf>
    <xf numFmtId="0" fontId="8" fillId="9" borderId="0" xfId="0" applyFont="1" applyFill="1" applyBorder="1" applyAlignment="1" applyProtection="1">
      <alignment vertical="center"/>
    </xf>
    <xf numFmtId="0" fontId="25" fillId="3" borderId="0" xfId="0" applyFont="1" applyFill="1" applyBorder="1" applyAlignment="1" applyProtection="1">
      <alignment horizontal="right" vertical="center"/>
    </xf>
    <xf numFmtId="0" fontId="30" fillId="14" borderId="0" xfId="0" applyFont="1" applyFill="1" applyBorder="1" applyAlignment="1" applyProtection="1">
      <alignment vertical="center"/>
      <protection locked="0"/>
    </xf>
    <xf numFmtId="0" fontId="35" fillId="3" borderId="0" xfId="0" applyFont="1" applyFill="1" applyBorder="1" applyAlignment="1">
      <alignment vertical="center"/>
    </xf>
    <xf numFmtId="0" fontId="6" fillId="7" borderId="0" xfId="0" applyFont="1" applyFill="1" applyBorder="1" applyAlignment="1">
      <alignment horizontal="center"/>
    </xf>
    <xf numFmtId="0" fontId="26" fillId="7" borderId="3" xfId="0" applyFont="1" applyFill="1" applyBorder="1" applyAlignment="1">
      <alignment horizontal="right" wrapText="1"/>
    </xf>
    <xf numFmtId="0" fontId="33" fillId="8" borderId="4" xfId="0" applyFont="1" applyFill="1" applyBorder="1" applyAlignment="1">
      <alignment horizontal="right"/>
    </xf>
    <xf numFmtId="0" fontId="33" fillId="8" borderId="5" xfId="0" applyFont="1" applyFill="1" applyBorder="1" applyAlignment="1">
      <alignment horizontal="right"/>
    </xf>
    <xf numFmtId="0" fontId="26" fillId="7" borderId="17" xfId="0" applyFont="1" applyFill="1" applyBorder="1" applyAlignment="1">
      <alignment wrapText="1"/>
    </xf>
    <xf numFmtId="0" fontId="29" fillId="7" borderId="18" xfId="0" applyFont="1" applyFill="1" applyBorder="1" applyAlignment="1">
      <alignment wrapText="1"/>
    </xf>
    <xf numFmtId="0" fontId="25" fillId="7" borderId="18" xfId="0" applyFont="1" applyFill="1" applyBorder="1" applyAlignment="1">
      <alignment wrapText="1"/>
    </xf>
    <xf numFmtId="0" fontId="25" fillId="7" borderId="19" xfId="0" applyFont="1" applyFill="1" applyBorder="1" applyAlignment="1">
      <alignment wrapText="1"/>
    </xf>
    <xf numFmtId="0" fontId="26" fillId="7" borderId="8" xfId="0" applyFont="1" applyFill="1" applyBorder="1" applyAlignment="1">
      <alignment horizontal="center" wrapText="1"/>
    </xf>
    <xf numFmtId="0" fontId="26" fillId="7" borderId="9" xfId="0" applyFont="1" applyFill="1" applyBorder="1" applyAlignment="1">
      <alignment horizontal="center" wrapText="1"/>
    </xf>
    <xf numFmtId="0" fontId="29" fillId="7" borderId="1" xfId="0" applyFont="1" applyFill="1" applyBorder="1" applyAlignment="1">
      <alignment horizontal="center" wrapText="1"/>
    </xf>
    <xf numFmtId="0" fontId="29" fillId="7" borderId="0" xfId="0" applyFont="1" applyFill="1" applyBorder="1" applyAlignment="1">
      <alignment horizontal="center" wrapText="1"/>
    </xf>
    <xf numFmtId="9" fontId="25" fillId="7" borderId="1" xfId="0" applyNumberFormat="1" applyFont="1" applyFill="1" applyBorder="1" applyAlignment="1">
      <alignment horizontal="center" wrapText="1"/>
    </xf>
    <xf numFmtId="164" fontId="25" fillId="7" borderId="0" xfId="0" applyNumberFormat="1" applyFont="1" applyFill="1" applyBorder="1" applyAlignment="1">
      <alignment horizontal="center" wrapText="1"/>
    </xf>
    <xf numFmtId="9" fontId="25" fillId="7" borderId="3" xfId="0" applyNumberFormat="1" applyFont="1" applyFill="1" applyBorder="1" applyAlignment="1">
      <alignment horizontal="center" wrapText="1"/>
    </xf>
    <xf numFmtId="164" fontId="25" fillId="7" borderId="4" xfId="0" applyNumberFormat="1" applyFont="1" applyFill="1" applyBorder="1" applyAlignment="1">
      <alignment horizontal="center" wrapText="1"/>
    </xf>
    <xf numFmtId="0" fontId="25" fillId="7" borderId="0" xfId="0" applyFont="1" applyFill="1" applyBorder="1" applyAlignment="1">
      <alignment wrapText="1"/>
    </xf>
    <xf numFmtId="0" fontId="26" fillId="7" borderId="4" xfId="0" applyFont="1" applyFill="1" applyBorder="1" applyAlignment="1">
      <alignment horizontal="right" wrapText="1"/>
    </xf>
    <xf numFmtId="0" fontId="4" fillId="14" borderId="0" xfId="0" applyFont="1" applyFill="1" applyBorder="1" applyAlignment="1">
      <alignment horizontal="left" vertical="top" wrapText="1"/>
    </xf>
    <xf numFmtId="0" fontId="25" fillId="2" borderId="0" xfId="0" applyFont="1" applyFill="1" applyAlignment="1">
      <alignment vertical="center"/>
    </xf>
    <xf numFmtId="0" fontId="25" fillId="2" borderId="0" xfId="0" applyFont="1" applyFill="1" applyBorder="1" applyAlignment="1">
      <alignment vertical="center"/>
    </xf>
    <xf numFmtId="0" fontId="26" fillId="2" borderId="0" xfId="0" applyFont="1" applyFill="1" applyBorder="1" applyAlignment="1">
      <alignment horizontal="left" vertical="center"/>
    </xf>
    <xf numFmtId="0" fontId="34" fillId="2" borderId="0" xfId="0" applyFont="1" applyFill="1" applyBorder="1" applyAlignment="1">
      <alignment vertical="center" wrapText="1"/>
    </xf>
    <xf numFmtId="0" fontId="25" fillId="2" borderId="0" xfId="0" applyFont="1" applyFill="1" applyBorder="1" applyAlignment="1">
      <alignment horizontal="left" vertical="center"/>
    </xf>
    <xf numFmtId="166" fontId="25" fillId="2" borderId="0" xfId="0" applyNumberFormat="1" applyFont="1" applyFill="1" applyBorder="1" applyAlignment="1">
      <alignment horizontal="left" vertical="center"/>
    </xf>
    <xf numFmtId="2" fontId="25" fillId="2" borderId="0" xfId="0" applyNumberFormat="1" applyFont="1" applyFill="1" applyBorder="1" applyAlignment="1">
      <alignment horizontal="left" vertical="center"/>
    </xf>
    <xf numFmtId="1" fontId="25" fillId="2" borderId="0" xfId="0" applyNumberFormat="1" applyFont="1" applyFill="1" applyBorder="1" applyAlignment="1">
      <alignment horizontal="left" vertical="center"/>
    </xf>
    <xf numFmtId="6" fontId="25" fillId="2" borderId="0" xfId="0" applyNumberFormat="1" applyFont="1" applyFill="1" applyBorder="1" applyAlignment="1">
      <alignment horizontal="left" vertical="center"/>
    </xf>
    <xf numFmtId="0" fontId="25" fillId="2" borderId="0" xfId="0" applyFont="1" applyFill="1" applyBorder="1" applyAlignment="1">
      <alignment vertical="center" wrapText="1"/>
    </xf>
    <xf numFmtId="164" fontId="25" fillId="2" borderId="0" xfId="0" applyNumberFormat="1" applyFont="1" applyFill="1" applyBorder="1" applyAlignment="1">
      <alignment horizontal="left" vertical="center"/>
    </xf>
    <xf numFmtId="0" fontId="26" fillId="2" borderId="0" xfId="0" applyFont="1" applyFill="1" applyBorder="1" applyAlignment="1">
      <alignment vertical="center" wrapText="1"/>
    </xf>
    <xf numFmtId="6" fontId="25" fillId="2" borderId="13" xfId="0" applyNumberFormat="1" applyFont="1" applyFill="1" applyBorder="1" applyAlignment="1">
      <alignment horizontal="left" vertical="center"/>
    </xf>
    <xf numFmtId="0" fontId="25" fillId="2" borderId="13" xfId="0" applyFont="1" applyFill="1" applyBorder="1" applyAlignment="1">
      <alignment vertical="center"/>
    </xf>
    <xf numFmtId="0" fontId="25" fillId="2" borderId="12" xfId="0" applyFont="1" applyFill="1" applyBorder="1" applyAlignment="1">
      <alignment horizontal="left" vertical="center"/>
    </xf>
    <xf numFmtId="0" fontId="25" fillId="2" borderId="12" xfId="0" applyFont="1" applyFill="1" applyBorder="1" applyAlignment="1">
      <alignment vertical="center"/>
    </xf>
    <xf numFmtId="6" fontId="25" fillId="2" borderId="12" xfId="0" applyNumberFormat="1" applyFont="1" applyFill="1" applyBorder="1" applyAlignment="1">
      <alignment horizontal="left" vertical="center"/>
    </xf>
    <xf numFmtId="6" fontId="26" fillId="2" borderId="12" xfId="0" applyNumberFormat="1" applyFont="1" applyFill="1" applyBorder="1" applyAlignment="1">
      <alignment horizontal="left" vertical="center"/>
    </xf>
    <xf numFmtId="164" fontId="25" fillId="10" borderId="0" xfId="0" applyNumberFormat="1" applyFont="1" applyFill="1" applyBorder="1" applyAlignment="1" applyProtection="1">
      <alignment horizontal="right" vertical="center"/>
    </xf>
    <xf numFmtId="0" fontId="3" fillId="14" borderId="0" xfId="0" applyFont="1" applyFill="1" applyBorder="1" applyAlignment="1">
      <alignment vertical="top" wrapText="1"/>
    </xf>
    <xf numFmtId="0" fontId="3" fillId="14" borderId="0" xfId="0" applyFont="1" applyFill="1" applyBorder="1" applyAlignment="1"/>
    <xf numFmtId="0" fontId="3" fillId="14" borderId="0" xfId="0" applyFont="1" applyFill="1" applyBorder="1" applyAlignment="1">
      <alignment vertical="top"/>
    </xf>
    <xf numFmtId="0" fontId="26" fillId="14" borderId="0" xfId="0" applyFont="1" applyFill="1" applyBorder="1" applyAlignment="1">
      <alignment horizontal="right" vertical="center"/>
    </xf>
    <xf numFmtId="0" fontId="26" fillId="16" borderId="0" xfId="0" applyFont="1" applyFill="1" applyBorder="1" applyAlignment="1" applyProtection="1">
      <alignment horizontal="right" vertical="center"/>
    </xf>
    <xf numFmtId="0" fontId="25" fillId="16" borderId="0" xfId="0" applyFont="1" applyFill="1" applyBorder="1" applyAlignment="1" applyProtection="1">
      <alignment vertical="center"/>
    </xf>
    <xf numFmtId="0" fontId="26" fillId="7" borderId="10" xfId="0" applyFont="1" applyFill="1" applyBorder="1" applyAlignment="1">
      <alignment horizontal="center" wrapText="1"/>
    </xf>
    <xf numFmtId="0" fontId="29" fillId="7" borderId="2" xfId="0" applyFont="1" applyFill="1" applyBorder="1" applyAlignment="1">
      <alignment wrapText="1"/>
    </xf>
    <xf numFmtId="1" fontId="25" fillId="7" borderId="2" xfId="0" applyNumberFormat="1" applyFont="1" applyFill="1" applyBorder="1" applyAlignment="1">
      <alignment horizontal="center" wrapText="1"/>
    </xf>
    <xf numFmtId="1" fontId="25" fillId="7" borderId="5" xfId="0" applyNumberFormat="1" applyFont="1" applyFill="1" applyBorder="1" applyAlignment="1">
      <alignment horizontal="center" wrapText="1"/>
    </xf>
    <xf numFmtId="0" fontId="39" fillId="2" borderId="0" xfId="0" applyFont="1" applyFill="1" applyBorder="1"/>
    <xf numFmtId="6" fontId="3" fillId="0" borderId="0" xfId="0" applyNumberFormat="1" applyFont="1" applyFill="1" applyBorder="1" applyAlignment="1">
      <alignment horizontal="left" vertical="top"/>
    </xf>
    <xf numFmtId="164" fontId="3" fillId="14" borderId="0" xfId="0" applyNumberFormat="1" applyFont="1" applyFill="1" applyBorder="1" applyAlignment="1">
      <alignment horizontal="left" vertical="top"/>
    </xf>
    <xf numFmtId="44" fontId="3" fillId="14" borderId="0" xfId="1" applyFont="1" applyFill="1" applyBorder="1" applyAlignment="1">
      <alignment horizontal="center" vertical="top" wrapText="1"/>
    </xf>
    <xf numFmtId="44" fontId="3" fillId="14" borderId="0" xfId="1" applyFont="1" applyFill="1" applyBorder="1" applyAlignment="1">
      <alignment horizontal="center" vertical="top"/>
    </xf>
    <xf numFmtId="44" fontId="3" fillId="14" borderId="0" xfId="1" applyFont="1" applyFill="1" applyBorder="1" applyAlignment="1">
      <alignment horizontal="left" vertical="top" wrapText="1"/>
    </xf>
    <xf numFmtId="44" fontId="3" fillId="14" borderId="0" xfId="1" applyFont="1" applyFill="1" applyBorder="1" applyAlignment="1">
      <alignment horizontal="left" vertical="top"/>
    </xf>
    <xf numFmtId="0" fontId="9" fillId="3" borderId="0" xfId="0" applyFont="1" applyFill="1" applyBorder="1" applyAlignment="1">
      <alignment horizontal="right" vertical="center" wrapText="1"/>
    </xf>
    <xf numFmtId="0" fontId="9" fillId="3" borderId="0" xfId="0" applyFont="1" applyFill="1" applyBorder="1" applyAlignment="1">
      <alignment horizontal="right" vertical="center"/>
    </xf>
    <xf numFmtId="0" fontId="8" fillId="3" borderId="0" xfId="0" applyFont="1" applyFill="1" applyBorder="1" applyAlignment="1">
      <alignment horizontal="center" vertical="center"/>
    </xf>
    <xf numFmtId="0" fontId="8" fillId="3" borderId="0" xfId="0" applyFont="1" applyFill="1" applyBorder="1" applyAlignment="1">
      <alignment horizontal="left" vertical="center"/>
    </xf>
    <xf numFmtId="0" fontId="8" fillId="3" borderId="0" xfId="0" applyFont="1" applyFill="1" applyBorder="1" applyAlignment="1">
      <alignment horizontal="left" vertical="center" wrapText="1"/>
    </xf>
    <xf numFmtId="0" fontId="3" fillId="3" borderId="0" xfId="0" applyFont="1" applyFill="1" applyAlignment="1">
      <alignment horizontal="center" vertical="center"/>
    </xf>
    <xf numFmtId="0" fontId="13" fillId="5" borderId="0" xfId="0" applyFont="1" applyFill="1" applyAlignment="1">
      <alignment horizontal="center" vertical="center"/>
    </xf>
    <xf numFmtId="0" fontId="5" fillId="3" borderId="0" xfId="0" applyFont="1" applyFill="1" applyBorder="1" applyAlignment="1">
      <alignment horizontal="right" vertical="center"/>
    </xf>
    <xf numFmtId="0" fontId="8" fillId="14" borderId="0" xfId="0" applyFont="1" applyFill="1" applyBorder="1" applyAlignment="1">
      <alignment horizontal="left" vertical="center" wrapText="1"/>
    </xf>
    <xf numFmtId="0" fontId="26" fillId="9" borderId="0" xfId="0" applyFont="1" applyFill="1" applyBorder="1" applyAlignment="1" applyProtection="1">
      <alignment horizontal="right" vertical="center"/>
    </xf>
    <xf numFmtId="0" fontId="25" fillId="9" borderId="0" xfId="0" applyFont="1" applyFill="1" applyBorder="1" applyAlignment="1" applyProtection="1">
      <alignment horizontal="center" vertical="center" wrapText="1"/>
    </xf>
    <xf numFmtId="0" fontId="25" fillId="14" borderId="0" xfId="0" applyFont="1" applyFill="1" applyBorder="1" applyAlignment="1" applyProtection="1">
      <alignment vertical="center"/>
      <protection locked="0"/>
    </xf>
    <xf numFmtId="0" fontId="29" fillId="14" borderId="0" xfId="0" applyFont="1" applyFill="1" applyBorder="1" applyAlignment="1" applyProtection="1">
      <alignment vertical="center" wrapText="1"/>
      <protection locked="0"/>
    </xf>
    <xf numFmtId="0" fontId="25" fillId="14" borderId="0" xfId="0" applyFont="1" applyFill="1" applyBorder="1" applyAlignment="1" applyProtection="1">
      <alignment vertical="center" wrapText="1"/>
      <protection locked="0"/>
    </xf>
    <xf numFmtId="0" fontId="8" fillId="14" borderId="0" xfId="0" applyFont="1" applyFill="1" applyBorder="1" applyAlignment="1" applyProtection="1">
      <alignment vertical="center" wrapText="1"/>
      <protection locked="0"/>
    </xf>
    <xf numFmtId="0" fontId="26" fillId="14" borderId="0" xfId="0" applyFont="1" applyFill="1" applyBorder="1" applyAlignment="1" applyProtection="1">
      <alignment vertical="center"/>
      <protection locked="0"/>
    </xf>
    <xf numFmtId="0" fontId="26" fillId="9" borderId="0" xfId="0" applyFont="1" applyFill="1" applyBorder="1" applyAlignment="1" applyProtection="1">
      <alignment vertical="center"/>
    </xf>
    <xf numFmtId="0" fontId="25" fillId="9" borderId="0" xfId="0" applyFont="1" applyFill="1" applyBorder="1" applyAlignment="1" applyProtection="1">
      <alignment vertical="center"/>
    </xf>
    <xf numFmtId="0" fontId="29" fillId="9" borderId="0" xfId="0" applyFont="1" applyFill="1" applyBorder="1" applyAlignment="1" applyProtection="1">
      <alignment horizontal="left" vertical="center" wrapText="1"/>
    </xf>
    <xf numFmtId="0" fontId="29" fillId="14" borderId="0" xfId="0" applyFont="1" applyFill="1" applyBorder="1" applyAlignment="1" applyProtection="1">
      <alignment horizontal="center" vertical="center" wrapText="1"/>
      <protection locked="0"/>
    </xf>
    <xf numFmtId="0" fontId="25" fillId="9" borderId="0" xfId="0" applyFont="1" applyFill="1" applyBorder="1" applyAlignment="1" applyProtection="1">
      <alignment vertical="center" wrapText="1"/>
    </xf>
    <xf numFmtId="0" fontId="29" fillId="9" borderId="0" xfId="0" applyFont="1" applyFill="1" applyBorder="1" applyAlignment="1" applyProtection="1">
      <alignment vertical="center" wrapText="1"/>
    </xf>
    <xf numFmtId="0" fontId="29" fillId="9" borderId="0" xfId="0" applyFont="1" applyFill="1" applyBorder="1" applyAlignment="1" applyProtection="1">
      <alignment horizontal="center" vertical="center" wrapText="1"/>
      <protection locked="0"/>
    </xf>
    <xf numFmtId="0" fontId="25" fillId="9" borderId="0" xfId="0" applyFont="1" applyFill="1" applyBorder="1" applyAlignment="1" applyProtection="1">
      <alignment vertical="center"/>
      <protection locked="0"/>
    </xf>
    <xf numFmtId="0" fontId="25" fillId="2" borderId="0" xfId="0" applyFont="1" applyFill="1" applyBorder="1" applyAlignment="1" applyProtection="1">
      <alignment horizontal="right" vertical="center"/>
    </xf>
    <xf numFmtId="0" fontId="29" fillId="9" borderId="0" xfId="0" applyFont="1" applyFill="1" applyBorder="1" applyAlignment="1" applyProtection="1">
      <alignment vertical="center" wrapText="1"/>
      <protection locked="0"/>
    </xf>
    <xf numFmtId="0" fontId="13" fillId="13" borderId="0" xfId="0" applyFont="1" applyFill="1" applyAlignment="1">
      <alignment horizontal="center" vertical="center"/>
    </xf>
    <xf numFmtId="0" fontId="36" fillId="2" borderId="0" xfId="0" applyFont="1" applyFill="1" applyBorder="1" applyAlignment="1">
      <alignment horizontal="center" vertical="center"/>
    </xf>
    <xf numFmtId="0" fontId="38" fillId="2" borderId="0" xfId="0" applyFont="1" applyFill="1" applyBorder="1" applyAlignment="1">
      <alignment vertical="center"/>
    </xf>
    <xf numFmtId="0" fontId="25" fillId="2" borderId="0" xfId="0" applyFont="1" applyFill="1" applyBorder="1" applyAlignment="1">
      <alignment vertical="center" wrapText="1"/>
    </xf>
    <xf numFmtId="0" fontId="33" fillId="0" borderId="0" xfId="0" applyFont="1" applyBorder="1" applyAlignment="1">
      <alignment vertical="center"/>
    </xf>
    <xf numFmtId="0" fontId="26" fillId="2" borderId="13" xfId="0" applyFont="1" applyFill="1" applyBorder="1" applyAlignment="1">
      <alignment vertical="center" wrapText="1"/>
    </xf>
    <xf numFmtId="0" fontId="33" fillId="0" borderId="13" xfId="0" applyFont="1" applyBorder="1" applyAlignment="1">
      <alignment vertical="center"/>
    </xf>
    <xf numFmtId="0" fontId="26" fillId="2" borderId="12" xfId="0" applyFont="1" applyFill="1" applyBorder="1" applyAlignment="1">
      <alignment vertical="center" wrapText="1"/>
    </xf>
    <xf numFmtId="0" fontId="33" fillId="0" borderId="12" xfId="0" applyFont="1" applyBorder="1" applyAlignment="1">
      <alignment vertical="center"/>
    </xf>
    <xf numFmtId="0" fontId="6" fillId="7" borderId="8" xfId="0" applyFont="1" applyFill="1" applyBorder="1" applyAlignment="1">
      <alignment horizontal="center"/>
    </xf>
    <xf numFmtId="0" fontId="6" fillId="7" borderId="9" xfId="0" applyFont="1" applyFill="1" applyBorder="1" applyAlignment="1">
      <alignment horizontal="center"/>
    </xf>
    <xf numFmtId="0" fontId="7" fillId="7" borderId="9" xfId="0" applyFont="1" applyFill="1" applyBorder="1" applyAlignment="1"/>
    <xf numFmtId="0" fontId="7" fillId="7" borderId="10" xfId="0" applyFont="1" applyFill="1" applyBorder="1" applyAlignment="1"/>
    <xf numFmtId="0" fontId="26" fillId="2" borderId="0" xfId="0" applyFont="1" applyFill="1" applyBorder="1" applyAlignment="1">
      <alignment vertical="center" wrapText="1"/>
    </xf>
    <xf numFmtId="0" fontId="39" fillId="2" borderId="0" xfId="0" applyFont="1" applyFill="1" applyBorder="1" applyAlignment="1">
      <alignment vertical="center" wrapText="1"/>
    </xf>
    <xf numFmtId="0" fontId="38" fillId="16" borderId="0" xfId="0" applyFont="1" applyFill="1" applyBorder="1" applyAlignment="1">
      <alignment horizontal="center" vertical="center" wrapText="1"/>
    </xf>
    <xf numFmtId="0" fontId="3" fillId="14" borderId="0" xfId="0" applyFont="1" applyFill="1" applyBorder="1" applyAlignment="1">
      <alignment horizontal="left" vertical="top" wrapText="1"/>
    </xf>
    <xf numFmtId="0" fontId="9" fillId="3" borderId="0" xfId="0" applyFont="1" applyFill="1" applyBorder="1" applyAlignment="1">
      <alignment horizontal="right"/>
    </xf>
    <xf numFmtId="0" fontId="3" fillId="14" borderId="0" xfId="0" applyFont="1" applyFill="1" applyBorder="1" applyAlignment="1">
      <alignment vertical="top" wrapText="1"/>
    </xf>
    <xf numFmtId="0" fontId="9" fillId="14" borderId="0" xfId="0" applyFont="1" applyFill="1" applyBorder="1" applyAlignment="1">
      <alignment horizontal="left"/>
    </xf>
    <xf numFmtId="0" fontId="13" fillId="5" borderId="0" xfId="0" applyFont="1" applyFill="1" applyBorder="1" applyAlignment="1">
      <alignment horizontal="center" vertical="center"/>
    </xf>
    <xf numFmtId="0" fontId="9" fillId="14" borderId="0" xfId="0" applyFont="1" applyFill="1" applyBorder="1" applyAlignment="1">
      <alignment horizontal="center" vertical="top" wrapText="1"/>
    </xf>
    <xf numFmtId="0" fontId="3" fillId="14" borderId="0" xfId="0" applyFont="1" applyFill="1" applyBorder="1" applyAlignment="1"/>
    <xf numFmtId="0" fontId="3" fillId="14" borderId="0" xfId="0" applyFont="1" applyFill="1" applyBorder="1" applyAlignment="1">
      <alignment vertical="top"/>
    </xf>
    <xf numFmtId="0" fontId="9" fillId="12" borderId="14" xfId="0" applyFont="1" applyFill="1" applyBorder="1" applyAlignment="1">
      <alignment horizontal="left"/>
    </xf>
    <xf numFmtId="0" fontId="9" fillId="12" borderId="15" xfId="0" applyFont="1" applyFill="1" applyBorder="1" applyAlignment="1">
      <alignment horizontal="left"/>
    </xf>
    <xf numFmtId="0" fontId="9" fillId="12" borderId="16" xfId="0" applyFont="1" applyFill="1" applyBorder="1" applyAlignment="1">
      <alignment horizontal="left"/>
    </xf>
    <xf numFmtId="0" fontId="3" fillId="3" borderId="0" xfId="0" applyFont="1" applyFill="1" applyBorder="1" applyAlignment="1">
      <alignment horizontal="left" vertical="top" wrapText="1"/>
    </xf>
    <xf numFmtId="0" fontId="9" fillId="12" borderId="14" xfId="0" applyFont="1" applyFill="1" applyBorder="1" applyAlignment="1">
      <alignment horizontal="left" wrapText="1"/>
    </xf>
    <xf numFmtId="0" fontId="9" fillId="12" borderId="15" xfId="0" applyFont="1" applyFill="1" applyBorder="1" applyAlignment="1">
      <alignment horizontal="left" wrapText="1"/>
    </xf>
    <xf numFmtId="0" fontId="9" fillId="12" borderId="16" xfId="0" applyFont="1" applyFill="1" applyBorder="1" applyAlignment="1">
      <alignment horizontal="left" wrapText="1"/>
    </xf>
    <xf numFmtId="0" fontId="5" fillId="3" borderId="0" xfId="0" applyFont="1" applyFill="1" applyBorder="1" applyAlignment="1">
      <alignment horizontal="left"/>
    </xf>
    <xf numFmtId="0" fontId="3" fillId="3" borderId="0" xfId="0" applyFont="1" applyFill="1" applyBorder="1" applyAlignment="1">
      <alignment horizontal="center" vertical="top" wrapText="1"/>
    </xf>
    <xf numFmtId="0" fontId="9" fillId="4" borderId="15" xfId="0" applyFont="1" applyFill="1" applyBorder="1" applyAlignment="1">
      <alignment horizontal="left"/>
    </xf>
    <xf numFmtId="0" fontId="11" fillId="3" borderId="0" xfId="0" applyFont="1" applyFill="1" applyBorder="1" applyAlignment="1">
      <alignment horizontal="center"/>
    </xf>
    <xf numFmtId="0" fontId="5" fillId="14" borderId="0" xfId="0" applyFont="1" applyFill="1" applyBorder="1" applyAlignment="1">
      <alignment horizontal="left" vertical="top" wrapText="1"/>
    </xf>
    <xf numFmtId="0" fontId="3" fillId="3" borderId="0" xfId="0" applyFont="1" applyFill="1" applyBorder="1" applyAlignment="1">
      <alignment horizontal="center" wrapText="1"/>
    </xf>
    <xf numFmtId="0" fontId="9" fillId="14" borderId="0" xfId="0" applyFont="1" applyFill="1" applyBorder="1" applyAlignment="1">
      <alignment horizontal="left" vertical="top" wrapText="1" readingOrder="1"/>
    </xf>
    <xf numFmtId="0" fontId="20" fillId="14" borderId="0" xfId="0" applyFont="1" applyFill="1" applyBorder="1" applyAlignment="1">
      <alignment horizontal="left" vertical="top" wrapText="1"/>
    </xf>
  </cellXfs>
  <cellStyles count="11">
    <cellStyle name="Currency" xfId="1" builtinId="4"/>
    <cellStyle name="Normal" xfId="0" builtinId="0"/>
    <cellStyle name="Normal 2" xfId="2"/>
    <cellStyle name="Normal 2 2" xfId="3"/>
    <cellStyle name="Normal 2 3" xfId="4"/>
    <cellStyle name="Normal 2 3 2" xfId="5"/>
    <cellStyle name="Normal 3" xfId="6"/>
    <cellStyle name="Normal 4" xfId="7"/>
    <cellStyle name="Normal 4 2" xfId="8"/>
    <cellStyle name="Percent 2" xfId="9"/>
    <cellStyle name="Percent 3" xfId="1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mruColors>
  </colors>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10</xdr:col>
      <xdr:colOff>152400</xdr:colOff>
      <xdr:row>0</xdr:row>
      <xdr:rowOff>180975</xdr:rowOff>
    </xdr:from>
    <xdr:to>
      <xdr:col>13</xdr:col>
      <xdr:colOff>0</xdr:colOff>
      <xdr:row>3</xdr:row>
      <xdr:rowOff>190500</xdr:rowOff>
    </xdr:to>
    <xdr:sp macro="[0]!USERPRINT" textlink="">
      <xdr:nvSpPr>
        <xdr:cNvPr id="2" name="Rectangle 1"/>
        <xdr:cNvSpPr/>
      </xdr:nvSpPr>
      <xdr:spPr bwMode="auto">
        <a:xfrm>
          <a:off x="8248650" y="180975"/>
          <a:ext cx="1905000" cy="638175"/>
        </a:xfrm>
        <a:prstGeom prst="rect">
          <a:avLst/>
        </a:prstGeom>
        <a:solidFill>
          <a:srgbClr val="00206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10</xdr:col>
      <xdr:colOff>676275</xdr:colOff>
      <xdr:row>1</xdr:row>
      <xdr:rowOff>19049</xdr:rowOff>
    </xdr:from>
    <xdr:to>
      <xdr:col>12</xdr:col>
      <xdr:colOff>209550</xdr:colOff>
      <xdr:row>2</xdr:row>
      <xdr:rowOff>123825</xdr:rowOff>
    </xdr:to>
    <xdr:sp macro="[0]!EUSCalculatorToPDF" textlink="">
      <xdr:nvSpPr>
        <xdr:cNvPr id="3" name="TextBox 2"/>
        <xdr:cNvSpPr txBox="1"/>
      </xdr:nvSpPr>
      <xdr:spPr>
        <a:xfrm>
          <a:off x="8772525" y="323849"/>
          <a:ext cx="904875"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600" b="1">
              <a:solidFill>
                <a:schemeClr val="bg1"/>
              </a:solidFill>
              <a:latin typeface="Times New Roman" pitchFamily="18" charset="0"/>
              <a:cs typeface="Times New Roman" pitchFamily="18" charset="0"/>
            </a:rPr>
            <a:t>PRINT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65893</xdr:colOff>
      <xdr:row>25</xdr:row>
      <xdr:rowOff>2487749</xdr:rowOff>
    </xdr:from>
    <xdr:to>
      <xdr:col>4</xdr:col>
      <xdr:colOff>952500</xdr:colOff>
      <xdr:row>41</xdr:row>
      <xdr:rowOff>158751</xdr:rowOff>
    </xdr:to>
    <xdr:pic>
      <xdr:nvPicPr>
        <xdr:cNvPr id="2" name="Picture 1" descr="F1364SE_1010_013_GF-UCT180_03_H.jpg"/>
        <xdr:cNvPicPr>
          <a:picLocks noChangeAspect="1"/>
        </xdr:cNvPicPr>
      </xdr:nvPicPr>
      <xdr:blipFill>
        <a:blip xmlns:r="http://schemas.openxmlformats.org/officeDocument/2006/relationships" r:embed="rId1" cstate="print"/>
        <a:stretch>
          <a:fillRect/>
        </a:stretch>
      </xdr:blipFill>
      <xdr:spPr>
        <a:xfrm>
          <a:off x="266976" y="9239916"/>
          <a:ext cx="3775857" cy="2973252"/>
        </a:xfrm>
        <a:prstGeom prst="rect">
          <a:avLst/>
        </a:prstGeom>
      </xdr:spPr>
    </xdr:pic>
    <xdr:clientData/>
  </xdr:twoCellAnchor>
  <xdr:twoCellAnchor editAs="oneCell">
    <xdr:from>
      <xdr:col>6</xdr:col>
      <xdr:colOff>530281</xdr:colOff>
      <xdr:row>25</xdr:row>
      <xdr:rowOff>2497664</xdr:rowOff>
    </xdr:from>
    <xdr:to>
      <xdr:col>9</xdr:col>
      <xdr:colOff>116418</xdr:colOff>
      <xdr:row>41</xdr:row>
      <xdr:rowOff>21166</xdr:rowOff>
    </xdr:to>
    <xdr:pic>
      <xdr:nvPicPr>
        <xdr:cNvPr id="3" name="Picture 2" descr="F1364SE_1010_009_GF-UCT180_03_H.jpg"/>
        <xdr:cNvPicPr>
          <a:picLocks noChangeAspect="1"/>
        </xdr:cNvPicPr>
      </xdr:nvPicPr>
      <xdr:blipFill>
        <a:blip xmlns:r="http://schemas.openxmlformats.org/officeDocument/2006/relationships" r:embed="rId2" cstate="print"/>
        <a:stretch>
          <a:fillRect/>
        </a:stretch>
      </xdr:blipFill>
      <xdr:spPr>
        <a:xfrm>
          <a:off x="5546781" y="9249831"/>
          <a:ext cx="3470220" cy="28257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733384</xdr:colOff>
      <xdr:row>33</xdr:row>
      <xdr:rowOff>141216</xdr:rowOff>
    </xdr:from>
    <xdr:to>
      <xdr:col>4</xdr:col>
      <xdr:colOff>677122</xdr:colOff>
      <xdr:row>40</xdr:row>
      <xdr:rowOff>15527</xdr:rowOff>
    </xdr:to>
    <xdr:sp macro="" textlink="">
      <xdr:nvSpPr>
        <xdr:cNvPr id="4160" name="Text Box 64" hidden="1"/>
        <xdr:cNvSpPr txBox="1">
          <a:spLocks noChangeArrowheads="1"/>
        </xdr:cNvSpPr>
      </xdr:nvSpPr>
      <xdr:spPr bwMode="auto">
        <a:xfrm>
          <a:off x="4257675" y="9163050"/>
          <a:ext cx="1571625" cy="1676400"/>
        </a:xfrm>
        <a:prstGeom prst="rect">
          <a:avLst/>
        </a:prstGeom>
        <a:solidFill>
          <a:srgbClr val="FFFFE1"/>
        </a:solid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ZEIGLS/Desktop/Calculators/Total%20Cost%20of%20Ownership/MP/FINAL12122011/Sales%20Tools_TCO%20Calculator_Lease%20Op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rutkoa/LOCALS~1/Temp/notes6030C8/TCO%20Tool%20Cash_MG_092211_Rev1.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troduction"/>
      <sheetName val="TCO CALC"/>
      <sheetName val="PERIOD ANALYSIS"/>
      <sheetName val="APPENDIX 1 MODEL ASSUMPTIONS"/>
      <sheetName val="APPENDICES"/>
      <sheetName val="DISCLAIMER"/>
      <sheetName val="INSTRUCTIONS"/>
      <sheetName val="INTERNAL VALUE ASSUMPTIONS"/>
      <sheetName val="P&amp;L"/>
      <sheetName val="SALVAGE VALS"/>
      <sheetName val="INTERNAL GPO TABLE"/>
    </sheetNames>
    <sheetDataSet>
      <sheetData sheetId="0"/>
      <sheetData sheetId="1">
        <row r="5">
          <cell r="D5" t="str">
            <v>ABC Hospital</v>
          </cell>
        </row>
        <row r="6">
          <cell r="D6">
            <v>40918</v>
          </cell>
        </row>
        <row r="9">
          <cell r="D9">
            <v>0</v>
          </cell>
          <cell r="G9">
            <v>1000</v>
          </cell>
        </row>
        <row r="10">
          <cell r="D10">
            <v>0</v>
          </cell>
          <cell r="G10">
            <v>1000</v>
          </cell>
        </row>
        <row r="11">
          <cell r="D11">
            <v>0</v>
          </cell>
          <cell r="G11">
            <v>1000</v>
          </cell>
        </row>
        <row r="14">
          <cell r="D14">
            <v>100</v>
          </cell>
          <cell r="G14">
            <v>50</v>
          </cell>
        </row>
        <row r="15">
          <cell r="D15">
            <v>100</v>
          </cell>
          <cell r="G15">
            <v>50</v>
          </cell>
        </row>
        <row r="16">
          <cell r="D16">
            <v>100</v>
          </cell>
          <cell r="G16">
            <v>50</v>
          </cell>
        </row>
        <row r="20">
          <cell r="D20">
            <v>600</v>
          </cell>
          <cell r="G20">
            <v>0</v>
          </cell>
        </row>
        <row r="21">
          <cell r="D21">
            <v>600</v>
          </cell>
          <cell r="G21">
            <v>0</v>
          </cell>
        </row>
        <row r="22">
          <cell r="D22">
            <v>700</v>
          </cell>
        </row>
        <row r="25">
          <cell r="G25">
            <v>0.06</v>
          </cell>
        </row>
        <row r="26">
          <cell r="D26">
            <v>9.5</v>
          </cell>
        </row>
        <row r="33">
          <cell r="F33">
            <v>0</v>
          </cell>
        </row>
        <row r="34">
          <cell r="F34">
            <v>0</v>
          </cell>
        </row>
        <row r="42">
          <cell r="F42" t="str">
            <v>-</v>
          </cell>
        </row>
        <row r="43">
          <cell r="F43">
            <v>0</v>
          </cell>
        </row>
        <row r="46">
          <cell r="F46">
            <v>0</v>
          </cell>
        </row>
      </sheetData>
      <sheetData sheetId="2" refreshError="1"/>
      <sheetData sheetId="3"/>
      <sheetData sheetId="4">
        <row r="11">
          <cell r="E11">
            <v>0</v>
          </cell>
        </row>
        <row r="12">
          <cell r="E12">
            <v>0</v>
          </cell>
        </row>
        <row r="18">
          <cell r="E18">
            <v>2</v>
          </cell>
        </row>
        <row r="19">
          <cell r="E19">
            <v>6</v>
          </cell>
        </row>
        <row r="20">
          <cell r="E20">
            <v>5</v>
          </cell>
        </row>
        <row r="21">
          <cell r="E21">
            <v>9.5</v>
          </cell>
        </row>
        <row r="22">
          <cell r="E22">
            <v>10</v>
          </cell>
        </row>
        <row r="23">
          <cell r="E23">
            <v>3.5</v>
          </cell>
        </row>
        <row r="24">
          <cell r="E24">
            <v>4</v>
          </cell>
        </row>
        <row r="34">
          <cell r="G34">
            <v>0</v>
          </cell>
        </row>
        <row r="35">
          <cell r="G35">
            <v>0</v>
          </cell>
        </row>
        <row r="36">
          <cell r="G36">
            <v>0</v>
          </cell>
        </row>
        <row r="37">
          <cell r="G37" t="str">
            <v>-</v>
          </cell>
        </row>
        <row r="38">
          <cell r="G38" t="str">
            <v>-</v>
          </cell>
        </row>
        <row r="39">
          <cell r="G39" t="str">
            <v>-</v>
          </cell>
        </row>
        <row r="43">
          <cell r="H43">
            <v>0</v>
          </cell>
        </row>
      </sheetData>
      <sheetData sheetId="5" refreshError="1"/>
      <sheetData sheetId="6" refreshError="1"/>
      <sheetData sheetId="7">
        <row r="6">
          <cell r="B6">
            <v>18000</v>
          </cell>
        </row>
        <row r="7">
          <cell r="B7">
            <v>100</v>
          </cell>
        </row>
        <row r="8">
          <cell r="B8">
            <v>1000</v>
          </cell>
        </row>
      </sheetData>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troduction"/>
      <sheetName val="INSTRUCTIONS"/>
      <sheetName val="TCO CALC"/>
      <sheetName val="PERIOD ANALYSIS"/>
      <sheetName val="APPENDICES"/>
      <sheetName val="DISCLAIMER"/>
    </sheetNames>
    <sheetDataSet>
      <sheetData sheetId="0" refreshError="1"/>
      <sheetData sheetId="1"/>
      <sheetData sheetId="2">
        <row r="5">
          <cell r="D5" t="str">
            <v>-</v>
          </cell>
        </row>
      </sheetData>
      <sheetData sheetId="3" refreshError="1"/>
      <sheetData sheetId="4">
        <row r="9">
          <cell r="D9">
            <v>0</v>
          </cell>
        </row>
        <row r="10">
          <cell r="D10">
            <v>0</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CU1349"/>
  <sheetViews>
    <sheetView tabSelected="1" zoomScalePageLayoutView="87" workbookViewId="0">
      <selection activeCell="C7" sqref="C7:I7"/>
    </sheetView>
  </sheetViews>
  <sheetFormatPr defaultColWidth="9" defaultRowHeight="12.75"/>
  <cols>
    <col min="1" max="1" width="2.625" style="18" customWidth="1"/>
    <col min="2" max="9" width="12.625" style="18" customWidth="1"/>
    <col min="10" max="10" width="2.625" style="18" customWidth="1"/>
    <col min="11" max="99" width="9" style="19"/>
    <col min="100" max="16384" width="9" style="18"/>
  </cols>
  <sheetData>
    <row r="1" spans="1:99" ht="24" customHeight="1">
      <c r="A1" s="229" t="s">
        <v>26</v>
      </c>
      <c r="B1" s="229"/>
      <c r="C1" s="229"/>
      <c r="D1" s="229"/>
      <c r="E1" s="229"/>
      <c r="F1" s="229"/>
      <c r="G1" s="229"/>
      <c r="H1" s="229"/>
      <c r="I1" s="229"/>
      <c r="J1" s="229"/>
    </row>
    <row r="2" spans="1:99">
      <c r="A2" s="19"/>
      <c r="B2" s="228"/>
      <c r="C2" s="228"/>
      <c r="D2" s="228"/>
      <c r="E2" s="228"/>
      <c r="F2" s="228"/>
      <c r="G2" s="228"/>
      <c r="H2" s="228"/>
      <c r="I2" s="228"/>
      <c r="J2" s="19"/>
    </row>
    <row r="3" spans="1:99" s="31" customFormat="1">
      <c r="A3" s="22"/>
      <c r="B3" s="27"/>
      <c r="C3" s="27"/>
      <c r="D3" s="27"/>
      <c r="E3" s="27"/>
      <c r="F3" s="27"/>
      <c r="G3" s="27"/>
      <c r="H3" s="27"/>
      <c r="I3" s="27"/>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c r="CA3" s="22"/>
      <c r="CB3" s="22"/>
      <c r="CC3" s="22"/>
      <c r="CD3" s="22"/>
      <c r="CE3" s="22"/>
      <c r="CF3" s="22"/>
      <c r="CG3" s="22"/>
      <c r="CH3" s="22"/>
      <c r="CI3" s="22"/>
      <c r="CJ3" s="22"/>
      <c r="CK3" s="22"/>
      <c r="CL3" s="22"/>
      <c r="CM3" s="22"/>
      <c r="CN3" s="22"/>
      <c r="CO3" s="22"/>
      <c r="CP3" s="22"/>
      <c r="CQ3" s="22"/>
      <c r="CR3" s="22"/>
      <c r="CS3" s="22"/>
      <c r="CT3" s="22"/>
      <c r="CU3" s="22"/>
    </row>
    <row r="4" spans="1:99" s="32" customFormat="1" ht="80.25" customHeight="1">
      <c r="A4" s="21"/>
      <c r="B4" s="227" t="s">
        <v>130</v>
      </c>
      <c r="C4" s="226"/>
      <c r="D4" s="226"/>
      <c r="E4" s="226"/>
      <c r="F4" s="226"/>
      <c r="G4" s="226"/>
      <c r="H4" s="226"/>
      <c r="I4" s="226"/>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row>
    <row r="5" spans="1:99" s="32" customFormat="1" ht="15">
      <c r="A5" s="21"/>
      <c r="B5" s="225"/>
      <c r="C5" s="225"/>
      <c r="D5" s="225"/>
      <c r="E5" s="225"/>
      <c r="F5" s="225"/>
      <c r="G5" s="225"/>
      <c r="H5" s="225"/>
      <c r="I5" s="225"/>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row>
    <row r="6" spans="1:99" s="32" customFormat="1" ht="16.5" customHeight="1">
      <c r="A6" s="21"/>
      <c r="B6" s="20" t="s">
        <v>29</v>
      </c>
      <c r="C6" s="226" t="s">
        <v>129</v>
      </c>
      <c r="D6" s="226"/>
      <c r="E6" s="226"/>
      <c r="F6" s="226"/>
      <c r="G6" s="226"/>
      <c r="H6" s="226"/>
      <c r="I6" s="226"/>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row>
    <row r="7" spans="1:99" s="32" customFormat="1" ht="16.5" customHeight="1">
      <c r="A7" s="21"/>
      <c r="B7" s="20" t="s">
        <v>29</v>
      </c>
      <c r="C7" s="226" t="s">
        <v>143</v>
      </c>
      <c r="D7" s="226"/>
      <c r="E7" s="226"/>
      <c r="F7" s="226"/>
      <c r="G7" s="226"/>
      <c r="H7" s="226"/>
      <c r="I7" s="226"/>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row>
    <row r="8" spans="1:99" s="32" customFormat="1" ht="16.5" customHeight="1">
      <c r="A8" s="21"/>
      <c r="B8" s="20" t="s">
        <v>29</v>
      </c>
      <c r="C8" s="226" t="s">
        <v>121</v>
      </c>
      <c r="D8" s="226"/>
      <c r="E8" s="226"/>
      <c r="F8" s="226"/>
      <c r="G8" s="226"/>
      <c r="H8" s="226"/>
      <c r="I8" s="226"/>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row>
    <row r="9" spans="1:99" s="32" customFormat="1" ht="16.5" customHeight="1">
      <c r="A9" s="21"/>
      <c r="B9" s="20" t="s">
        <v>29</v>
      </c>
      <c r="C9" s="226" t="s">
        <v>122</v>
      </c>
      <c r="D9" s="226"/>
      <c r="E9" s="226"/>
      <c r="F9" s="226"/>
      <c r="G9" s="226"/>
      <c r="H9" s="226"/>
      <c r="I9" s="226"/>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row>
    <row r="10" spans="1:99" s="32" customFormat="1" ht="16.5" customHeight="1">
      <c r="A10" s="21"/>
      <c r="B10" s="20" t="s">
        <v>29</v>
      </c>
      <c r="C10" s="226" t="s">
        <v>123</v>
      </c>
      <c r="D10" s="226"/>
      <c r="E10" s="226"/>
      <c r="F10" s="226"/>
      <c r="G10" s="226"/>
      <c r="H10" s="226"/>
      <c r="I10" s="226"/>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row>
    <row r="11" spans="1:99" s="32" customFormat="1" ht="16.5" customHeight="1">
      <c r="A11" s="21"/>
      <c r="B11" s="20" t="s">
        <v>29</v>
      </c>
      <c r="C11" s="226" t="s">
        <v>124</v>
      </c>
      <c r="D11" s="226"/>
      <c r="E11" s="226"/>
      <c r="F11" s="226"/>
      <c r="G11" s="226"/>
      <c r="H11" s="226"/>
      <c r="I11" s="226"/>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row>
    <row r="12" spans="1:99" s="32" customFormat="1" ht="16.5" customHeight="1">
      <c r="A12" s="21"/>
      <c r="B12" s="20" t="s">
        <v>29</v>
      </c>
      <c r="C12" s="226" t="s">
        <v>125</v>
      </c>
      <c r="D12" s="226"/>
      <c r="E12" s="226"/>
      <c r="F12" s="226"/>
      <c r="G12" s="226"/>
      <c r="H12" s="226"/>
      <c r="I12" s="226"/>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row>
    <row r="13" spans="1:99" s="32" customFormat="1" ht="16.5" customHeight="1">
      <c r="A13" s="21"/>
      <c r="B13" s="20" t="s">
        <v>29</v>
      </c>
      <c r="C13" s="226" t="s">
        <v>126</v>
      </c>
      <c r="D13" s="226"/>
      <c r="E13" s="226"/>
      <c r="F13" s="226"/>
      <c r="G13" s="226"/>
      <c r="H13" s="226"/>
      <c r="I13" s="226"/>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row>
    <row r="14" spans="1:99" s="32" customFormat="1" ht="16.5" customHeight="1">
      <c r="A14" s="21"/>
      <c r="B14" s="20" t="s">
        <v>29</v>
      </c>
      <c r="C14" s="226" t="s">
        <v>128</v>
      </c>
      <c r="D14" s="226"/>
      <c r="E14" s="226"/>
      <c r="F14" s="226"/>
      <c r="G14" s="226"/>
      <c r="H14" s="226"/>
      <c r="I14" s="226"/>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row>
    <row r="15" spans="1:99" s="32" customFormat="1" ht="15">
      <c r="A15" s="21"/>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row>
    <row r="16" spans="1:99" s="32" customFormat="1" ht="82.5" customHeight="1">
      <c r="A16" s="21"/>
      <c r="B16" s="227" t="s">
        <v>144</v>
      </c>
      <c r="C16" s="227"/>
      <c r="D16" s="227"/>
      <c r="E16" s="227"/>
      <c r="F16" s="227"/>
      <c r="G16" s="227"/>
      <c r="H16" s="227"/>
      <c r="I16" s="227"/>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row>
    <row r="17" spans="1:99" s="32" customFormat="1" ht="15">
      <c r="A17" s="21"/>
      <c r="B17" s="225"/>
      <c r="C17" s="225"/>
      <c r="D17" s="225"/>
      <c r="E17" s="225"/>
      <c r="F17" s="225"/>
      <c r="G17" s="225"/>
      <c r="H17" s="225"/>
      <c r="I17" s="225"/>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row>
    <row r="18" spans="1:99" s="32" customFormat="1" ht="57" customHeight="1">
      <c r="A18" s="21"/>
      <c r="B18" s="227" t="s">
        <v>113</v>
      </c>
      <c r="C18" s="227"/>
      <c r="D18" s="227"/>
      <c r="E18" s="227"/>
      <c r="F18" s="227"/>
      <c r="G18" s="227"/>
      <c r="H18" s="227"/>
      <c r="I18" s="227"/>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row>
    <row r="19" spans="1:99" s="32" customFormat="1" ht="15">
      <c r="A19" s="21"/>
      <c r="B19" s="225"/>
      <c r="C19" s="225"/>
      <c r="D19" s="225"/>
      <c r="E19" s="225"/>
      <c r="F19" s="225"/>
      <c r="G19" s="225"/>
      <c r="H19" s="225"/>
      <c r="I19" s="225"/>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row>
    <row r="20" spans="1:99" s="32" customFormat="1" ht="15">
      <c r="A20" s="21"/>
      <c r="B20" s="225"/>
      <c r="C20" s="225"/>
      <c r="D20" s="225"/>
      <c r="E20" s="225"/>
      <c r="F20" s="225"/>
      <c r="G20" s="225"/>
      <c r="H20" s="225"/>
      <c r="I20" s="225"/>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row>
    <row r="21" spans="1:99" s="32" customFormat="1" ht="15">
      <c r="A21" s="21"/>
      <c r="B21" s="226" t="s">
        <v>30</v>
      </c>
      <c r="C21" s="226"/>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row>
    <row r="22" spans="1:99" s="32" customFormat="1" ht="15">
      <c r="A22" s="21"/>
      <c r="B22" s="225"/>
      <c r="C22" s="225"/>
      <c r="D22" s="225"/>
      <c r="E22" s="225"/>
      <c r="F22" s="225"/>
      <c r="G22" s="225"/>
      <c r="H22" s="225"/>
      <c r="I22" s="225"/>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row>
    <row r="23" spans="1:99" s="32" customFormat="1" ht="15">
      <c r="A23" s="21"/>
      <c r="B23" s="225"/>
      <c r="C23" s="225"/>
      <c r="D23" s="225"/>
      <c r="E23" s="225"/>
      <c r="F23" s="225"/>
      <c r="G23" s="225"/>
      <c r="H23" s="225"/>
      <c r="I23" s="225"/>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row>
    <row r="24" spans="1:99" s="32" customFormat="1" ht="15">
      <c r="A24" s="21"/>
      <c r="B24" s="225"/>
      <c r="C24" s="225"/>
      <c r="D24" s="225"/>
      <c r="E24" s="225"/>
      <c r="F24" s="225"/>
      <c r="G24" s="225"/>
      <c r="H24" s="225"/>
      <c r="I24" s="225"/>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row>
    <row r="25" spans="1:99" s="32" customFormat="1" ht="15">
      <c r="A25" s="21"/>
      <c r="B25" s="225"/>
      <c r="C25" s="225"/>
      <c r="D25" s="225"/>
      <c r="E25" s="225"/>
      <c r="F25" s="225"/>
      <c r="G25" s="225"/>
      <c r="H25" s="225"/>
      <c r="I25" s="225"/>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row>
    <row r="26" spans="1:99" s="32" customFormat="1" ht="15">
      <c r="A26" s="21"/>
      <c r="B26" s="226" t="s">
        <v>31</v>
      </c>
      <c r="C26" s="226"/>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row>
    <row r="27" spans="1:99" s="32" customFormat="1" ht="15">
      <c r="A27" s="21"/>
      <c r="B27" s="21" t="s">
        <v>25</v>
      </c>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row>
    <row r="28" spans="1:99" s="31" customFormat="1">
      <c r="A28" s="22"/>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2"/>
      <c r="CJ28" s="22"/>
      <c r="CK28" s="22"/>
      <c r="CL28" s="22"/>
      <c r="CM28" s="22"/>
      <c r="CN28" s="22"/>
      <c r="CO28" s="22"/>
      <c r="CP28" s="22"/>
      <c r="CQ28" s="22"/>
      <c r="CR28" s="22"/>
      <c r="CS28" s="22"/>
      <c r="CT28" s="22"/>
      <c r="CU28" s="22"/>
    </row>
    <row r="29" spans="1:99" s="31" customFormat="1">
      <c r="A29" s="22"/>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row>
    <row r="30" spans="1:99" s="31" customFormat="1">
      <c r="A30" s="22"/>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row>
    <row r="31" spans="1:99" s="31" customFormat="1">
      <c r="A31" s="22"/>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row>
    <row r="32" spans="1:99" s="31" customFormat="1">
      <c r="A32" s="22"/>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row>
    <row r="33" spans="1:99" s="31" customFormat="1">
      <c r="A33" s="22"/>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row>
    <row r="34" spans="1:99" s="31" customFormat="1">
      <c r="A34" s="22"/>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row>
    <row r="35" spans="1:99" s="31" customFormat="1">
      <c r="A35" s="22"/>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row>
    <row r="36" spans="1:99" s="31" customFormat="1">
      <c r="A36" s="22"/>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row>
    <row r="37" spans="1:99" s="31" customFormat="1">
      <c r="A37" s="22"/>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row>
    <row r="38" spans="1:99" s="31" customFormat="1">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row>
    <row r="39" spans="1:99" s="31" customFormat="1">
      <c r="A39" s="22"/>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row>
    <row r="40" spans="1:99" s="31" customFormat="1">
      <c r="A40" s="22"/>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s="22"/>
      <c r="BI40" s="22"/>
      <c r="BJ40" s="22"/>
      <c r="BK40" s="22"/>
      <c r="BL40" s="22"/>
      <c r="BM40" s="22"/>
      <c r="BN40" s="22"/>
      <c r="BO40" s="22"/>
      <c r="BP40" s="22"/>
      <c r="BQ40" s="22"/>
      <c r="BR40" s="22"/>
      <c r="BS40" s="22"/>
      <c r="BT40" s="22"/>
      <c r="BU40" s="22"/>
      <c r="BV40" s="22"/>
      <c r="BW40" s="22"/>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row>
    <row r="41" spans="1:99" s="31" customFormat="1">
      <c r="A41" s="22"/>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row>
    <row r="42" spans="1:99" s="31" customFormat="1">
      <c r="A42" s="22"/>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row>
    <row r="43" spans="1:99" s="31" customFormat="1">
      <c r="A43" s="22"/>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row>
    <row r="44" spans="1:99" s="31" customFormat="1">
      <c r="A44" s="22"/>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c r="BH44" s="22"/>
      <c r="BI44" s="22"/>
      <c r="BJ44" s="22"/>
      <c r="BK44" s="22"/>
      <c r="BL44" s="22"/>
      <c r="BM44" s="22"/>
      <c r="BN44" s="22"/>
      <c r="BO44" s="22"/>
      <c r="BP44" s="22"/>
      <c r="BQ44" s="22"/>
      <c r="BR44" s="22"/>
      <c r="BS44" s="22"/>
      <c r="BT44" s="22"/>
      <c r="BU44" s="22"/>
      <c r="BV44" s="22"/>
      <c r="BW44" s="22"/>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row>
    <row r="45" spans="1:99" s="31" customFormat="1">
      <c r="A45" s="22"/>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c r="BH45" s="22"/>
      <c r="BI45" s="22"/>
      <c r="BJ45" s="22"/>
      <c r="BK45" s="22"/>
      <c r="BL45" s="22"/>
      <c r="BM45" s="22"/>
      <c r="BN45" s="22"/>
      <c r="BO45" s="22"/>
      <c r="BP45" s="22"/>
      <c r="BQ45" s="22"/>
      <c r="BR45" s="22"/>
      <c r="BS45" s="22"/>
      <c r="BT45" s="22"/>
      <c r="BU45" s="22"/>
      <c r="BV45" s="22"/>
      <c r="BW45" s="22"/>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row>
    <row r="46" spans="1:99" s="31" customFormat="1">
      <c r="A46" s="22"/>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c r="BH46" s="22"/>
      <c r="BI46" s="22"/>
      <c r="BJ46" s="22"/>
      <c r="BK46" s="22"/>
      <c r="BL46" s="22"/>
      <c r="BM46" s="22"/>
      <c r="BN46" s="22"/>
      <c r="BO46" s="22"/>
      <c r="BP46" s="22"/>
      <c r="BQ46" s="22"/>
      <c r="BR46" s="22"/>
      <c r="BS46" s="22"/>
      <c r="BT46" s="22"/>
      <c r="BU46" s="22"/>
      <c r="BV46" s="22"/>
      <c r="BW46" s="22"/>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row>
    <row r="47" spans="1:99" s="31" customFormat="1">
      <c r="A47" s="22"/>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c r="BH47" s="22"/>
      <c r="BI47" s="22"/>
      <c r="BJ47" s="22"/>
      <c r="BK47" s="22"/>
      <c r="BL47" s="22"/>
      <c r="BM47" s="22"/>
      <c r="BN47" s="22"/>
      <c r="BO47" s="22"/>
      <c r="BP47" s="22"/>
      <c r="BQ47" s="22"/>
      <c r="BR47" s="22"/>
      <c r="BS47" s="22"/>
      <c r="BT47" s="22"/>
      <c r="BU47" s="22"/>
      <c r="BV47" s="22"/>
      <c r="BW47" s="22"/>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row>
    <row r="48" spans="1:99" s="31" customFormat="1">
      <c r="A48" s="22"/>
      <c r="B48" s="22"/>
      <c r="C48" s="22"/>
      <c r="D48" s="22"/>
      <c r="E48" s="22"/>
      <c r="F48" s="22"/>
      <c r="G48" s="22"/>
      <c r="H48" s="22"/>
      <c r="I48" s="223"/>
      <c r="J48" s="224"/>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22"/>
      <c r="BF48" s="22"/>
      <c r="BG48" s="22"/>
      <c r="BH48" s="22"/>
      <c r="BI48" s="22"/>
      <c r="BJ48" s="22"/>
      <c r="BK48" s="22"/>
      <c r="BL48" s="22"/>
      <c r="BM48" s="22"/>
      <c r="BN48" s="22"/>
      <c r="BO48" s="22"/>
      <c r="BP48" s="22"/>
      <c r="BQ48" s="22"/>
      <c r="BR48" s="22"/>
      <c r="BS48" s="22"/>
      <c r="BT48" s="22"/>
      <c r="BU48" s="22"/>
      <c r="BV48" s="22"/>
      <c r="BW48" s="22"/>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row>
    <row r="49" spans="1:99" s="31" customFormat="1">
      <c r="A49" s="22"/>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c r="BH49" s="22"/>
      <c r="BI49" s="22"/>
      <c r="BJ49" s="22"/>
      <c r="BK49" s="22"/>
      <c r="BL49" s="22"/>
      <c r="BM49" s="22"/>
      <c r="BN49" s="22"/>
      <c r="BO49" s="22"/>
      <c r="BP49" s="22"/>
      <c r="BQ49" s="22"/>
      <c r="BR49" s="22"/>
      <c r="BS49" s="22"/>
      <c r="BT49" s="22"/>
      <c r="BU49" s="22"/>
      <c r="BV49" s="22"/>
      <c r="BW49" s="22"/>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row>
    <row r="50" spans="1:99" s="31" customFormat="1">
      <c r="A50" s="22"/>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c r="BH50" s="22"/>
      <c r="BI50" s="22"/>
      <c r="BJ50" s="22"/>
      <c r="BK50" s="22"/>
      <c r="BL50" s="22"/>
      <c r="BM50" s="22"/>
      <c r="BN50" s="22"/>
      <c r="BO50" s="22"/>
      <c r="BP50" s="22"/>
      <c r="BQ50" s="22"/>
      <c r="BR50" s="22"/>
      <c r="BS50" s="22"/>
      <c r="BT50" s="22"/>
      <c r="BU50" s="22"/>
      <c r="BV50" s="22"/>
      <c r="BW50" s="22"/>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row>
    <row r="51" spans="1:99" s="31" customFormat="1">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row>
    <row r="52" spans="1:99" s="31" customFormat="1">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c r="BH52" s="22"/>
      <c r="BI52" s="22"/>
      <c r="BJ52" s="22"/>
      <c r="BK52" s="22"/>
      <c r="BL52" s="22"/>
      <c r="BM52" s="22"/>
      <c r="BN52" s="22"/>
      <c r="BO52" s="22"/>
      <c r="BP52" s="22"/>
      <c r="BQ52" s="22"/>
      <c r="BR52" s="22"/>
      <c r="BS52" s="22"/>
      <c r="BT52" s="22"/>
      <c r="BU52" s="22"/>
      <c r="BV52" s="22"/>
      <c r="BW52" s="22"/>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row>
    <row r="53" spans="1:99" s="31" customFormat="1">
      <c r="A53" s="22"/>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c r="BH53" s="22"/>
      <c r="BI53" s="22"/>
      <c r="BJ53" s="22"/>
      <c r="BK53" s="22"/>
      <c r="BL53" s="22"/>
      <c r="BM53" s="22"/>
      <c r="BN53" s="22"/>
      <c r="BO53" s="22"/>
      <c r="BP53" s="22"/>
      <c r="BQ53" s="22"/>
      <c r="BR53" s="22"/>
      <c r="BS53" s="22"/>
      <c r="BT53" s="22"/>
      <c r="BU53" s="22"/>
      <c r="BV53" s="22"/>
      <c r="BW53" s="22"/>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row>
    <row r="54" spans="1:99" s="31" customFormat="1">
      <c r="A54" s="22"/>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row>
    <row r="55" spans="1:99" s="31" customFormat="1">
      <c r="A55" s="22"/>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c r="BH55" s="22"/>
      <c r="BI55" s="22"/>
      <c r="BJ55" s="22"/>
      <c r="BK55" s="22"/>
      <c r="BL55" s="22"/>
      <c r="BM55" s="22"/>
      <c r="BN55" s="22"/>
      <c r="BO55" s="22"/>
      <c r="BP55" s="22"/>
      <c r="BQ55" s="22"/>
      <c r="BR55" s="22"/>
      <c r="BS55" s="22"/>
      <c r="BT55" s="22"/>
      <c r="BU55" s="22"/>
      <c r="BV55" s="22"/>
      <c r="BW55" s="22"/>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row>
    <row r="56" spans="1:99" s="31" customFormat="1">
      <c r="A56" s="22"/>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c r="BH56" s="22"/>
      <c r="BI56" s="22"/>
      <c r="BJ56" s="22"/>
      <c r="BK56" s="22"/>
      <c r="BL56" s="22"/>
      <c r="BM56" s="22"/>
      <c r="BN56" s="22"/>
      <c r="BO56" s="22"/>
      <c r="BP56" s="22"/>
      <c r="BQ56" s="22"/>
      <c r="BR56" s="22"/>
      <c r="BS56" s="22"/>
      <c r="BT56" s="22"/>
      <c r="BU56" s="22"/>
      <c r="BV56" s="22"/>
      <c r="BW56" s="22"/>
      <c r="BX56" s="22"/>
      <c r="BY56" s="22"/>
      <c r="BZ56" s="22"/>
      <c r="CA56" s="22"/>
      <c r="CB56" s="22"/>
      <c r="CC56" s="22"/>
      <c r="CD56" s="22"/>
      <c r="CE56" s="22"/>
      <c r="CF56" s="22"/>
      <c r="CG56" s="22"/>
      <c r="CH56" s="22"/>
      <c r="CI56" s="22"/>
      <c r="CJ56" s="22"/>
      <c r="CK56" s="22"/>
      <c r="CL56" s="22"/>
      <c r="CM56" s="22"/>
      <c r="CN56" s="22"/>
      <c r="CO56" s="22"/>
      <c r="CP56" s="22"/>
      <c r="CQ56" s="22"/>
      <c r="CR56" s="22"/>
      <c r="CS56" s="22"/>
      <c r="CT56" s="22"/>
      <c r="CU56" s="22"/>
    </row>
    <row r="57" spans="1:99" s="31" customFormat="1">
      <c r="A57" s="22"/>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22"/>
      <c r="BF57" s="22"/>
      <c r="BG57" s="22"/>
      <c r="BH57" s="22"/>
      <c r="BI57" s="22"/>
      <c r="BJ57" s="22"/>
      <c r="BK57" s="22"/>
      <c r="BL57" s="22"/>
      <c r="BM57" s="22"/>
      <c r="BN57" s="22"/>
      <c r="BO57" s="22"/>
      <c r="BP57" s="22"/>
      <c r="BQ57" s="22"/>
      <c r="BR57" s="22"/>
      <c r="BS57" s="22"/>
      <c r="BT57" s="22"/>
      <c r="BU57" s="22"/>
      <c r="BV57" s="22"/>
      <c r="BW57" s="22"/>
      <c r="BX57" s="22"/>
      <c r="BY57" s="22"/>
      <c r="BZ57" s="22"/>
      <c r="CA57" s="22"/>
      <c r="CB57" s="22"/>
      <c r="CC57" s="22"/>
      <c r="CD57" s="22"/>
      <c r="CE57" s="22"/>
      <c r="CF57" s="22"/>
      <c r="CG57" s="22"/>
      <c r="CH57" s="22"/>
      <c r="CI57" s="22"/>
      <c r="CJ57" s="22"/>
      <c r="CK57" s="22"/>
      <c r="CL57" s="22"/>
      <c r="CM57" s="22"/>
      <c r="CN57" s="22"/>
      <c r="CO57" s="22"/>
      <c r="CP57" s="22"/>
      <c r="CQ57" s="22"/>
      <c r="CR57" s="22"/>
      <c r="CS57" s="22"/>
      <c r="CT57" s="22"/>
      <c r="CU57" s="22"/>
    </row>
    <row r="58" spans="1:99" s="31" customFormat="1">
      <c r="A58" s="22"/>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c r="BH58" s="22"/>
      <c r="BI58" s="22"/>
      <c r="BJ58" s="22"/>
      <c r="BK58" s="22"/>
      <c r="BL58" s="22"/>
      <c r="BM58" s="22"/>
      <c r="BN58" s="22"/>
      <c r="BO58" s="22"/>
      <c r="BP58" s="22"/>
      <c r="BQ58" s="22"/>
      <c r="BR58" s="22"/>
      <c r="BS58" s="22"/>
      <c r="BT58" s="22"/>
      <c r="BU58" s="22"/>
      <c r="BV58" s="22"/>
      <c r="BW58" s="22"/>
      <c r="BX58" s="22"/>
      <c r="BY58" s="22"/>
      <c r="BZ58" s="22"/>
      <c r="CA58" s="22"/>
      <c r="CB58" s="22"/>
      <c r="CC58" s="22"/>
      <c r="CD58" s="22"/>
      <c r="CE58" s="22"/>
      <c r="CF58" s="22"/>
      <c r="CG58" s="22"/>
      <c r="CH58" s="22"/>
      <c r="CI58" s="22"/>
      <c r="CJ58" s="22"/>
      <c r="CK58" s="22"/>
      <c r="CL58" s="22"/>
      <c r="CM58" s="22"/>
      <c r="CN58" s="22"/>
      <c r="CO58" s="22"/>
      <c r="CP58" s="22"/>
      <c r="CQ58" s="22"/>
      <c r="CR58" s="22"/>
      <c r="CS58" s="22"/>
      <c r="CT58" s="22"/>
      <c r="CU58" s="22"/>
    </row>
    <row r="59" spans="1:99" s="31" customFormat="1">
      <c r="A59" s="22"/>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c r="BH59" s="22"/>
      <c r="BI59" s="22"/>
      <c r="BJ59" s="22"/>
      <c r="BK59" s="22"/>
      <c r="BL59" s="22"/>
      <c r="BM59" s="22"/>
      <c r="BN59" s="22"/>
      <c r="BO59" s="22"/>
      <c r="BP59" s="22"/>
      <c r="BQ59" s="22"/>
      <c r="BR59" s="22"/>
      <c r="BS59" s="22"/>
      <c r="BT59" s="22"/>
      <c r="BU59" s="22"/>
      <c r="BV59" s="22"/>
      <c r="BW59" s="22"/>
      <c r="BX59" s="22"/>
      <c r="BY59" s="22"/>
      <c r="BZ59" s="22"/>
      <c r="CA59" s="22"/>
      <c r="CB59" s="22"/>
      <c r="CC59" s="22"/>
      <c r="CD59" s="22"/>
      <c r="CE59" s="22"/>
      <c r="CF59" s="22"/>
      <c r="CG59" s="22"/>
      <c r="CH59" s="22"/>
      <c r="CI59" s="22"/>
      <c r="CJ59" s="22"/>
      <c r="CK59" s="22"/>
      <c r="CL59" s="22"/>
      <c r="CM59" s="22"/>
      <c r="CN59" s="22"/>
      <c r="CO59" s="22"/>
      <c r="CP59" s="22"/>
      <c r="CQ59" s="22"/>
      <c r="CR59" s="22"/>
      <c r="CS59" s="22"/>
      <c r="CT59" s="22"/>
      <c r="CU59" s="22"/>
    </row>
    <row r="60" spans="1:99" s="31" customFormat="1">
      <c r="A60" s="22"/>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c r="BH60" s="22"/>
      <c r="BI60" s="22"/>
      <c r="BJ60" s="22"/>
      <c r="BK60" s="22"/>
      <c r="BL60" s="22"/>
      <c r="BM60" s="22"/>
      <c r="BN60" s="22"/>
      <c r="BO60" s="22"/>
      <c r="BP60" s="22"/>
      <c r="BQ60" s="22"/>
      <c r="BR60" s="22"/>
      <c r="BS60" s="22"/>
      <c r="BT60" s="22"/>
      <c r="BU60" s="22"/>
      <c r="BV60" s="22"/>
      <c r="BW60" s="22"/>
      <c r="BX60" s="22"/>
      <c r="BY60" s="22"/>
      <c r="BZ60" s="22"/>
      <c r="CA60" s="22"/>
      <c r="CB60" s="22"/>
      <c r="CC60" s="22"/>
      <c r="CD60" s="22"/>
      <c r="CE60" s="22"/>
      <c r="CF60" s="22"/>
      <c r="CG60" s="22"/>
      <c r="CH60" s="22"/>
      <c r="CI60" s="22"/>
      <c r="CJ60" s="22"/>
      <c r="CK60" s="22"/>
      <c r="CL60" s="22"/>
      <c r="CM60" s="22"/>
      <c r="CN60" s="22"/>
      <c r="CO60" s="22"/>
      <c r="CP60" s="22"/>
      <c r="CQ60" s="22"/>
      <c r="CR60" s="22"/>
      <c r="CS60" s="22"/>
      <c r="CT60" s="22"/>
      <c r="CU60" s="22"/>
    </row>
    <row r="61" spans="1:99" s="31" customFormat="1">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c r="BH61" s="22"/>
      <c r="BI61" s="22"/>
      <c r="BJ61" s="22"/>
      <c r="BK61" s="22"/>
      <c r="BL61" s="22"/>
      <c r="BM61" s="22"/>
      <c r="BN61" s="22"/>
      <c r="BO61" s="22"/>
      <c r="BP61" s="22"/>
      <c r="BQ61" s="22"/>
      <c r="BR61" s="22"/>
      <c r="BS61" s="22"/>
      <c r="BT61" s="22"/>
      <c r="BU61" s="22"/>
      <c r="BV61" s="22"/>
      <c r="BW61" s="22"/>
      <c r="BX61" s="22"/>
      <c r="BY61" s="22"/>
      <c r="BZ61" s="22"/>
      <c r="CA61" s="22"/>
      <c r="CB61" s="22"/>
      <c r="CC61" s="22"/>
      <c r="CD61" s="22"/>
      <c r="CE61" s="22"/>
      <c r="CF61" s="22"/>
      <c r="CG61" s="22"/>
      <c r="CH61" s="22"/>
      <c r="CI61" s="22"/>
      <c r="CJ61" s="22"/>
      <c r="CK61" s="22"/>
      <c r="CL61" s="22"/>
      <c r="CM61" s="22"/>
      <c r="CN61" s="22"/>
      <c r="CO61" s="22"/>
      <c r="CP61" s="22"/>
      <c r="CQ61" s="22"/>
      <c r="CR61" s="22"/>
      <c r="CS61" s="22"/>
      <c r="CT61" s="22"/>
      <c r="CU61" s="22"/>
    </row>
    <row r="62" spans="1:99" s="31" customFormat="1">
      <c r="A62" s="22"/>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22"/>
      <c r="BF62" s="22"/>
      <c r="BG62" s="22"/>
      <c r="BH62" s="22"/>
      <c r="BI62" s="22"/>
      <c r="BJ62" s="22"/>
      <c r="BK62" s="22"/>
      <c r="BL62" s="22"/>
      <c r="BM62" s="22"/>
      <c r="BN62" s="22"/>
      <c r="BO62" s="22"/>
      <c r="BP62" s="22"/>
      <c r="BQ62" s="22"/>
      <c r="BR62" s="22"/>
      <c r="BS62" s="22"/>
      <c r="BT62" s="22"/>
      <c r="BU62" s="22"/>
      <c r="BV62" s="22"/>
      <c r="BW62" s="22"/>
      <c r="BX62" s="22"/>
      <c r="BY62" s="22"/>
      <c r="BZ62" s="22"/>
      <c r="CA62" s="22"/>
      <c r="CB62" s="22"/>
      <c r="CC62" s="22"/>
      <c r="CD62" s="22"/>
      <c r="CE62" s="22"/>
      <c r="CF62" s="22"/>
      <c r="CG62" s="22"/>
      <c r="CH62" s="22"/>
      <c r="CI62" s="22"/>
      <c r="CJ62" s="22"/>
      <c r="CK62" s="22"/>
      <c r="CL62" s="22"/>
      <c r="CM62" s="22"/>
      <c r="CN62" s="22"/>
      <c r="CO62" s="22"/>
      <c r="CP62" s="22"/>
      <c r="CQ62" s="22"/>
      <c r="CR62" s="22"/>
      <c r="CS62" s="22"/>
      <c r="CT62" s="22"/>
      <c r="CU62" s="22"/>
    </row>
    <row r="63" spans="1:99" s="31" customFormat="1">
      <c r="A63" s="22"/>
      <c r="B63" s="22"/>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22"/>
      <c r="BF63" s="22"/>
      <c r="BG63" s="22"/>
      <c r="BH63" s="22"/>
      <c r="BI63" s="22"/>
      <c r="BJ63" s="22"/>
      <c r="BK63" s="22"/>
      <c r="BL63" s="22"/>
      <c r="BM63" s="22"/>
      <c r="BN63" s="22"/>
      <c r="BO63" s="22"/>
      <c r="BP63" s="22"/>
      <c r="BQ63" s="22"/>
      <c r="BR63" s="22"/>
      <c r="BS63" s="22"/>
      <c r="BT63" s="22"/>
      <c r="BU63" s="22"/>
      <c r="BV63" s="22"/>
      <c r="BW63" s="22"/>
      <c r="BX63" s="22"/>
      <c r="BY63" s="22"/>
      <c r="BZ63" s="22"/>
      <c r="CA63" s="22"/>
      <c r="CB63" s="22"/>
      <c r="CC63" s="22"/>
      <c r="CD63" s="22"/>
      <c r="CE63" s="22"/>
      <c r="CF63" s="22"/>
      <c r="CG63" s="22"/>
      <c r="CH63" s="22"/>
      <c r="CI63" s="22"/>
      <c r="CJ63" s="22"/>
      <c r="CK63" s="22"/>
      <c r="CL63" s="22"/>
      <c r="CM63" s="22"/>
      <c r="CN63" s="22"/>
      <c r="CO63" s="22"/>
      <c r="CP63" s="22"/>
      <c r="CQ63" s="22"/>
      <c r="CR63" s="22"/>
      <c r="CS63" s="22"/>
      <c r="CT63" s="22"/>
      <c r="CU63" s="22"/>
    </row>
    <row r="64" spans="1:99" s="31" customFormat="1">
      <c r="A64" s="22"/>
      <c r="B64" s="22"/>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c r="BG64" s="22"/>
      <c r="BH64" s="22"/>
      <c r="BI64" s="22"/>
      <c r="BJ64" s="22"/>
      <c r="BK64" s="22"/>
      <c r="BL64" s="22"/>
      <c r="BM64" s="22"/>
      <c r="BN64" s="22"/>
      <c r="BO64" s="22"/>
      <c r="BP64" s="22"/>
      <c r="BQ64" s="22"/>
      <c r="BR64" s="22"/>
      <c r="BS64" s="22"/>
      <c r="BT64" s="22"/>
      <c r="BU64" s="22"/>
      <c r="BV64" s="22"/>
      <c r="BW64" s="22"/>
      <c r="BX64" s="22"/>
      <c r="BY64" s="22"/>
      <c r="BZ64" s="22"/>
      <c r="CA64" s="22"/>
      <c r="CB64" s="22"/>
      <c r="CC64" s="22"/>
      <c r="CD64" s="22"/>
      <c r="CE64" s="22"/>
      <c r="CF64" s="22"/>
      <c r="CG64" s="22"/>
      <c r="CH64" s="22"/>
      <c r="CI64" s="22"/>
      <c r="CJ64" s="22"/>
      <c r="CK64" s="22"/>
      <c r="CL64" s="22"/>
      <c r="CM64" s="22"/>
      <c r="CN64" s="22"/>
      <c r="CO64" s="22"/>
      <c r="CP64" s="22"/>
      <c r="CQ64" s="22"/>
      <c r="CR64" s="22"/>
      <c r="CS64" s="22"/>
      <c r="CT64" s="22"/>
      <c r="CU64" s="22"/>
    </row>
    <row r="65" spans="1:99" s="31" customFormat="1">
      <c r="A65" s="22"/>
      <c r="B65" s="22"/>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c r="BH65" s="22"/>
      <c r="BI65" s="22"/>
      <c r="BJ65" s="22"/>
      <c r="BK65" s="22"/>
      <c r="BL65" s="22"/>
      <c r="BM65" s="22"/>
      <c r="BN65" s="22"/>
      <c r="BO65" s="22"/>
      <c r="BP65" s="22"/>
      <c r="BQ65" s="22"/>
      <c r="BR65" s="22"/>
      <c r="BS65" s="22"/>
      <c r="BT65" s="22"/>
      <c r="BU65" s="22"/>
      <c r="BV65" s="22"/>
      <c r="BW65" s="22"/>
      <c r="BX65" s="22"/>
      <c r="BY65" s="22"/>
      <c r="BZ65" s="22"/>
      <c r="CA65" s="22"/>
      <c r="CB65" s="22"/>
      <c r="CC65" s="22"/>
      <c r="CD65" s="22"/>
      <c r="CE65" s="22"/>
      <c r="CF65" s="22"/>
      <c r="CG65" s="22"/>
      <c r="CH65" s="22"/>
      <c r="CI65" s="22"/>
      <c r="CJ65" s="22"/>
      <c r="CK65" s="22"/>
      <c r="CL65" s="22"/>
      <c r="CM65" s="22"/>
      <c r="CN65" s="22"/>
      <c r="CO65" s="22"/>
      <c r="CP65" s="22"/>
      <c r="CQ65" s="22"/>
      <c r="CR65" s="22"/>
      <c r="CS65" s="22"/>
      <c r="CT65" s="22"/>
      <c r="CU65" s="22"/>
    </row>
    <row r="66" spans="1:99" s="31" customFormat="1">
      <c r="A66" s="22"/>
      <c r="B66" s="22"/>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22"/>
      <c r="BF66" s="22"/>
      <c r="BG66" s="22"/>
      <c r="BH66" s="22"/>
      <c r="BI66" s="22"/>
      <c r="BJ66" s="22"/>
      <c r="BK66" s="22"/>
      <c r="BL66" s="22"/>
      <c r="BM66" s="22"/>
      <c r="BN66" s="22"/>
      <c r="BO66" s="22"/>
      <c r="BP66" s="22"/>
      <c r="BQ66" s="22"/>
      <c r="BR66" s="22"/>
      <c r="BS66" s="22"/>
      <c r="BT66" s="22"/>
      <c r="BU66" s="22"/>
      <c r="BV66" s="22"/>
      <c r="BW66" s="22"/>
      <c r="BX66" s="22"/>
      <c r="BY66" s="22"/>
      <c r="BZ66" s="22"/>
      <c r="CA66" s="22"/>
      <c r="CB66" s="22"/>
      <c r="CC66" s="22"/>
      <c r="CD66" s="22"/>
      <c r="CE66" s="22"/>
      <c r="CF66" s="22"/>
      <c r="CG66" s="22"/>
      <c r="CH66" s="22"/>
      <c r="CI66" s="22"/>
      <c r="CJ66" s="22"/>
      <c r="CK66" s="22"/>
      <c r="CL66" s="22"/>
      <c r="CM66" s="22"/>
      <c r="CN66" s="22"/>
      <c r="CO66" s="22"/>
      <c r="CP66" s="22"/>
      <c r="CQ66" s="22"/>
      <c r="CR66" s="22"/>
      <c r="CS66" s="22"/>
      <c r="CT66" s="22"/>
      <c r="CU66" s="22"/>
    </row>
    <row r="67" spans="1:99" s="31" customFormat="1">
      <c r="A67" s="22"/>
      <c r="B67" s="22"/>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22"/>
      <c r="BF67" s="22"/>
      <c r="BG67" s="22"/>
      <c r="BH67" s="22"/>
      <c r="BI67" s="22"/>
      <c r="BJ67" s="22"/>
      <c r="BK67" s="22"/>
      <c r="BL67" s="22"/>
      <c r="BM67" s="22"/>
      <c r="BN67" s="22"/>
      <c r="BO67" s="22"/>
      <c r="BP67" s="22"/>
      <c r="BQ67" s="22"/>
      <c r="BR67" s="22"/>
      <c r="BS67" s="22"/>
      <c r="BT67" s="22"/>
      <c r="BU67" s="22"/>
      <c r="BV67" s="22"/>
      <c r="BW67" s="22"/>
      <c r="BX67" s="22"/>
      <c r="BY67" s="22"/>
      <c r="BZ67" s="22"/>
      <c r="CA67" s="22"/>
      <c r="CB67" s="22"/>
      <c r="CC67" s="22"/>
      <c r="CD67" s="22"/>
      <c r="CE67" s="22"/>
      <c r="CF67" s="22"/>
      <c r="CG67" s="22"/>
      <c r="CH67" s="22"/>
      <c r="CI67" s="22"/>
      <c r="CJ67" s="22"/>
      <c r="CK67" s="22"/>
      <c r="CL67" s="22"/>
      <c r="CM67" s="22"/>
      <c r="CN67" s="22"/>
      <c r="CO67" s="22"/>
      <c r="CP67" s="22"/>
      <c r="CQ67" s="22"/>
      <c r="CR67" s="22"/>
      <c r="CS67" s="22"/>
      <c r="CT67" s="22"/>
      <c r="CU67" s="22"/>
    </row>
    <row r="68" spans="1:99" s="31" customFormat="1">
      <c r="A68" s="22"/>
      <c r="B68" s="2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22"/>
      <c r="BF68" s="22"/>
      <c r="BG68" s="22"/>
      <c r="BH68" s="22"/>
      <c r="BI68" s="22"/>
      <c r="BJ68" s="22"/>
      <c r="BK68" s="22"/>
      <c r="BL68" s="22"/>
      <c r="BM68" s="22"/>
      <c r="BN68" s="22"/>
      <c r="BO68" s="22"/>
      <c r="BP68" s="22"/>
      <c r="BQ68" s="22"/>
      <c r="BR68" s="22"/>
      <c r="BS68" s="22"/>
      <c r="BT68" s="22"/>
      <c r="BU68" s="22"/>
      <c r="BV68" s="22"/>
      <c r="BW68" s="22"/>
      <c r="BX68" s="22"/>
      <c r="BY68" s="22"/>
      <c r="BZ68" s="22"/>
      <c r="CA68" s="22"/>
      <c r="CB68" s="22"/>
      <c r="CC68" s="22"/>
      <c r="CD68" s="22"/>
      <c r="CE68" s="22"/>
      <c r="CF68" s="22"/>
      <c r="CG68" s="22"/>
      <c r="CH68" s="22"/>
      <c r="CI68" s="22"/>
      <c r="CJ68" s="22"/>
      <c r="CK68" s="22"/>
      <c r="CL68" s="22"/>
      <c r="CM68" s="22"/>
      <c r="CN68" s="22"/>
      <c r="CO68" s="22"/>
      <c r="CP68" s="22"/>
      <c r="CQ68" s="22"/>
      <c r="CR68" s="22"/>
      <c r="CS68" s="22"/>
      <c r="CT68" s="22"/>
      <c r="CU68" s="22"/>
    </row>
    <row r="69" spans="1:99" s="31" customFormat="1">
      <c r="A69" s="22"/>
      <c r="B69" s="22"/>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c r="AZ69" s="22"/>
      <c r="BA69" s="22"/>
      <c r="BB69" s="22"/>
      <c r="BC69" s="22"/>
      <c r="BD69" s="22"/>
      <c r="BE69" s="22"/>
      <c r="BF69" s="22"/>
      <c r="BG69" s="22"/>
      <c r="BH69" s="22"/>
      <c r="BI69" s="22"/>
      <c r="BJ69" s="22"/>
      <c r="BK69" s="22"/>
      <c r="BL69" s="22"/>
      <c r="BM69" s="22"/>
      <c r="BN69" s="22"/>
      <c r="BO69" s="22"/>
      <c r="BP69" s="22"/>
      <c r="BQ69" s="22"/>
      <c r="BR69" s="22"/>
      <c r="BS69" s="22"/>
      <c r="BT69" s="22"/>
      <c r="BU69" s="22"/>
      <c r="BV69" s="22"/>
      <c r="BW69" s="22"/>
      <c r="BX69" s="22"/>
      <c r="BY69" s="22"/>
      <c r="BZ69" s="22"/>
      <c r="CA69" s="22"/>
      <c r="CB69" s="22"/>
      <c r="CC69" s="22"/>
      <c r="CD69" s="22"/>
      <c r="CE69" s="22"/>
      <c r="CF69" s="22"/>
      <c r="CG69" s="22"/>
      <c r="CH69" s="22"/>
      <c r="CI69" s="22"/>
      <c r="CJ69" s="22"/>
      <c r="CK69" s="22"/>
      <c r="CL69" s="22"/>
      <c r="CM69" s="22"/>
      <c r="CN69" s="22"/>
      <c r="CO69" s="22"/>
      <c r="CP69" s="22"/>
      <c r="CQ69" s="22"/>
      <c r="CR69" s="22"/>
      <c r="CS69" s="22"/>
      <c r="CT69" s="22"/>
      <c r="CU69" s="22"/>
    </row>
    <row r="70" spans="1:99" s="31" customFormat="1">
      <c r="A70" s="22"/>
      <c r="B70" s="22"/>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22"/>
      <c r="BF70" s="22"/>
      <c r="BG70" s="22"/>
      <c r="BH70" s="22"/>
      <c r="BI70" s="22"/>
      <c r="BJ70" s="22"/>
      <c r="BK70" s="22"/>
      <c r="BL70" s="22"/>
      <c r="BM70" s="22"/>
      <c r="BN70" s="22"/>
      <c r="BO70" s="22"/>
      <c r="BP70" s="22"/>
      <c r="BQ70" s="22"/>
      <c r="BR70" s="22"/>
      <c r="BS70" s="22"/>
      <c r="BT70" s="22"/>
      <c r="BU70" s="22"/>
      <c r="BV70" s="22"/>
      <c r="BW70" s="22"/>
      <c r="BX70" s="22"/>
      <c r="BY70" s="22"/>
      <c r="BZ70" s="22"/>
      <c r="CA70" s="22"/>
      <c r="CB70" s="22"/>
      <c r="CC70" s="22"/>
      <c r="CD70" s="22"/>
      <c r="CE70" s="22"/>
      <c r="CF70" s="22"/>
      <c r="CG70" s="22"/>
      <c r="CH70" s="22"/>
      <c r="CI70" s="22"/>
      <c r="CJ70" s="22"/>
      <c r="CK70" s="22"/>
      <c r="CL70" s="22"/>
      <c r="CM70" s="22"/>
      <c r="CN70" s="22"/>
      <c r="CO70" s="22"/>
      <c r="CP70" s="22"/>
      <c r="CQ70" s="22"/>
      <c r="CR70" s="22"/>
      <c r="CS70" s="22"/>
      <c r="CT70" s="22"/>
      <c r="CU70" s="22"/>
    </row>
    <row r="71" spans="1:99" s="31" customFormat="1">
      <c r="A71" s="22"/>
      <c r="B71" s="22"/>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c r="BH71" s="22"/>
      <c r="BI71" s="22"/>
      <c r="BJ71" s="22"/>
      <c r="BK71" s="22"/>
      <c r="BL71" s="22"/>
      <c r="BM71" s="22"/>
      <c r="BN71" s="22"/>
      <c r="BO71" s="22"/>
      <c r="BP71" s="22"/>
      <c r="BQ71" s="22"/>
      <c r="BR71" s="22"/>
      <c r="BS71" s="22"/>
      <c r="BT71" s="22"/>
      <c r="BU71" s="22"/>
      <c r="BV71" s="22"/>
      <c r="BW71" s="22"/>
      <c r="BX71" s="22"/>
      <c r="BY71" s="22"/>
      <c r="BZ71" s="22"/>
      <c r="CA71" s="22"/>
      <c r="CB71" s="22"/>
      <c r="CC71" s="22"/>
      <c r="CD71" s="22"/>
      <c r="CE71" s="22"/>
      <c r="CF71" s="22"/>
      <c r="CG71" s="22"/>
      <c r="CH71" s="22"/>
      <c r="CI71" s="22"/>
      <c r="CJ71" s="22"/>
      <c r="CK71" s="22"/>
      <c r="CL71" s="22"/>
      <c r="CM71" s="22"/>
      <c r="CN71" s="22"/>
      <c r="CO71" s="22"/>
      <c r="CP71" s="22"/>
      <c r="CQ71" s="22"/>
      <c r="CR71" s="22"/>
      <c r="CS71" s="22"/>
      <c r="CT71" s="22"/>
      <c r="CU71" s="22"/>
    </row>
    <row r="72" spans="1:99" s="31" customFormat="1">
      <c r="A72" s="22"/>
      <c r="B72" s="22"/>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c r="BH72" s="22"/>
      <c r="BI72" s="22"/>
      <c r="BJ72" s="22"/>
      <c r="BK72" s="22"/>
      <c r="BL72" s="22"/>
      <c r="BM72" s="22"/>
      <c r="BN72" s="22"/>
      <c r="BO72" s="22"/>
      <c r="BP72" s="22"/>
      <c r="BQ72" s="22"/>
      <c r="BR72" s="22"/>
      <c r="BS72" s="22"/>
      <c r="BT72" s="22"/>
      <c r="BU72" s="22"/>
      <c r="BV72" s="22"/>
      <c r="BW72" s="22"/>
      <c r="BX72" s="22"/>
      <c r="BY72" s="22"/>
      <c r="BZ72" s="22"/>
      <c r="CA72" s="22"/>
      <c r="CB72" s="22"/>
      <c r="CC72" s="22"/>
      <c r="CD72" s="22"/>
      <c r="CE72" s="22"/>
      <c r="CF72" s="22"/>
      <c r="CG72" s="22"/>
      <c r="CH72" s="22"/>
      <c r="CI72" s="22"/>
      <c r="CJ72" s="22"/>
      <c r="CK72" s="22"/>
      <c r="CL72" s="22"/>
      <c r="CM72" s="22"/>
      <c r="CN72" s="22"/>
      <c r="CO72" s="22"/>
      <c r="CP72" s="22"/>
      <c r="CQ72" s="22"/>
      <c r="CR72" s="22"/>
      <c r="CS72" s="22"/>
      <c r="CT72" s="22"/>
      <c r="CU72" s="22"/>
    </row>
    <row r="73" spans="1:99" s="31" customFormat="1">
      <c r="A73" s="22"/>
      <c r="B73" s="22"/>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c r="BH73" s="22"/>
      <c r="BI73" s="22"/>
      <c r="BJ73" s="22"/>
      <c r="BK73" s="22"/>
      <c r="BL73" s="22"/>
      <c r="BM73" s="22"/>
      <c r="BN73" s="22"/>
      <c r="BO73" s="22"/>
      <c r="BP73" s="22"/>
      <c r="BQ73" s="22"/>
      <c r="BR73" s="22"/>
      <c r="BS73" s="22"/>
      <c r="BT73" s="22"/>
      <c r="BU73" s="22"/>
      <c r="BV73" s="22"/>
      <c r="BW73" s="22"/>
      <c r="BX73" s="22"/>
      <c r="BY73" s="22"/>
      <c r="BZ73" s="22"/>
      <c r="CA73" s="22"/>
      <c r="CB73" s="22"/>
      <c r="CC73" s="22"/>
      <c r="CD73" s="22"/>
      <c r="CE73" s="22"/>
      <c r="CF73" s="22"/>
      <c r="CG73" s="22"/>
      <c r="CH73" s="22"/>
      <c r="CI73" s="22"/>
      <c r="CJ73" s="22"/>
      <c r="CK73" s="22"/>
      <c r="CL73" s="22"/>
      <c r="CM73" s="22"/>
      <c r="CN73" s="22"/>
      <c r="CO73" s="22"/>
      <c r="CP73" s="22"/>
      <c r="CQ73" s="22"/>
      <c r="CR73" s="22"/>
      <c r="CS73" s="22"/>
      <c r="CT73" s="22"/>
      <c r="CU73" s="22"/>
    </row>
    <row r="74" spans="1:99" s="31" customFormat="1">
      <c r="A74" s="22"/>
      <c r="B74" s="22"/>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c r="BH74" s="22"/>
      <c r="BI74" s="22"/>
      <c r="BJ74" s="22"/>
      <c r="BK74" s="22"/>
      <c r="BL74" s="22"/>
      <c r="BM74" s="22"/>
      <c r="BN74" s="22"/>
      <c r="BO74" s="22"/>
      <c r="BP74" s="22"/>
      <c r="BQ74" s="22"/>
      <c r="BR74" s="22"/>
      <c r="BS74" s="22"/>
      <c r="BT74" s="22"/>
      <c r="BU74" s="22"/>
      <c r="BV74" s="22"/>
      <c r="BW74" s="22"/>
      <c r="BX74" s="22"/>
      <c r="BY74" s="22"/>
      <c r="BZ74" s="22"/>
      <c r="CA74" s="22"/>
      <c r="CB74" s="22"/>
      <c r="CC74" s="22"/>
      <c r="CD74" s="22"/>
      <c r="CE74" s="22"/>
      <c r="CF74" s="22"/>
      <c r="CG74" s="22"/>
      <c r="CH74" s="22"/>
      <c r="CI74" s="22"/>
      <c r="CJ74" s="22"/>
      <c r="CK74" s="22"/>
      <c r="CL74" s="22"/>
      <c r="CM74" s="22"/>
      <c r="CN74" s="22"/>
      <c r="CO74" s="22"/>
      <c r="CP74" s="22"/>
      <c r="CQ74" s="22"/>
      <c r="CR74" s="22"/>
      <c r="CS74" s="22"/>
      <c r="CT74" s="22"/>
      <c r="CU74" s="22"/>
    </row>
    <row r="75" spans="1:99" s="31" customFormat="1">
      <c r="A75" s="22"/>
      <c r="B75" s="22"/>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c r="BH75" s="22"/>
      <c r="BI75" s="22"/>
      <c r="BJ75" s="22"/>
      <c r="BK75" s="22"/>
      <c r="BL75" s="22"/>
      <c r="BM75" s="22"/>
      <c r="BN75" s="22"/>
      <c r="BO75" s="22"/>
      <c r="BP75" s="22"/>
      <c r="BQ75" s="22"/>
      <c r="BR75" s="22"/>
      <c r="BS75" s="22"/>
      <c r="BT75" s="22"/>
      <c r="BU75" s="22"/>
      <c r="BV75" s="22"/>
      <c r="BW75" s="22"/>
      <c r="BX75" s="22"/>
      <c r="BY75" s="22"/>
      <c r="BZ75" s="22"/>
      <c r="CA75" s="22"/>
      <c r="CB75" s="22"/>
      <c r="CC75" s="22"/>
      <c r="CD75" s="22"/>
      <c r="CE75" s="22"/>
      <c r="CF75" s="22"/>
      <c r="CG75" s="22"/>
      <c r="CH75" s="22"/>
      <c r="CI75" s="22"/>
      <c r="CJ75" s="22"/>
      <c r="CK75" s="22"/>
      <c r="CL75" s="22"/>
      <c r="CM75" s="22"/>
      <c r="CN75" s="22"/>
      <c r="CO75" s="22"/>
      <c r="CP75" s="22"/>
      <c r="CQ75" s="22"/>
      <c r="CR75" s="22"/>
      <c r="CS75" s="22"/>
      <c r="CT75" s="22"/>
      <c r="CU75" s="22"/>
    </row>
    <row r="76" spans="1:99" s="31" customFormat="1">
      <c r="A76" s="22"/>
      <c r="B76" s="22"/>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c r="BH76" s="22"/>
      <c r="BI76" s="22"/>
      <c r="BJ76" s="22"/>
      <c r="BK76" s="22"/>
      <c r="BL76" s="22"/>
      <c r="BM76" s="22"/>
      <c r="BN76" s="22"/>
      <c r="BO76" s="22"/>
      <c r="BP76" s="22"/>
      <c r="BQ76" s="22"/>
      <c r="BR76" s="22"/>
      <c r="BS76" s="22"/>
      <c r="BT76" s="22"/>
      <c r="BU76" s="22"/>
      <c r="BV76" s="22"/>
      <c r="BW76" s="22"/>
      <c r="BX76" s="22"/>
      <c r="BY76" s="22"/>
      <c r="BZ76" s="22"/>
      <c r="CA76" s="22"/>
      <c r="CB76" s="22"/>
      <c r="CC76" s="22"/>
      <c r="CD76" s="22"/>
      <c r="CE76" s="22"/>
      <c r="CF76" s="22"/>
      <c r="CG76" s="22"/>
      <c r="CH76" s="22"/>
      <c r="CI76" s="22"/>
      <c r="CJ76" s="22"/>
      <c r="CK76" s="22"/>
      <c r="CL76" s="22"/>
      <c r="CM76" s="22"/>
      <c r="CN76" s="22"/>
      <c r="CO76" s="22"/>
      <c r="CP76" s="22"/>
      <c r="CQ76" s="22"/>
      <c r="CR76" s="22"/>
      <c r="CS76" s="22"/>
      <c r="CT76" s="22"/>
      <c r="CU76" s="22"/>
    </row>
    <row r="77" spans="1:99" s="31" customFormat="1">
      <c r="A77" s="22"/>
      <c r="B77" s="22"/>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c r="BH77" s="22"/>
      <c r="BI77" s="22"/>
      <c r="BJ77" s="22"/>
      <c r="BK77" s="22"/>
      <c r="BL77" s="22"/>
      <c r="BM77" s="22"/>
      <c r="BN77" s="22"/>
      <c r="BO77" s="22"/>
      <c r="BP77" s="22"/>
      <c r="BQ77" s="22"/>
      <c r="BR77" s="22"/>
      <c r="BS77" s="22"/>
      <c r="BT77" s="22"/>
      <c r="BU77" s="22"/>
      <c r="BV77" s="22"/>
      <c r="BW77" s="22"/>
      <c r="BX77" s="22"/>
      <c r="BY77" s="22"/>
      <c r="BZ77" s="22"/>
      <c r="CA77" s="22"/>
      <c r="CB77" s="22"/>
      <c r="CC77" s="22"/>
      <c r="CD77" s="22"/>
      <c r="CE77" s="22"/>
      <c r="CF77" s="22"/>
      <c r="CG77" s="22"/>
      <c r="CH77" s="22"/>
      <c r="CI77" s="22"/>
      <c r="CJ77" s="22"/>
      <c r="CK77" s="22"/>
      <c r="CL77" s="22"/>
      <c r="CM77" s="22"/>
      <c r="CN77" s="22"/>
      <c r="CO77" s="22"/>
      <c r="CP77" s="22"/>
      <c r="CQ77" s="22"/>
      <c r="CR77" s="22"/>
      <c r="CS77" s="22"/>
      <c r="CT77" s="22"/>
      <c r="CU77" s="22"/>
    </row>
    <row r="78" spans="1:99" s="31" customFormat="1">
      <c r="A78" s="22"/>
      <c r="B78" s="22"/>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c r="BH78" s="22"/>
      <c r="BI78" s="22"/>
      <c r="BJ78" s="22"/>
      <c r="BK78" s="22"/>
      <c r="BL78" s="22"/>
      <c r="BM78" s="22"/>
      <c r="BN78" s="22"/>
      <c r="BO78" s="22"/>
      <c r="BP78" s="22"/>
      <c r="BQ78" s="22"/>
      <c r="BR78" s="22"/>
      <c r="BS78" s="22"/>
      <c r="BT78" s="22"/>
      <c r="BU78" s="22"/>
      <c r="BV78" s="22"/>
      <c r="BW78" s="22"/>
      <c r="BX78" s="22"/>
      <c r="BY78" s="22"/>
      <c r="BZ78" s="22"/>
      <c r="CA78" s="22"/>
      <c r="CB78" s="22"/>
      <c r="CC78" s="22"/>
      <c r="CD78" s="22"/>
      <c r="CE78" s="22"/>
      <c r="CF78" s="22"/>
      <c r="CG78" s="22"/>
      <c r="CH78" s="22"/>
      <c r="CI78" s="22"/>
      <c r="CJ78" s="22"/>
      <c r="CK78" s="22"/>
      <c r="CL78" s="22"/>
      <c r="CM78" s="22"/>
      <c r="CN78" s="22"/>
      <c r="CO78" s="22"/>
      <c r="CP78" s="22"/>
      <c r="CQ78" s="22"/>
      <c r="CR78" s="22"/>
      <c r="CS78" s="22"/>
      <c r="CT78" s="22"/>
      <c r="CU78" s="22"/>
    </row>
    <row r="79" spans="1:99" s="31" customFormat="1">
      <c r="A79" s="22"/>
      <c r="B79" s="22"/>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c r="BH79" s="22"/>
      <c r="BI79" s="22"/>
      <c r="BJ79" s="22"/>
      <c r="BK79" s="22"/>
      <c r="BL79" s="22"/>
      <c r="BM79" s="22"/>
      <c r="BN79" s="22"/>
      <c r="BO79" s="22"/>
      <c r="BP79" s="22"/>
      <c r="BQ79" s="22"/>
      <c r="BR79" s="22"/>
      <c r="BS79" s="22"/>
      <c r="BT79" s="22"/>
      <c r="BU79" s="22"/>
      <c r="BV79" s="22"/>
      <c r="BW79" s="22"/>
      <c r="BX79" s="22"/>
      <c r="BY79" s="22"/>
      <c r="BZ79" s="22"/>
      <c r="CA79" s="22"/>
      <c r="CB79" s="22"/>
      <c r="CC79" s="22"/>
      <c r="CD79" s="22"/>
      <c r="CE79" s="22"/>
      <c r="CF79" s="22"/>
      <c r="CG79" s="22"/>
      <c r="CH79" s="22"/>
      <c r="CI79" s="22"/>
      <c r="CJ79" s="22"/>
      <c r="CK79" s="22"/>
      <c r="CL79" s="22"/>
      <c r="CM79" s="22"/>
      <c r="CN79" s="22"/>
      <c r="CO79" s="22"/>
      <c r="CP79" s="22"/>
      <c r="CQ79" s="22"/>
      <c r="CR79" s="22"/>
      <c r="CS79" s="22"/>
      <c r="CT79" s="22"/>
      <c r="CU79" s="22"/>
    </row>
    <row r="80" spans="1:99" s="31" customFormat="1">
      <c r="A80" s="22"/>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c r="BU80" s="22"/>
      <c r="BV80" s="22"/>
      <c r="BW80" s="22"/>
      <c r="BX80" s="22"/>
      <c r="BY80" s="22"/>
      <c r="BZ80" s="22"/>
      <c r="CA80" s="22"/>
      <c r="CB80" s="22"/>
      <c r="CC80" s="22"/>
      <c r="CD80" s="22"/>
      <c r="CE80" s="22"/>
      <c r="CF80" s="22"/>
      <c r="CG80" s="22"/>
      <c r="CH80" s="22"/>
      <c r="CI80" s="22"/>
      <c r="CJ80" s="22"/>
      <c r="CK80" s="22"/>
      <c r="CL80" s="22"/>
      <c r="CM80" s="22"/>
      <c r="CN80" s="22"/>
      <c r="CO80" s="22"/>
      <c r="CP80" s="22"/>
      <c r="CQ80" s="22"/>
      <c r="CR80" s="22"/>
      <c r="CS80" s="22"/>
      <c r="CT80" s="22"/>
      <c r="CU80" s="22"/>
    </row>
    <row r="81" spans="1:99" s="31" customFormat="1">
      <c r="A81" s="22"/>
      <c r="B81" s="22"/>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c r="BH81" s="22"/>
      <c r="BI81" s="22"/>
      <c r="BJ81" s="22"/>
      <c r="BK81" s="22"/>
      <c r="BL81" s="22"/>
      <c r="BM81" s="22"/>
      <c r="BN81" s="22"/>
      <c r="BO81" s="22"/>
      <c r="BP81" s="22"/>
      <c r="BQ81" s="22"/>
      <c r="BR81" s="22"/>
      <c r="BS81" s="22"/>
      <c r="BT81" s="22"/>
      <c r="BU81" s="22"/>
      <c r="BV81" s="22"/>
      <c r="BW81" s="22"/>
      <c r="BX81" s="22"/>
      <c r="BY81" s="22"/>
      <c r="BZ81" s="22"/>
      <c r="CA81" s="22"/>
      <c r="CB81" s="22"/>
      <c r="CC81" s="22"/>
      <c r="CD81" s="22"/>
      <c r="CE81" s="22"/>
      <c r="CF81" s="22"/>
      <c r="CG81" s="22"/>
      <c r="CH81" s="22"/>
      <c r="CI81" s="22"/>
      <c r="CJ81" s="22"/>
      <c r="CK81" s="22"/>
      <c r="CL81" s="22"/>
      <c r="CM81" s="22"/>
      <c r="CN81" s="22"/>
      <c r="CO81" s="22"/>
      <c r="CP81" s="22"/>
      <c r="CQ81" s="22"/>
      <c r="CR81" s="22"/>
      <c r="CS81" s="22"/>
      <c r="CT81" s="22"/>
      <c r="CU81" s="22"/>
    </row>
    <row r="82" spans="1:99" s="31" customFormat="1">
      <c r="A82" s="22"/>
      <c r="B82" s="22"/>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c r="BH82" s="22"/>
      <c r="BI82" s="22"/>
      <c r="BJ82" s="22"/>
      <c r="BK82" s="22"/>
      <c r="BL82" s="22"/>
      <c r="BM82" s="22"/>
      <c r="BN82" s="22"/>
      <c r="BO82" s="22"/>
      <c r="BP82" s="22"/>
      <c r="BQ82" s="22"/>
      <c r="BR82" s="22"/>
      <c r="BS82" s="22"/>
      <c r="BT82" s="22"/>
      <c r="BU82" s="22"/>
      <c r="BV82" s="22"/>
      <c r="BW82" s="22"/>
      <c r="BX82" s="22"/>
      <c r="BY82" s="22"/>
      <c r="BZ82" s="22"/>
      <c r="CA82" s="22"/>
      <c r="CB82" s="22"/>
      <c r="CC82" s="22"/>
      <c r="CD82" s="22"/>
      <c r="CE82" s="22"/>
      <c r="CF82" s="22"/>
      <c r="CG82" s="22"/>
      <c r="CH82" s="22"/>
      <c r="CI82" s="22"/>
      <c r="CJ82" s="22"/>
      <c r="CK82" s="22"/>
      <c r="CL82" s="22"/>
      <c r="CM82" s="22"/>
      <c r="CN82" s="22"/>
      <c r="CO82" s="22"/>
      <c r="CP82" s="22"/>
      <c r="CQ82" s="22"/>
      <c r="CR82" s="22"/>
      <c r="CS82" s="22"/>
      <c r="CT82" s="22"/>
      <c r="CU82" s="22"/>
    </row>
    <row r="83" spans="1:99" s="31" customFormat="1">
      <c r="A83" s="22"/>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c r="BH83" s="22"/>
      <c r="BI83" s="22"/>
      <c r="BJ83" s="22"/>
      <c r="BK83" s="22"/>
      <c r="BL83" s="22"/>
      <c r="BM83" s="22"/>
      <c r="BN83" s="22"/>
      <c r="BO83" s="22"/>
      <c r="BP83" s="22"/>
      <c r="BQ83" s="22"/>
      <c r="BR83" s="22"/>
      <c r="BS83" s="22"/>
      <c r="BT83" s="22"/>
      <c r="BU83" s="22"/>
      <c r="BV83" s="22"/>
      <c r="BW83" s="22"/>
      <c r="BX83" s="22"/>
      <c r="BY83" s="22"/>
      <c r="BZ83" s="22"/>
      <c r="CA83" s="22"/>
      <c r="CB83" s="22"/>
      <c r="CC83" s="22"/>
      <c r="CD83" s="22"/>
      <c r="CE83" s="22"/>
      <c r="CF83" s="22"/>
      <c r="CG83" s="22"/>
      <c r="CH83" s="22"/>
      <c r="CI83" s="22"/>
      <c r="CJ83" s="22"/>
      <c r="CK83" s="22"/>
      <c r="CL83" s="22"/>
      <c r="CM83" s="22"/>
      <c r="CN83" s="22"/>
      <c r="CO83" s="22"/>
      <c r="CP83" s="22"/>
      <c r="CQ83" s="22"/>
      <c r="CR83" s="22"/>
      <c r="CS83" s="22"/>
      <c r="CT83" s="22"/>
      <c r="CU83" s="22"/>
    </row>
    <row r="84" spans="1:99" s="31" customFormat="1">
      <c r="A84" s="22"/>
      <c r="B84" s="22"/>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c r="BH84" s="22"/>
      <c r="BI84" s="22"/>
      <c r="BJ84" s="22"/>
      <c r="BK84" s="22"/>
      <c r="BL84" s="22"/>
      <c r="BM84" s="22"/>
      <c r="BN84" s="22"/>
      <c r="BO84" s="22"/>
      <c r="BP84" s="22"/>
      <c r="BQ84" s="22"/>
      <c r="BR84" s="22"/>
      <c r="BS84" s="22"/>
      <c r="BT84" s="22"/>
      <c r="BU84" s="22"/>
      <c r="BV84" s="22"/>
      <c r="BW84" s="22"/>
      <c r="BX84" s="22"/>
      <c r="BY84" s="22"/>
      <c r="BZ84" s="22"/>
      <c r="CA84" s="22"/>
      <c r="CB84" s="22"/>
      <c r="CC84" s="22"/>
      <c r="CD84" s="22"/>
      <c r="CE84" s="22"/>
      <c r="CF84" s="22"/>
      <c r="CG84" s="22"/>
      <c r="CH84" s="22"/>
      <c r="CI84" s="22"/>
      <c r="CJ84" s="22"/>
      <c r="CK84" s="22"/>
      <c r="CL84" s="22"/>
      <c r="CM84" s="22"/>
      <c r="CN84" s="22"/>
      <c r="CO84" s="22"/>
      <c r="CP84" s="22"/>
      <c r="CQ84" s="22"/>
      <c r="CR84" s="22"/>
      <c r="CS84" s="22"/>
      <c r="CT84" s="22"/>
      <c r="CU84" s="22"/>
    </row>
    <row r="85" spans="1:99" s="31" customFormat="1">
      <c r="A85" s="22"/>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c r="BH85" s="22"/>
      <c r="BI85" s="22"/>
      <c r="BJ85" s="22"/>
      <c r="BK85" s="22"/>
      <c r="BL85" s="22"/>
      <c r="BM85" s="22"/>
      <c r="BN85" s="22"/>
      <c r="BO85" s="22"/>
      <c r="BP85" s="22"/>
      <c r="BQ85" s="22"/>
      <c r="BR85" s="22"/>
      <c r="BS85" s="22"/>
      <c r="BT85" s="22"/>
      <c r="BU85" s="22"/>
      <c r="BV85" s="22"/>
      <c r="BW85" s="22"/>
      <c r="BX85" s="22"/>
      <c r="BY85" s="22"/>
      <c r="BZ85" s="22"/>
      <c r="CA85" s="22"/>
      <c r="CB85" s="22"/>
      <c r="CC85" s="22"/>
      <c r="CD85" s="22"/>
      <c r="CE85" s="22"/>
      <c r="CF85" s="22"/>
      <c r="CG85" s="22"/>
      <c r="CH85" s="22"/>
      <c r="CI85" s="22"/>
      <c r="CJ85" s="22"/>
      <c r="CK85" s="22"/>
      <c r="CL85" s="22"/>
      <c r="CM85" s="22"/>
      <c r="CN85" s="22"/>
      <c r="CO85" s="22"/>
      <c r="CP85" s="22"/>
      <c r="CQ85" s="22"/>
      <c r="CR85" s="22"/>
      <c r="CS85" s="22"/>
      <c r="CT85" s="22"/>
      <c r="CU85" s="22"/>
    </row>
    <row r="86" spans="1:99" s="31" customFormat="1">
      <c r="A86" s="22"/>
      <c r="B86" s="22"/>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c r="BH86" s="22"/>
      <c r="BI86" s="22"/>
      <c r="BJ86" s="22"/>
      <c r="BK86" s="22"/>
      <c r="BL86" s="22"/>
      <c r="BM86" s="22"/>
      <c r="BN86" s="22"/>
      <c r="BO86" s="22"/>
      <c r="BP86" s="22"/>
      <c r="BQ86" s="22"/>
      <c r="BR86" s="22"/>
      <c r="BS86" s="22"/>
      <c r="BT86" s="22"/>
      <c r="BU86" s="22"/>
      <c r="BV86" s="22"/>
      <c r="BW86" s="22"/>
      <c r="BX86" s="22"/>
      <c r="BY86" s="22"/>
      <c r="BZ86" s="22"/>
      <c r="CA86" s="22"/>
      <c r="CB86" s="22"/>
      <c r="CC86" s="22"/>
      <c r="CD86" s="22"/>
      <c r="CE86" s="22"/>
      <c r="CF86" s="22"/>
      <c r="CG86" s="22"/>
      <c r="CH86" s="22"/>
      <c r="CI86" s="22"/>
      <c r="CJ86" s="22"/>
      <c r="CK86" s="22"/>
      <c r="CL86" s="22"/>
      <c r="CM86" s="22"/>
      <c r="CN86" s="22"/>
      <c r="CO86" s="22"/>
      <c r="CP86" s="22"/>
      <c r="CQ86" s="22"/>
      <c r="CR86" s="22"/>
      <c r="CS86" s="22"/>
      <c r="CT86" s="22"/>
      <c r="CU86" s="22"/>
    </row>
    <row r="87" spans="1:99" s="31" customFormat="1">
      <c r="A87" s="22"/>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c r="BH87" s="22"/>
      <c r="BI87" s="22"/>
      <c r="BJ87" s="22"/>
      <c r="BK87" s="22"/>
      <c r="BL87" s="22"/>
      <c r="BM87" s="22"/>
      <c r="BN87" s="22"/>
      <c r="BO87" s="22"/>
      <c r="BP87" s="22"/>
      <c r="BQ87" s="22"/>
      <c r="BR87" s="22"/>
      <c r="BS87" s="22"/>
      <c r="BT87" s="22"/>
      <c r="BU87" s="22"/>
      <c r="BV87" s="22"/>
      <c r="BW87" s="22"/>
      <c r="BX87" s="22"/>
      <c r="BY87" s="22"/>
      <c r="BZ87" s="22"/>
      <c r="CA87" s="22"/>
      <c r="CB87" s="22"/>
      <c r="CC87" s="22"/>
      <c r="CD87" s="22"/>
      <c r="CE87" s="22"/>
      <c r="CF87" s="22"/>
      <c r="CG87" s="22"/>
      <c r="CH87" s="22"/>
      <c r="CI87" s="22"/>
      <c r="CJ87" s="22"/>
      <c r="CK87" s="22"/>
      <c r="CL87" s="22"/>
      <c r="CM87" s="22"/>
      <c r="CN87" s="22"/>
      <c r="CO87" s="22"/>
      <c r="CP87" s="22"/>
      <c r="CQ87" s="22"/>
      <c r="CR87" s="22"/>
      <c r="CS87" s="22"/>
      <c r="CT87" s="22"/>
      <c r="CU87" s="22"/>
    </row>
    <row r="88" spans="1:99" s="31" customFormat="1">
      <c r="A88" s="22"/>
      <c r="B88" s="22"/>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c r="BH88" s="22"/>
      <c r="BI88" s="22"/>
      <c r="BJ88" s="22"/>
      <c r="BK88" s="22"/>
      <c r="BL88" s="22"/>
      <c r="BM88" s="22"/>
      <c r="BN88" s="22"/>
      <c r="BO88" s="22"/>
      <c r="BP88" s="22"/>
      <c r="BQ88" s="22"/>
      <c r="BR88" s="22"/>
      <c r="BS88" s="22"/>
      <c r="BT88" s="22"/>
      <c r="BU88" s="22"/>
      <c r="BV88" s="22"/>
      <c r="BW88" s="22"/>
      <c r="BX88" s="22"/>
      <c r="BY88" s="22"/>
      <c r="BZ88" s="22"/>
      <c r="CA88" s="22"/>
      <c r="CB88" s="22"/>
      <c r="CC88" s="22"/>
      <c r="CD88" s="22"/>
      <c r="CE88" s="22"/>
      <c r="CF88" s="22"/>
      <c r="CG88" s="22"/>
      <c r="CH88" s="22"/>
      <c r="CI88" s="22"/>
      <c r="CJ88" s="22"/>
      <c r="CK88" s="22"/>
      <c r="CL88" s="22"/>
      <c r="CM88" s="22"/>
      <c r="CN88" s="22"/>
      <c r="CO88" s="22"/>
      <c r="CP88" s="22"/>
      <c r="CQ88" s="22"/>
      <c r="CR88" s="22"/>
      <c r="CS88" s="22"/>
      <c r="CT88" s="22"/>
      <c r="CU88" s="22"/>
    </row>
    <row r="89" spans="1:99" s="31" customFormat="1">
      <c r="A89" s="22"/>
      <c r="B89" s="22"/>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c r="BH89" s="22"/>
      <c r="BI89" s="22"/>
      <c r="BJ89" s="22"/>
      <c r="BK89" s="22"/>
      <c r="BL89" s="22"/>
      <c r="BM89" s="22"/>
      <c r="BN89" s="22"/>
      <c r="BO89" s="22"/>
      <c r="BP89" s="22"/>
      <c r="BQ89" s="22"/>
      <c r="BR89" s="22"/>
      <c r="BS89" s="22"/>
      <c r="BT89" s="22"/>
      <c r="BU89" s="22"/>
      <c r="BV89" s="22"/>
      <c r="BW89" s="22"/>
      <c r="BX89" s="22"/>
      <c r="BY89" s="22"/>
      <c r="BZ89" s="22"/>
      <c r="CA89" s="22"/>
      <c r="CB89" s="22"/>
      <c r="CC89" s="22"/>
      <c r="CD89" s="22"/>
      <c r="CE89" s="22"/>
      <c r="CF89" s="22"/>
      <c r="CG89" s="22"/>
      <c r="CH89" s="22"/>
      <c r="CI89" s="22"/>
      <c r="CJ89" s="22"/>
      <c r="CK89" s="22"/>
      <c r="CL89" s="22"/>
      <c r="CM89" s="22"/>
      <c r="CN89" s="22"/>
      <c r="CO89" s="22"/>
      <c r="CP89" s="22"/>
      <c r="CQ89" s="22"/>
      <c r="CR89" s="22"/>
      <c r="CS89" s="22"/>
      <c r="CT89" s="22"/>
      <c r="CU89" s="22"/>
    </row>
    <row r="90" spans="1:99" s="31" customFormat="1">
      <c r="A90" s="22"/>
      <c r="B90" s="22"/>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c r="BH90" s="22"/>
      <c r="BI90" s="22"/>
      <c r="BJ90" s="22"/>
      <c r="BK90" s="22"/>
      <c r="BL90" s="22"/>
      <c r="BM90" s="22"/>
      <c r="BN90" s="22"/>
      <c r="BO90" s="22"/>
      <c r="BP90" s="22"/>
      <c r="BQ90" s="22"/>
      <c r="BR90" s="22"/>
      <c r="BS90" s="22"/>
      <c r="BT90" s="22"/>
      <c r="BU90" s="22"/>
      <c r="BV90" s="22"/>
      <c r="BW90" s="22"/>
      <c r="BX90" s="22"/>
      <c r="BY90" s="22"/>
      <c r="BZ90" s="22"/>
      <c r="CA90" s="22"/>
      <c r="CB90" s="22"/>
      <c r="CC90" s="22"/>
      <c r="CD90" s="22"/>
      <c r="CE90" s="22"/>
      <c r="CF90" s="22"/>
      <c r="CG90" s="22"/>
      <c r="CH90" s="22"/>
      <c r="CI90" s="22"/>
      <c r="CJ90" s="22"/>
      <c r="CK90" s="22"/>
      <c r="CL90" s="22"/>
      <c r="CM90" s="22"/>
      <c r="CN90" s="22"/>
      <c r="CO90" s="22"/>
      <c r="CP90" s="22"/>
      <c r="CQ90" s="22"/>
      <c r="CR90" s="22"/>
      <c r="CS90" s="22"/>
      <c r="CT90" s="22"/>
      <c r="CU90" s="22"/>
    </row>
    <row r="91" spans="1:99" s="31" customFormat="1">
      <c r="A91" s="22"/>
      <c r="B91" s="22"/>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c r="BH91" s="22"/>
      <c r="BI91" s="22"/>
      <c r="BJ91" s="22"/>
      <c r="BK91" s="22"/>
      <c r="BL91" s="22"/>
      <c r="BM91" s="22"/>
      <c r="BN91" s="22"/>
      <c r="BO91" s="22"/>
      <c r="BP91" s="22"/>
      <c r="BQ91" s="22"/>
      <c r="BR91" s="22"/>
      <c r="BS91" s="22"/>
      <c r="BT91" s="22"/>
      <c r="BU91" s="22"/>
      <c r="BV91" s="22"/>
      <c r="BW91" s="22"/>
      <c r="BX91" s="22"/>
      <c r="BY91" s="22"/>
      <c r="BZ91" s="22"/>
      <c r="CA91" s="22"/>
      <c r="CB91" s="22"/>
      <c r="CC91" s="22"/>
      <c r="CD91" s="22"/>
      <c r="CE91" s="22"/>
      <c r="CF91" s="22"/>
      <c r="CG91" s="22"/>
      <c r="CH91" s="22"/>
      <c r="CI91" s="22"/>
      <c r="CJ91" s="22"/>
      <c r="CK91" s="22"/>
      <c r="CL91" s="22"/>
      <c r="CM91" s="22"/>
      <c r="CN91" s="22"/>
      <c r="CO91" s="22"/>
      <c r="CP91" s="22"/>
      <c r="CQ91" s="22"/>
      <c r="CR91" s="22"/>
      <c r="CS91" s="22"/>
      <c r="CT91" s="22"/>
      <c r="CU91" s="22"/>
    </row>
    <row r="92" spans="1:99" s="31" customFormat="1">
      <c r="A92" s="22"/>
      <c r="B92" s="22"/>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c r="BH92" s="22"/>
      <c r="BI92" s="22"/>
      <c r="BJ92" s="22"/>
      <c r="BK92" s="22"/>
      <c r="BL92" s="22"/>
      <c r="BM92" s="22"/>
      <c r="BN92" s="22"/>
      <c r="BO92" s="22"/>
      <c r="BP92" s="22"/>
      <c r="BQ92" s="22"/>
      <c r="BR92" s="22"/>
      <c r="BS92" s="22"/>
      <c r="BT92" s="22"/>
      <c r="BU92" s="22"/>
      <c r="BV92" s="22"/>
      <c r="BW92" s="22"/>
      <c r="BX92" s="22"/>
      <c r="BY92" s="22"/>
      <c r="BZ92" s="22"/>
      <c r="CA92" s="22"/>
      <c r="CB92" s="22"/>
      <c r="CC92" s="22"/>
      <c r="CD92" s="22"/>
      <c r="CE92" s="22"/>
      <c r="CF92" s="22"/>
      <c r="CG92" s="22"/>
      <c r="CH92" s="22"/>
      <c r="CI92" s="22"/>
      <c r="CJ92" s="22"/>
      <c r="CK92" s="22"/>
      <c r="CL92" s="22"/>
      <c r="CM92" s="22"/>
      <c r="CN92" s="22"/>
      <c r="CO92" s="22"/>
      <c r="CP92" s="22"/>
      <c r="CQ92" s="22"/>
      <c r="CR92" s="22"/>
      <c r="CS92" s="22"/>
      <c r="CT92" s="22"/>
      <c r="CU92" s="22"/>
    </row>
    <row r="93" spans="1:99" s="31" customFormat="1">
      <c r="A93" s="22"/>
      <c r="B93" s="22"/>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c r="BH93" s="22"/>
      <c r="BI93" s="22"/>
      <c r="BJ93" s="22"/>
      <c r="BK93" s="22"/>
      <c r="BL93" s="22"/>
      <c r="BM93" s="22"/>
      <c r="BN93" s="22"/>
      <c r="BO93" s="22"/>
      <c r="BP93" s="22"/>
      <c r="BQ93" s="22"/>
      <c r="BR93" s="22"/>
      <c r="BS93" s="22"/>
      <c r="BT93" s="22"/>
      <c r="BU93" s="22"/>
      <c r="BV93" s="22"/>
      <c r="BW93" s="22"/>
      <c r="BX93" s="22"/>
      <c r="BY93" s="22"/>
      <c r="BZ93" s="22"/>
      <c r="CA93" s="22"/>
      <c r="CB93" s="22"/>
      <c r="CC93" s="22"/>
      <c r="CD93" s="22"/>
      <c r="CE93" s="22"/>
      <c r="CF93" s="22"/>
      <c r="CG93" s="22"/>
      <c r="CH93" s="22"/>
      <c r="CI93" s="22"/>
      <c r="CJ93" s="22"/>
      <c r="CK93" s="22"/>
      <c r="CL93" s="22"/>
      <c r="CM93" s="22"/>
      <c r="CN93" s="22"/>
      <c r="CO93" s="22"/>
      <c r="CP93" s="22"/>
      <c r="CQ93" s="22"/>
      <c r="CR93" s="22"/>
      <c r="CS93" s="22"/>
      <c r="CT93" s="22"/>
      <c r="CU93" s="22"/>
    </row>
    <row r="94" spans="1:99" s="31" customFormat="1">
      <c r="A94" s="22"/>
      <c r="B94" s="22"/>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c r="BH94" s="22"/>
      <c r="BI94" s="22"/>
      <c r="BJ94" s="22"/>
      <c r="BK94" s="22"/>
      <c r="BL94" s="22"/>
      <c r="BM94" s="22"/>
      <c r="BN94" s="22"/>
      <c r="BO94" s="22"/>
      <c r="BP94" s="22"/>
      <c r="BQ94" s="22"/>
      <c r="BR94" s="22"/>
      <c r="BS94" s="22"/>
      <c r="BT94" s="22"/>
      <c r="BU94" s="22"/>
      <c r="BV94" s="22"/>
      <c r="BW94" s="22"/>
      <c r="BX94" s="22"/>
      <c r="BY94" s="22"/>
      <c r="BZ94" s="22"/>
      <c r="CA94" s="22"/>
      <c r="CB94" s="22"/>
      <c r="CC94" s="22"/>
      <c r="CD94" s="22"/>
      <c r="CE94" s="22"/>
      <c r="CF94" s="22"/>
      <c r="CG94" s="22"/>
      <c r="CH94" s="22"/>
      <c r="CI94" s="22"/>
      <c r="CJ94" s="22"/>
      <c r="CK94" s="22"/>
      <c r="CL94" s="22"/>
      <c r="CM94" s="22"/>
      <c r="CN94" s="22"/>
      <c r="CO94" s="22"/>
      <c r="CP94" s="22"/>
      <c r="CQ94" s="22"/>
      <c r="CR94" s="22"/>
      <c r="CS94" s="22"/>
      <c r="CT94" s="22"/>
      <c r="CU94" s="22"/>
    </row>
    <row r="95" spans="1:99" s="31" customFormat="1">
      <c r="A95" s="22"/>
      <c r="B95" s="22"/>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c r="BH95" s="22"/>
      <c r="BI95" s="22"/>
      <c r="BJ95" s="22"/>
      <c r="BK95" s="22"/>
      <c r="BL95" s="22"/>
      <c r="BM95" s="22"/>
      <c r="BN95" s="22"/>
      <c r="BO95" s="22"/>
      <c r="BP95" s="22"/>
      <c r="BQ95" s="22"/>
      <c r="BR95" s="22"/>
      <c r="BS95" s="22"/>
      <c r="BT95" s="22"/>
      <c r="BU95" s="22"/>
      <c r="BV95" s="22"/>
      <c r="BW95" s="22"/>
      <c r="BX95" s="22"/>
      <c r="BY95" s="22"/>
      <c r="BZ95" s="22"/>
      <c r="CA95" s="22"/>
      <c r="CB95" s="22"/>
      <c r="CC95" s="22"/>
      <c r="CD95" s="22"/>
      <c r="CE95" s="22"/>
      <c r="CF95" s="22"/>
      <c r="CG95" s="22"/>
      <c r="CH95" s="22"/>
      <c r="CI95" s="22"/>
      <c r="CJ95" s="22"/>
      <c r="CK95" s="22"/>
      <c r="CL95" s="22"/>
      <c r="CM95" s="22"/>
      <c r="CN95" s="22"/>
      <c r="CO95" s="22"/>
      <c r="CP95" s="22"/>
      <c r="CQ95" s="22"/>
      <c r="CR95" s="22"/>
      <c r="CS95" s="22"/>
      <c r="CT95" s="22"/>
      <c r="CU95" s="22"/>
    </row>
    <row r="96" spans="1:99" s="31" customFormat="1">
      <c r="A96" s="22"/>
      <c r="B96" s="22"/>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c r="BH96" s="22"/>
      <c r="BI96" s="22"/>
      <c r="BJ96" s="22"/>
      <c r="BK96" s="22"/>
      <c r="BL96" s="22"/>
      <c r="BM96" s="22"/>
      <c r="BN96" s="22"/>
      <c r="BO96" s="22"/>
      <c r="BP96" s="22"/>
      <c r="BQ96" s="22"/>
      <c r="BR96" s="22"/>
      <c r="BS96" s="22"/>
      <c r="BT96" s="22"/>
      <c r="BU96" s="22"/>
      <c r="BV96" s="22"/>
      <c r="BW96" s="22"/>
      <c r="BX96" s="22"/>
      <c r="BY96" s="22"/>
      <c r="BZ96" s="22"/>
      <c r="CA96" s="22"/>
      <c r="CB96" s="22"/>
      <c r="CC96" s="22"/>
      <c r="CD96" s="22"/>
      <c r="CE96" s="22"/>
      <c r="CF96" s="22"/>
      <c r="CG96" s="22"/>
      <c r="CH96" s="22"/>
      <c r="CI96" s="22"/>
      <c r="CJ96" s="22"/>
      <c r="CK96" s="22"/>
      <c r="CL96" s="22"/>
      <c r="CM96" s="22"/>
      <c r="CN96" s="22"/>
      <c r="CO96" s="22"/>
      <c r="CP96" s="22"/>
      <c r="CQ96" s="22"/>
      <c r="CR96" s="22"/>
      <c r="CS96" s="22"/>
      <c r="CT96" s="22"/>
      <c r="CU96" s="22"/>
    </row>
    <row r="97" spans="1:99" s="31" customFormat="1">
      <c r="A97" s="22"/>
      <c r="B97" s="22"/>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c r="BH97" s="22"/>
      <c r="BI97" s="22"/>
      <c r="BJ97" s="22"/>
      <c r="BK97" s="22"/>
      <c r="BL97" s="22"/>
      <c r="BM97" s="22"/>
      <c r="BN97" s="22"/>
      <c r="BO97" s="22"/>
      <c r="BP97" s="22"/>
      <c r="BQ97" s="22"/>
      <c r="BR97" s="22"/>
      <c r="BS97" s="22"/>
      <c r="BT97" s="22"/>
      <c r="BU97" s="22"/>
      <c r="BV97" s="22"/>
      <c r="BW97" s="22"/>
      <c r="BX97" s="22"/>
      <c r="BY97" s="22"/>
      <c r="BZ97" s="22"/>
      <c r="CA97" s="22"/>
      <c r="CB97" s="22"/>
      <c r="CC97" s="22"/>
      <c r="CD97" s="22"/>
      <c r="CE97" s="22"/>
      <c r="CF97" s="22"/>
      <c r="CG97" s="22"/>
      <c r="CH97" s="22"/>
      <c r="CI97" s="22"/>
      <c r="CJ97" s="22"/>
      <c r="CK97" s="22"/>
      <c r="CL97" s="22"/>
      <c r="CM97" s="22"/>
      <c r="CN97" s="22"/>
      <c r="CO97" s="22"/>
      <c r="CP97" s="22"/>
      <c r="CQ97" s="22"/>
      <c r="CR97" s="22"/>
      <c r="CS97" s="22"/>
      <c r="CT97" s="22"/>
      <c r="CU97" s="22"/>
    </row>
    <row r="98" spans="1:99" s="31" customFormat="1">
      <c r="A98" s="22"/>
      <c r="B98" s="22"/>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c r="BH98" s="22"/>
      <c r="BI98" s="22"/>
      <c r="BJ98" s="22"/>
      <c r="BK98" s="22"/>
      <c r="BL98" s="22"/>
      <c r="BM98" s="22"/>
      <c r="BN98" s="22"/>
      <c r="BO98" s="22"/>
      <c r="BP98" s="22"/>
      <c r="BQ98" s="22"/>
      <c r="BR98" s="22"/>
      <c r="BS98" s="22"/>
      <c r="BT98" s="22"/>
      <c r="BU98" s="22"/>
      <c r="BV98" s="22"/>
      <c r="BW98" s="22"/>
      <c r="BX98" s="22"/>
      <c r="BY98" s="22"/>
      <c r="BZ98" s="22"/>
      <c r="CA98" s="22"/>
      <c r="CB98" s="22"/>
      <c r="CC98" s="22"/>
      <c r="CD98" s="22"/>
      <c r="CE98" s="22"/>
      <c r="CF98" s="22"/>
      <c r="CG98" s="22"/>
      <c r="CH98" s="22"/>
      <c r="CI98" s="22"/>
      <c r="CJ98" s="22"/>
      <c r="CK98" s="22"/>
      <c r="CL98" s="22"/>
      <c r="CM98" s="22"/>
      <c r="CN98" s="22"/>
      <c r="CO98" s="22"/>
      <c r="CP98" s="22"/>
      <c r="CQ98" s="22"/>
      <c r="CR98" s="22"/>
      <c r="CS98" s="22"/>
      <c r="CT98" s="22"/>
      <c r="CU98" s="22"/>
    </row>
    <row r="99" spans="1:99" s="31" customFormat="1">
      <c r="A99" s="22"/>
      <c r="B99" s="22"/>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c r="BH99" s="22"/>
      <c r="BI99" s="22"/>
      <c r="BJ99" s="22"/>
      <c r="BK99" s="22"/>
      <c r="BL99" s="22"/>
      <c r="BM99" s="22"/>
      <c r="BN99" s="22"/>
      <c r="BO99" s="22"/>
      <c r="BP99" s="22"/>
      <c r="BQ99" s="22"/>
      <c r="BR99" s="22"/>
      <c r="BS99" s="22"/>
      <c r="BT99" s="22"/>
      <c r="BU99" s="22"/>
      <c r="BV99" s="22"/>
      <c r="BW99" s="22"/>
      <c r="BX99" s="22"/>
      <c r="BY99" s="22"/>
      <c r="BZ99" s="22"/>
      <c r="CA99" s="22"/>
      <c r="CB99" s="22"/>
      <c r="CC99" s="22"/>
      <c r="CD99" s="22"/>
      <c r="CE99" s="22"/>
      <c r="CF99" s="22"/>
      <c r="CG99" s="22"/>
      <c r="CH99" s="22"/>
      <c r="CI99" s="22"/>
      <c r="CJ99" s="22"/>
      <c r="CK99" s="22"/>
      <c r="CL99" s="22"/>
      <c r="CM99" s="22"/>
      <c r="CN99" s="22"/>
      <c r="CO99" s="22"/>
      <c r="CP99" s="22"/>
      <c r="CQ99" s="22"/>
      <c r="CR99" s="22"/>
      <c r="CS99" s="22"/>
      <c r="CT99" s="22"/>
      <c r="CU99" s="22"/>
    </row>
    <row r="100" spans="1:99" s="31" customFormat="1">
      <c r="A100" s="22"/>
      <c r="B100" s="22"/>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c r="BH100" s="22"/>
      <c r="BI100" s="22"/>
      <c r="BJ100" s="22"/>
      <c r="BK100" s="22"/>
      <c r="BL100" s="22"/>
      <c r="BM100" s="22"/>
      <c r="BN100" s="22"/>
      <c r="BO100" s="22"/>
      <c r="BP100" s="22"/>
      <c r="BQ100" s="22"/>
      <c r="BR100" s="22"/>
      <c r="BS100" s="22"/>
      <c r="BT100" s="22"/>
      <c r="BU100" s="22"/>
      <c r="BV100" s="22"/>
      <c r="BW100" s="22"/>
      <c r="BX100" s="22"/>
      <c r="BY100" s="22"/>
      <c r="BZ100" s="22"/>
      <c r="CA100" s="22"/>
      <c r="CB100" s="22"/>
      <c r="CC100" s="22"/>
      <c r="CD100" s="22"/>
      <c r="CE100" s="22"/>
      <c r="CF100" s="22"/>
      <c r="CG100" s="22"/>
      <c r="CH100" s="22"/>
      <c r="CI100" s="22"/>
      <c r="CJ100" s="22"/>
      <c r="CK100" s="22"/>
      <c r="CL100" s="22"/>
      <c r="CM100" s="22"/>
      <c r="CN100" s="22"/>
      <c r="CO100" s="22"/>
      <c r="CP100" s="22"/>
      <c r="CQ100" s="22"/>
      <c r="CR100" s="22"/>
      <c r="CS100" s="22"/>
      <c r="CT100" s="22"/>
      <c r="CU100" s="22"/>
    </row>
    <row r="101" spans="1:99" s="31" customFormat="1">
      <c r="A101" s="22"/>
      <c r="B101" s="22"/>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c r="BH101" s="22"/>
      <c r="BI101" s="22"/>
      <c r="BJ101" s="22"/>
      <c r="BK101" s="22"/>
      <c r="BL101" s="22"/>
      <c r="BM101" s="22"/>
      <c r="BN101" s="22"/>
      <c r="BO101" s="22"/>
      <c r="BP101" s="22"/>
      <c r="BQ101" s="22"/>
      <c r="BR101" s="22"/>
      <c r="BS101" s="22"/>
      <c r="BT101" s="22"/>
      <c r="BU101" s="22"/>
      <c r="BV101" s="22"/>
      <c r="BW101" s="22"/>
      <c r="BX101" s="22"/>
      <c r="BY101" s="22"/>
      <c r="BZ101" s="22"/>
      <c r="CA101" s="22"/>
      <c r="CB101" s="22"/>
      <c r="CC101" s="22"/>
      <c r="CD101" s="22"/>
      <c r="CE101" s="22"/>
      <c r="CF101" s="22"/>
      <c r="CG101" s="22"/>
      <c r="CH101" s="22"/>
      <c r="CI101" s="22"/>
      <c r="CJ101" s="22"/>
      <c r="CK101" s="22"/>
      <c r="CL101" s="22"/>
      <c r="CM101" s="22"/>
      <c r="CN101" s="22"/>
      <c r="CO101" s="22"/>
      <c r="CP101" s="22"/>
      <c r="CQ101" s="22"/>
      <c r="CR101" s="22"/>
      <c r="CS101" s="22"/>
      <c r="CT101" s="22"/>
      <c r="CU101" s="22"/>
    </row>
    <row r="102" spans="1:99" s="31" customFormat="1">
      <c r="A102" s="22"/>
      <c r="B102" s="22"/>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c r="BH102" s="22"/>
      <c r="BI102" s="22"/>
      <c r="BJ102" s="22"/>
      <c r="BK102" s="22"/>
      <c r="BL102" s="22"/>
      <c r="BM102" s="22"/>
      <c r="BN102" s="22"/>
      <c r="BO102" s="22"/>
      <c r="BP102" s="22"/>
      <c r="BQ102" s="22"/>
      <c r="BR102" s="22"/>
      <c r="BS102" s="22"/>
      <c r="BT102" s="22"/>
      <c r="BU102" s="22"/>
      <c r="BV102" s="22"/>
      <c r="BW102" s="22"/>
      <c r="BX102" s="22"/>
      <c r="BY102" s="22"/>
      <c r="BZ102" s="22"/>
      <c r="CA102" s="22"/>
      <c r="CB102" s="22"/>
      <c r="CC102" s="22"/>
      <c r="CD102" s="22"/>
      <c r="CE102" s="22"/>
      <c r="CF102" s="22"/>
      <c r="CG102" s="22"/>
      <c r="CH102" s="22"/>
      <c r="CI102" s="22"/>
      <c r="CJ102" s="22"/>
      <c r="CK102" s="22"/>
      <c r="CL102" s="22"/>
      <c r="CM102" s="22"/>
      <c r="CN102" s="22"/>
      <c r="CO102" s="22"/>
      <c r="CP102" s="22"/>
      <c r="CQ102" s="22"/>
      <c r="CR102" s="22"/>
      <c r="CS102" s="22"/>
      <c r="CT102" s="22"/>
      <c r="CU102" s="22"/>
    </row>
    <row r="103" spans="1:99" s="31" customFormat="1">
      <c r="A103" s="22"/>
      <c r="B103" s="22"/>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c r="BH103" s="22"/>
      <c r="BI103" s="22"/>
      <c r="BJ103" s="22"/>
      <c r="BK103" s="22"/>
      <c r="BL103" s="22"/>
      <c r="BM103" s="22"/>
      <c r="BN103" s="22"/>
      <c r="BO103" s="22"/>
      <c r="BP103" s="22"/>
      <c r="BQ103" s="22"/>
      <c r="BR103" s="22"/>
      <c r="BS103" s="22"/>
      <c r="BT103" s="22"/>
      <c r="BU103" s="22"/>
      <c r="BV103" s="22"/>
      <c r="BW103" s="22"/>
      <c r="BX103" s="22"/>
      <c r="BY103" s="22"/>
      <c r="BZ103" s="22"/>
      <c r="CA103" s="22"/>
      <c r="CB103" s="22"/>
      <c r="CC103" s="22"/>
      <c r="CD103" s="22"/>
      <c r="CE103" s="22"/>
      <c r="CF103" s="22"/>
      <c r="CG103" s="22"/>
      <c r="CH103" s="22"/>
      <c r="CI103" s="22"/>
      <c r="CJ103" s="22"/>
      <c r="CK103" s="22"/>
      <c r="CL103" s="22"/>
      <c r="CM103" s="22"/>
      <c r="CN103" s="22"/>
      <c r="CO103" s="22"/>
      <c r="CP103" s="22"/>
      <c r="CQ103" s="22"/>
      <c r="CR103" s="22"/>
      <c r="CS103" s="22"/>
      <c r="CT103" s="22"/>
      <c r="CU103" s="22"/>
    </row>
    <row r="104" spans="1:99" s="31" customFormat="1">
      <c r="A104" s="22"/>
      <c r="B104" s="22"/>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c r="BH104" s="22"/>
      <c r="BI104" s="22"/>
      <c r="BJ104" s="22"/>
      <c r="BK104" s="22"/>
      <c r="BL104" s="22"/>
      <c r="BM104" s="22"/>
      <c r="BN104" s="22"/>
      <c r="BO104" s="22"/>
      <c r="BP104" s="22"/>
      <c r="BQ104" s="22"/>
      <c r="BR104" s="22"/>
      <c r="BS104" s="22"/>
      <c r="BT104" s="22"/>
      <c r="BU104" s="22"/>
      <c r="BV104" s="22"/>
      <c r="BW104" s="22"/>
      <c r="BX104" s="22"/>
      <c r="BY104" s="22"/>
      <c r="BZ104" s="22"/>
      <c r="CA104" s="22"/>
      <c r="CB104" s="22"/>
      <c r="CC104" s="22"/>
      <c r="CD104" s="22"/>
      <c r="CE104" s="22"/>
      <c r="CF104" s="22"/>
      <c r="CG104" s="22"/>
      <c r="CH104" s="22"/>
      <c r="CI104" s="22"/>
      <c r="CJ104" s="22"/>
      <c r="CK104" s="22"/>
      <c r="CL104" s="22"/>
      <c r="CM104" s="22"/>
      <c r="CN104" s="22"/>
      <c r="CO104" s="22"/>
      <c r="CP104" s="22"/>
      <c r="CQ104" s="22"/>
      <c r="CR104" s="22"/>
      <c r="CS104" s="22"/>
      <c r="CT104" s="22"/>
      <c r="CU104" s="22"/>
    </row>
    <row r="105" spans="1:99" s="31" customFormat="1">
      <c r="A105" s="22"/>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c r="AZ105" s="22"/>
      <c r="BA105" s="22"/>
      <c r="BB105" s="22"/>
      <c r="BC105" s="22"/>
      <c r="BD105" s="22"/>
      <c r="BE105" s="22"/>
      <c r="BF105" s="22"/>
      <c r="BG105" s="22"/>
      <c r="BH105" s="22"/>
      <c r="BI105" s="22"/>
      <c r="BJ105" s="22"/>
      <c r="BK105" s="22"/>
      <c r="BL105" s="22"/>
      <c r="BM105" s="22"/>
      <c r="BN105" s="22"/>
      <c r="BO105" s="22"/>
      <c r="BP105" s="22"/>
      <c r="BQ105" s="22"/>
      <c r="BR105" s="22"/>
      <c r="BS105" s="22"/>
      <c r="BT105" s="22"/>
      <c r="BU105" s="22"/>
      <c r="BV105" s="22"/>
      <c r="BW105" s="22"/>
      <c r="BX105" s="22"/>
      <c r="BY105" s="22"/>
      <c r="BZ105" s="22"/>
      <c r="CA105" s="22"/>
      <c r="CB105" s="22"/>
      <c r="CC105" s="22"/>
      <c r="CD105" s="22"/>
      <c r="CE105" s="22"/>
      <c r="CF105" s="22"/>
      <c r="CG105" s="22"/>
      <c r="CH105" s="22"/>
      <c r="CI105" s="22"/>
      <c r="CJ105" s="22"/>
      <c r="CK105" s="22"/>
      <c r="CL105" s="22"/>
      <c r="CM105" s="22"/>
      <c r="CN105" s="22"/>
      <c r="CO105" s="22"/>
      <c r="CP105" s="22"/>
      <c r="CQ105" s="22"/>
      <c r="CR105" s="22"/>
      <c r="CS105" s="22"/>
      <c r="CT105" s="22"/>
      <c r="CU105" s="22"/>
    </row>
    <row r="106" spans="1:99" s="31" customFormat="1">
      <c r="A106" s="22"/>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c r="BH106" s="22"/>
      <c r="BI106" s="22"/>
      <c r="BJ106" s="22"/>
      <c r="BK106" s="22"/>
      <c r="BL106" s="22"/>
      <c r="BM106" s="22"/>
      <c r="BN106" s="22"/>
      <c r="BO106" s="22"/>
      <c r="BP106" s="22"/>
      <c r="BQ106" s="22"/>
      <c r="BR106" s="22"/>
      <c r="BS106" s="22"/>
      <c r="BT106" s="22"/>
      <c r="BU106" s="22"/>
      <c r="BV106" s="22"/>
      <c r="BW106" s="22"/>
      <c r="BX106" s="22"/>
      <c r="BY106" s="22"/>
      <c r="BZ106" s="22"/>
      <c r="CA106" s="22"/>
      <c r="CB106" s="22"/>
      <c r="CC106" s="22"/>
      <c r="CD106" s="22"/>
      <c r="CE106" s="22"/>
      <c r="CF106" s="22"/>
      <c r="CG106" s="22"/>
      <c r="CH106" s="22"/>
      <c r="CI106" s="22"/>
      <c r="CJ106" s="22"/>
      <c r="CK106" s="22"/>
      <c r="CL106" s="22"/>
      <c r="CM106" s="22"/>
      <c r="CN106" s="22"/>
      <c r="CO106" s="22"/>
      <c r="CP106" s="22"/>
      <c r="CQ106" s="22"/>
      <c r="CR106" s="22"/>
      <c r="CS106" s="22"/>
      <c r="CT106" s="22"/>
      <c r="CU106" s="22"/>
    </row>
    <row r="107" spans="1:99" s="31" customFormat="1">
      <c r="A107" s="22"/>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c r="BH107" s="22"/>
      <c r="BI107" s="22"/>
      <c r="BJ107" s="22"/>
      <c r="BK107" s="22"/>
      <c r="BL107" s="22"/>
      <c r="BM107" s="22"/>
      <c r="BN107" s="22"/>
      <c r="BO107" s="22"/>
      <c r="BP107" s="22"/>
      <c r="BQ107" s="22"/>
      <c r="BR107" s="22"/>
      <c r="BS107" s="22"/>
      <c r="BT107" s="22"/>
      <c r="BU107" s="22"/>
      <c r="BV107" s="22"/>
      <c r="BW107" s="22"/>
      <c r="BX107" s="22"/>
      <c r="BY107" s="22"/>
      <c r="BZ107" s="22"/>
      <c r="CA107" s="22"/>
      <c r="CB107" s="22"/>
      <c r="CC107" s="22"/>
      <c r="CD107" s="22"/>
      <c r="CE107" s="22"/>
      <c r="CF107" s="22"/>
      <c r="CG107" s="22"/>
      <c r="CH107" s="22"/>
      <c r="CI107" s="22"/>
      <c r="CJ107" s="22"/>
      <c r="CK107" s="22"/>
      <c r="CL107" s="22"/>
      <c r="CM107" s="22"/>
      <c r="CN107" s="22"/>
      <c r="CO107" s="22"/>
      <c r="CP107" s="22"/>
      <c r="CQ107" s="22"/>
      <c r="CR107" s="22"/>
      <c r="CS107" s="22"/>
      <c r="CT107" s="22"/>
      <c r="CU107" s="22"/>
    </row>
    <row r="108" spans="1:99" s="31" customFormat="1">
      <c r="A108" s="22"/>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c r="BH108" s="22"/>
      <c r="BI108" s="22"/>
      <c r="BJ108" s="22"/>
      <c r="BK108" s="22"/>
      <c r="BL108" s="22"/>
      <c r="BM108" s="22"/>
      <c r="BN108" s="22"/>
      <c r="BO108" s="22"/>
      <c r="BP108" s="22"/>
      <c r="BQ108" s="22"/>
      <c r="BR108" s="22"/>
      <c r="BS108" s="22"/>
      <c r="BT108" s="22"/>
      <c r="BU108" s="22"/>
      <c r="BV108" s="22"/>
      <c r="BW108" s="22"/>
      <c r="BX108" s="22"/>
      <c r="BY108" s="22"/>
      <c r="BZ108" s="22"/>
      <c r="CA108" s="22"/>
      <c r="CB108" s="22"/>
      <c r="CC108" s="22"/>
      <c r="CD108" s="22"/>
      <c r="CE108" s="22"/>
      <c r="CF108" s="22"/>
      <c r="CG108" s="22"/>
      <c r="CH108" s="22"/>
      <c r="CI108" s="22"/>
      <c r="CJ108" s="22"/>
      <c r="CK108" s="22"/>
      <c r="CL108" s="22"/>
      <c r="CM108" s="22"/>
      <c r="CN108" s="22"/>
      <c r="CO108" s="22"/>
      <c r="CP108" s="22"/>
      <c r="CQ108" s="22"/>
      <c r="CR108" s="22"/>
      <c r="CS108" s="22"/>
      <c r="CT108" s="22"/>
      <c r="CU108" s="22"/>
    </row>
    <row r="109" spans="1:99" s="31" customFormat="1">
      <c r="A109" s="22"/>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c r="AZ109" s="22"/>
      <c r="BA109" s="22"/>
      <c r="BB109" s="22"/>
      <c r="BC109" s="22"/>
      <c r="BD109" s="22"/>
      <c r="BE109" s="22"/>
      <c r="BF109" s="22"/>
      <c r="BG109" s="22"/>
      <c r="BH109" s="22"/>
      <c r="BI109" s="22"/>
      <c r="BJ109" s="22"/>
      <c r="BK109" s="22"/>
      <c r="BL109" s="22"/>
      <c r="BM109" s="22"/>
      <c r="BN109" s="22"/>
      <c r="BO109" s="22"/>
      <c r="BP109" s="22"/>
      <c r="BQ109" s="22"/>
      <c r="BR109" s="22"/>
      <c r="BS109" s="22"/>
      <c r="BT109" s="22"/>
      <c r="BU109" s="22"/>
      <c r="BV109" s="22"/>
      <c r="BW109" s="22"/>
      <c r="BX109" s="22"/>
      <c r="BY109" s="22"/>
      <c r="BZ109" s="22"/>
      <c r="CA109" s="22"/>
      <c r="CB109" s="22"/>
      <c r="CC109" s="22"/>
      <c r="CD109" s="22"/>
      <c r="CE109" s="22"/>
      <c r="CF109" s="22"/>
      <c r="CG109" s="22"/>
      <c r="CH109" s="22"/>
      <c r="CI109" s="22"/>
      <c r="CJ109" s="22"/>
      <c r="CK109" s="22"/>
      <c r="CL109" s="22"/>
      <c r="CM109" s="22"/>
      <c r="CN109" s="22"/>
      <c r="CO109" s="22"/>
      <c r="CP109" s="22"/>
      <c r="CQ109" s="22"/>
      <c r="CR109" s="22"/>
      <c r="CS109" s="22"/>
      <c r="CT109" s="22"/>
      <c r="CU109" s="22"/>
    </row>
    <row r="110" spans="1:99" s="31" customFormat="1">
      <c r="A110" s="22"/>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c r="AZ110" s="22"/>
      <c r="BA110" s="22"/>
      <c r="BB110" s="22"/>
      <c r="BC110" s="22"/>
      <c r="BD110" s="22"/>
      <c r="BE110" s="22"/>
      <c r="BF110" s="22"/>
      <c r="BG110" s="22"/>
      <c r="BH110" s="22"/>
      <c r="BI110" s="22"/>
      <c r="BJ110" s="22"/>
      <c r="BK110" s="22"/>
      <c r="BL110" s="22"/>
      <c r="BM110" s="22"/>
      <c r="BN110" s="22"/>
      <c r="BO110" s="22"/>
      <c r="BP110" s="22"/>
      <c r="BQ110" s="22"/>
      <c r="BR110" s="22"/>
      <c r="BS110" s="22"/>
      <c r="BT110" s="22"/>
      <c r="BU110" s="22"/>
      <c r="BV110" s="22"/>
      <c r="BW110" s="22"/>
      <c r="BX110" s="22"/>
      <c r="BY110" s="22"/>
      <c r="BZ110" s="22"/>
      <c r="CA110" s="22"/>
      <c r="CB110" s="22"/>
      <c r="CC110" s="22"/>
      <c r="CD110" s="22"/>
      <c r="CE110" s="22"/>
      <c r="CF110" s="22"/>
      <c r="CG110" s="22"/>
      <c r="CH110" s="22"/>
      <c r="CI110" s="22"/>
      <c r="CJ110" s="22"/>
      <c r="CK110" s="22"/>
      <c r="CL110" s="22"/>
      <c r="CM110" s="22"/>
      <c r="CN110" s="22"/>
      <c r="CO110" s="22"/>
      <c r="CP110" s="22"/>
      <c r="CQ110" s="22"/>
      <c r="CR110" s="22"/>
      <c r="CS110" s="22"/>
      <c r="CT110" s="22"/>
      <c r="CU110" s="22"/>
    </row>
    <row r="111" spans="1:99" s="31" customFormat="1">
      <c r="A111" s="22"/>
      <c r="B111" s="22"/>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c r="AZ111" s="22"/>
      <c r="BA111" s="22"/>
      <c r="BB111" s="22"/>
      <c r="BC111" s="22"/>
      <c r="BD111" s="22"/>
      <c r="BE111" s="22"/>
      <c r="BF111" s="22"/>
      <c r="BG111" s="22"/>
      <c r="BH111" s="22"/>
      <c r="BI111" s="22"/>
      <c r="BJ111" s="22"/>
      <c r="BK111" s="22"/>
      <c r="BL111" s="22"/>
      <c r="BM111" s="22"/>
      <c r="BN111" s="22"/>
      <c r="BO111" s="22"/>
      <c r="BP111" s="22"/>
      <c r="BQ111" s="22"/>
      <c r="BR111" s="22"/>
      <c r="BS111" s="22"/>
      <c r="BT111" s="22"/>
      <c r="BU111" s="22"/>
      <c r="BV111" s="22"/>
      <c r="BW111" s="22"/>
      <c r="BX111" s="22"/>
      <c r="BY111" s="22"/>
      <c r="BZ111" s="22"/>
      <c r="CA111" s="22"/>
      <c r="CB111" s="22"/>
      <c r="CC111" s="22"/>
      <c r="CD111" s="22"/>
      <c r="CE111" s="22"/>
      <c r="CF111" s="22"/>
      <c r="CG111" s="22"/>
      <c r="CH111" s="22"/>
      <c r="CI111" s="22"/>
      <c r="CJ111" s="22"/>
      <c r="CK111" s="22"/>
      <c r="CL111" s="22"/>
      <c r="CM111" s="22"/>
      <c r="CN111" s="22"/>
      <c r="CO111" s="22"/>
      <c r="CP111" s="22"/>
      <c r="CQ111" s="22"/>
      <c r="CR111" s="22"/>
      <c r="CS111" s="22"/>
      <c r="CT111" s="22"/>
      <c r="CU111" s="22"/>
    </row>
    <row r="112" spans="1:99" s="31" customFormat="1">
      <c r="A112" s="22"/>
      <c r="B112" s="22"/>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c r="AZ112" s="22"/>
      <c r="BA112" s="22"/>
      <c r="BB112" s="22"/>
      <c r="BC112" s="22"/>
      <c r="BD112" s="22"/>
      <c r="BE112" s="22"/>
      <c r="BF112" s="22"/>
      <c r="BG112" s="22"/>
      <c r="BH112" s="22"/>
      <c r="BI112" s="22"/>
      <c r="BJ112" s="22"/>
      <c r="BK112" s="22"/>
      <c r="BL112" s="22"/>
      <c r="BM112" s="22"/>
      <c r="BN112" s="22"/>
      <c r="BO112" s="22"/>
      <c r="BP112" s="22"/>
      <c r="BQ112" s="22"/>
      <c r="BR112" s="22"/>
      <c r="BS112" s="22"/>
      <c r="BT112" s="22"/>
      <c r="BU112" s="22"/>
      <c r="BV112" s="22"/>
      <c r="BW112" s="22"/>
      <c r="BX112" s="22"/>
      <c r="BY112" s="22"/>
      <c r="BZ112" s="22"/>
      <c r="CA112" s="22"/>
      <c r="CB112" s="22"/>
      <c r="CC112" s="22"/>
      <c r="CD112" s="22"/>
      <c r="CE112" s="22"/>
      <c r="CF112" s="22"/>
      <c r="CG112" s="22"/>
      <c r="CH112" s="22"/>
      <c r="CI112" s="22"/>
      <c r="CJ112" s="22"/>
      <c r="CK112" s="22"/>
      <c r="CL112" s="22"/>
      <c r="CM112" s="22"/>
      <c r="CN112" s="22"/>
      <c r="CO112" s="22"/>
      <c r="CP112" s="22"/>
      <c r="CQ112" s="22"/>
      <c r="CR112" s="22"/>
      <c r="CS112" s="22"/>
      <c r="CT112" s="22"/>
      <c r="CU112" s="22"/>
    </row>
    <row r="113" spans="1:99" s="31" customFormat="1">
      <c r="A113" s="22"/>
      <c r="B113" s="22"/>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c r="AW113" s="22"/>
      <c r="AX113" s="22"/>
      <c r="AY113" s="22"/>
      <c r="AZ113" s="22"/>
      <c r="BA113" s="22"/>
      <c r="BB113" s="22"/>
      <c r="BC113" s="22"/>
      <c r="BD113" s="22"/>
      <c r="BE113" s="22"/>
      <c r="BF113" s="22"/>
      <c r="BG113" s="22"/>
      <c r="BH113" s="22"/>
      <c r="BI113" s="22"/>
      <c r="BJ113" s="22"/>
      <c r="BK113" s="22"/>
      <c r="BL113" s="22"/>
      <c r="BM113" s="22"/>
      <c r="BN113" s="22"/>
      <c r="BO113" s="22"/>
      <c r="BP113" s="22"/>
      <c r="BQ113" s="22"/>
      <c r="BR113" s="22"/>
      <c r="BS113" s="22"/>
      <c r="BT113" s="22"/>
      <c r="BU113" s="22"/>
      <c r="BV113" s="22"/>
      <c r="BW113" s="22"/>
      <c r="BX113" s="22"/>
      <c r="BY113" s="22"/>
      <c r="BZ113" s="22"/>
      <c r="CA113" s="22"/>
      <c r="CB113" s="22"/>
      <c r="CC113" s="22"/>
      <c r="CD113" s="22"/>
      <c r="CE113" s="22"/>
      <c r="CF113" s="22"/>
      <c r="CG113" s="22"/>
      <c r="CH113" s="22"/>
      <c r="CI113" s="22"/>
      <c r="CJ113" s="22"/>
      <c r="CK113" s="22"/>
      <c r="CL113" s="22"/>
      <c r="CM113" s="22"/>
      <c r="CN113" s="22"/>
      <c r="CO113" s="22"/>
      <c r="CP113" s="22"/>
      <c r="CQ113" s="22"/>
      <c r="CR113" s="22"/>
      <c r="CS113" s="22"/>
      <c r="CT113" s="22"/>
      <c r="CU113" s="22"/>
    </row>
    <row r="114" spans="1:99" s="31" customFormat="1">
      <c r="A114" s="22"/>
      <c r="B114" s="22"/>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c r="AZ114" s="22"/>
      <c r="BA114" s="22"/>
      <c r="BB114" s="22"/>
      <c r="BC114" s="22"/>
      <c r="BD114" s="22"/>
      <c r="BE114" s="22"/>
      <c r="BF114" s="22"/>
      <c r="BG114" s="22"/>
      <c r="BH114" s="22"/>
      <c r="BI114" s="22"/>
      <c r="BJ114" s="22"/>
      <c r="BK114" s="22"/>
      <c r="BL114" s="22"/>
      <c r="BM114" s="22"/>
      <c r="BN114" s="22"/>
      <c r="BO114" s="22"/>
      <c r="BP114" s="22"/>
      <c r="BQ114" s="22"/>
      <c r="BR114" s="22"/>
      <c r="BS114" s="22"/>
      <c r="BT114" s="22"/>
      <c r="BU114" s="22"/>
      <c r="BV114" s="22"/>
      <c r="BW114" s="22"/>
      <c r="BX114" s="22"/>
      <c r="BY114" s="22"/>
      <c r="BZ114" s="22"/>
      <c r="CA114" s="22"/>
      <c r="CB114" s="22"/>
      <c r="CC114" s="22"/>
      <c r="CD114" s="22"/>
      <c r="CE114" s="22"/>
      <c r="CF114" s="22"/>
      <c r="CG114" s="22"/>
      <c r="CH114" s="22"/>
      <c r="CI114" s="22"/>
      <c r="CJ114" s="22"/>
      <c r="CK114" s="22"/>
      <c r="CL114" s="22"/>
      <c r="CM114" s="22"/>
      <c r="CN114" s="22"/>
      <c r="CO114" s="22"/>
      <c r="CP114" s="22"/>
      <c r="CQ114" s="22"/>
      <c r="CR114" s="22"/>
      <c r="CS114" s="22"/>
      <c r="CT114" s="22"/>
      <c r="CU114" s="22"/>
    </row>
    <row r="115" spans="1:99" s="31" customFormat="1">
      <c r="A115" s="22"/>
      <c r="B115" s="22"/>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c r="BB115" s="22"/>
      <c r="BC115" s="22"/>
      <c r="BD115" s="22"/>
      <c r="BE115" s="22"/>
      <c r="BF115" s="22"/>
      <c r="BG115" s="22"/>
      <c r="BH115" s="22"/>
      <c r="BI115" s="22"/>
      <c r="BJ115" s="22"/>
      <c r="BK115" s="22"/>
      <c r="BL115" s="22"/>
      <c r="BM115" s="22"/>
      <c r="BN115" s="22"/>
      <c r="BO115" s="22"/>
      <c r="BP115" s="22"/>
      <c r="BQ115" s="22"/>
      <c r="BR115" s="22"/>
      <c r="BS115" s="22"/>
      <c r="BT115" s="22"/>
      <c r="BU115" s="22"/>
      <c r="BV115" s="22"/>
      <c r="BW115" s="22"/>
      <c r="BX115" s="22"/>
      <c r="BY115" s="22"/>
      <c r="BZ115" s="22"/>
      <c r="CA115" s="22"/>
      <c r="CB115" s="22"/>
      <c r="CC115" s="22"/>
      <c r="CD115" s="22"/>
      <c r="CE115" s="22"/>
      <c r="CF115" s="22"/>
      <c r="CG115" s="22"/>
      <c r="CH115" s="22"/>
      <c r="CI115" s="22"/>
      <c r="CJ115" s="22"/>
      <c r="CK115" s="22"/>
      <c r="CL115" s="22"/>
      <c r="CM115" s="22"/>
      <c r="CN115" s="22"/>
      <c r="CO115" s="22"/>
      <c r="CP115" s="22"/>
      <c r="CQ115" s="22"/>
      <c r="CR115" s="22"/>
      <c r="CS115" s="22"/>
      <c r="CT115" s="22"/>
      <c r="CU115" s="22"/>
    </row>
    <row r="116" spans="1:99" s="31" customFormat="1">
      <c r="A116" s="22"/>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c r="CG116" s="22"/>
      <c r="CH116" s="22"/>
      <c r="CI116" s="22"/>
      <c r="CJ116" s="22"/>
      <c r="CK116" s="22"/>
      <c r="CL116" s="22"/>
      <c r="CM116" s="22"/>
      <c r="CN116" s="22"/>
      <c r="CO116" s="22"/>
      <c r="CP116" s="22"/>
      <c r="CQ116" s="22"/>
      <c r="CR116" s="22"/>
      <c r="CS116" s="22"/>
      <c r="CT116" s="22"/>
      <c r="CU116" s="22"/>
    </row>
    <row r="117" spans="1:99" s="31" customFormat="1">
      <c r="A117" s="22"/>
      <c r="B117" s="22"/>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c r="BH117" s="22"/>
      <c r="BI117" s="22"/>
      <c r="BJ117" s="22"/>
      <c r="BK117" s="22"/>
      <c r="BL117" s="22"/>
      <c r="BM117" s="22"/>
      <c r="BN117" s="22"/>
      <c r="BO117" s="22"/>
      <c r="BP117" s="22"/>
      <c r="BQ117" s="22"/>
      <c r="BR117" s="22"/>
      <c r="BS117" s="22"/>
      <c r="BT117" s="22"/>
      <c r="BU117" s="22"/>
      <c r="BV117" s="22"/>
      <c r="BW117" s="22"/>
      <c r="BX117" s="22"/>
      <c r="BY117" s="22"/>
      <c r="BZ117" s="22"/>
      <c r="CA117" s="22"/>
      <c r="CB117" s="22"/>
      <c r="CC117" s="22"/>
      <c r="CD117" s="22"/>
      <c r="CE117" s="22"/>
      <c r="CF117" s="22"/>
      <c r="CG117" s="22"/>
      <c r="CH117" s="22"/>
      <c r="CI117" s="22"/>
      <c r="CJ117" s="22"/>
      <c r="CK117" s="22"/>
      <c r="CL117" s="22"/>
      <c r="CM117" s="22"/>
      <c r="CN117" s="22"/>
      <c r="CO117" s="22"/>
      <c r="CP117" s="22"/>
      <c r="CQ117" s="22"/>
      <c r="CR117" s="22"/>
      <c r="CS117" s="22"/>
      <c r="CT117" s="22"/>
      <c r="CU117" s="22"/>
    </row>
    <row r="118" spans="1:99" s="31" customFormat="1">
      <c r="A118" s="22"/>
      <c r="B118" s="22"/>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c r="BH118" s="22"/>
      <c r="BI118" s="22"/>
      <c r="BJ118" s="22"/>
      <c r="BK118" s="22"/>
      <c r="BL118" s="22"/>
      <c r="BM118" s="22"/>
      <c r="BN118" s="22"/>
      <c r="BO118" s="22"/>
      <c r="BP118" s="22"/>
      <c r="BQ118" s="22"/>
      <c r="BR118" s="22"/>
      <c r="BS118" s="22"/>
      <c r="BT118" s="22"/>
      <c r="BU118" s="22"/>
      <c r="BV118" s="22"/>
      <c r="BW118" s="22"/>
      <c r="BX118" s="22"/>
      <c r="BY118" s="22"/>
      <c r="BZ118" s="22"/>
      <c r="CA118" s="22"/>
      <c r="CB118" s="22"/>
      <c r="CC118" s="22"/>
      <c r="CD118" s="22"/>
      <c r="CE118" s="22"/>
      <c r="CF118" s="22"/>
      <c r="CG118" s="22"/>
      <c r="CH118" s="22"/>
      <c r="CI118" s="22"/>
      <c r="CJ118" s="22"/>
      <c r="CK118" s="22"/>
      <c r="CL118" s="22"/>
      <c r="CM118" s="22"/>
      <c r="CN118" s="22"/>
      <c r="CO118" s="22"/>
      <c r="CP118" s="22"/>
      <c r="CQ118" s="22"/>
      <c r="CR118" s="22"/>
      <c r="CS118" s="22"/>
      <c r="CT118" s="22"/>
      <c r="CU118" s="22"/>
    </row>
    <row r="119" spans="1:99" s="31" customFormat="1">
      <c r="A119" s="22"/>
      <c r="B119" s="22"/>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c r="BH119" s="22"/>
      <c r="BI119" s="22"/>
      <c r="BJ119" s="22"/>
      <c r="BK119" s="22"/>
      <c r="BL119" s="22"/>
      <c r="BM119" s="22"/>
      <c r="BN119" s="22"/>
      <c r="BO119" s="22"/>
      <c r="BP119" s="22"/>
      <c r="BQ119" s="22"/>
      <c r="BR119" s="22"/>
      <c r="BS119" s="22"/>
      <c r="BT119" s="22"/>
      <c r="BU119" s="22"/>
      <c r="BV119" s="22"/>
      <c r="BW119" s="22"/>
      <c r="BX119" s="22"/>
      <c r="BY119" s="22"/>
      <c r="BZ119" s="22"/>
      <c r="CA119" s="22"/>
      <c r="CB119" s="22"/>
      <c r="CC119" s="22"/>
      <c r="CD119" s="22"/>
      <c r="CE119" s="22"/>
      <c r="CF119" s="22"/>
      <c r="CG119" s="22"/>
      <c r="CH119" s="22"/>
      <c r="CI119" s="22"/>
      <c r="CJ119" s="22"/>
      <c r="CK119" s="22"/>
      <c r="CL119" s="22"/>
      <c r="CM119" s="22"/>
      <c r="CN119" s="22"/>
      <c r="CO119" s="22"/>
      <c r="CP119" s="22"/>
      <c r="CQ119" s="22"/>
      <c r="CR119" s="22"/>
      <c r="CS119" s="22"/>
      <c r="CT119" s="22"/>
      <c r="CU119" s="22"/>
    </row>
    <row r="120" spans="1:99" s="31" customFormat="1">
      <c r="A120" s="22"/>
      <c r="B120" s="22"/>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c r="BH120" s="22"/>
      <c r="BI120" s="22"/>
      <c r="BJ120" s="22"/>
      <c r="BK120" s="22"/>
      <c r="BL120" s="22"/>
      <c r="BM120" s="22"/>
      <c r="BN120" s="22"/>
      <c r="BO120" s="22"/>
      <c r="BP120" s="22"/>
      <c r="BQ120" s="22"/>
      <c r="BR120" s="22"/>
      <c r="BS120" s="22"/>
      <c r="BT120" s="22"/>
      <c r="BU120" s="22"/>
      <c r="BV120" s="22"/>
      <c r="BW120" s="22"/>
      <c r="BX120" s="22"/>
      <c r="BY120" s="22"/>
      <c r="BZ120" s="22"/>
      <c r="CA120" s="22"/>
      <c r="CB120" s="22"/>
      <c r="CC120" s="22"/>
      <c r="CD120" s="22"/>
      <c r="CE120" s="22"/>
      <c r="CF120" s="22"/>
      <c r="CG120" s="22"/>
      <c r="CH120" s="22"/>
      <c r="CI120" s="22"/>
      <c r="CJ120" s="22"/>
      <c r="CK120" s="22"/>
      <c r="CL120" s="22"/>
      <c r="CM120" s="22"/>
      <c r="CN120" s="22"/>
      <c r="CO120" s="22"/>
      <c r="CP120" s="22"/>
      <c r="CQ120" s="22"/>
      <c r="CR120" s="22"/>
      <c r="CS120" s="22"/>
      <c r="CT120" s="22"/>
      <c r="CU120" s="22"/>
    </row>
    <row r="121" spans="1:99" s="31" customFormat="1">
      <c r="A121" s="22"/>
      <c r="B121" s="22"/>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c r="BH121" s="22"/>
      <c r="BI121" s="22"/>
      <c r="BJ121" s="22"/>
      <c r="BK121" s="22"/>
      <c r="BL121" s="22"/>
      <c r="BM121" s="22"/>
      <c r="BN121" s="22"/>
      <c r="BO121" s="22"/>
      <c r="BP121" s="22"/>
      <c r="BQ121" s="22"/>
      <c r="BR121" s="22"/>
      <c r="BS121" s="22"/>
      <c r="BT121" s="22"/>
      <c r="BU121" s="22"/>
      <c r="BV121" s="22"/>
      <c r="BW121" s="22"/>
      <c r="BX121" s="22"/>
      <c r="BY121" s="22"/>
      <c r="BZ121" s="22"/>
      <c r="CA121" s="22"/>
      <c r="CB121" s="22"/>
      <c r="CC121" s="22"/>
      <c r="CD121" s="22"/>
      <c r="CE121" s="22"/>
      <c r="CF121" s="22"/>
      <c r="CG121" s="22"/>
      <c r="CH121" s="22"/>
      <c r="CI121" s="22"/>
      <c r="CJ121" s="22"/>
      <c r="CK121" s="22"/>
      <c r="CL121" s="22"/>
      <c r="CM121" s="22"/>
      <c r="CN121" s="22"/>
      <c r="CO121" s="22"/>
      <c r="CP121" s="22"/>
      <c r="CQ121" s="22"/>
      <c r="CR121" s="22"/>
      <c r="CS121" s="22"/>
      <c r="CT121" s="22"/>
      <c r="CU121" s="22"/>
    </row>
    <row r="122" spans="1:99" s="31" customFormat="1">
      <c r="A122" s="22"/>
      <c r="B122" s="22"/>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c r="BH122" s="22"/>
      <c r="BI122" s="22"/>
      <c r="BJ122" s="22"/>
      <c r="BK122" s="22"/>
      <c r="BL122" s="22"/>
      <c r="BM122" s="22"/>
      <c r="BN122" s="22"/>
      <c r="BO122" s="22"/>
      <c r="BP122" s="22"/>
      <c r="BQ122" s="22"/>
      <c r="BR122" s="22"/>
      <c r="BS122" s="22"/>
      <c r="BT122" s="22"/>
      <c r="BU122" s="22"/>
      <c r="BV122" s="22"/>
      <c r="BW122" s="22"/>
      <c r="BX122" s="22"/>
      <c r="BY122" s="22"/>
      <c r="BZ122" s="22"/>
      <c r="CA122" s="22"/>
      <c r="CB122" s="22"/>
      <c r="CC122" s="22"/>
      <c r="CD122" s="22"/>
      <c r="CE122" s="22"/>
      <c r="CF122" s="22"/>
      <c r="CG122" s="22"/>
      <c r="CH122" s="22"/>
      <c r="CI122" s="22"/>
      <c r="CJ122" s="22"/>
      <c r="CK122" s="22"/>
      <c r="CL122" s="22"/>
      <c r="CM122" s="22"/>
      <c r="CN122" s="22"/>
      <c r="CO122" s="22"/>
      <c r="CP122" s="22"/>
      <c r="CQ122" s="22"/>
      <c r="CR122" s="22"/>
      <c r="CS122" s="22"/>
      <c r="CT122" s="22"/>
      <c r="CU122" s="22"/>
    </row>
    <row r="123" spans="1:99" s="31" customFormat="1">
      <c r="A123" s="22"/>
      <c r="B123" s="22"/>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c r="BH123" s="22"/>
      <c r="BI123" s="22"/>
      <c r="BJ123" s="22"/>
      <c r="BK123" s="22"/>
      <c r="BL123" s="22"/>
      <c r="BM123" s="22"/>
      <c r="BN123" s="22"/>
      <c r="BO123" s="22"/>
      <c r="BP123" s="22"/>
      <c r="BQ123" s="22"/>
      <c r="BR123" s="22"/>
      <c r="BS123" s="22"/>
      <c r="BT123" s="22"/>
      <c r="BU123" s="22"/>
      <c r="BV123" s="22"/>
      <c r="BW123" s="22"/>
      <c r="BX123" s="22"/>
      <c r="BY123" s="22"/>
      <c r="BZ123" s="22"/>
      <c r="CA123" s="22"/>
      <c r="CB123" s="22"/>
      <c r="CC123" s="22"/>
      <c r="CD123" s="22"/>
      <c r="CE123" s="22"/>
      <c r="CF123" s="22"/>
      <c r="CG123" s="22"/>
      <c r="CH123" s="22"/>
      <c r="CI123" s="22"/>
      <c r="CJ123" s="22"/>
      <c r="CK123" s="22"/>
      <c r="CL123" s="22"/>
      <c r="CM123" s="22"/>
      <c r="CN123" s="22"/>
      <c r="CO123" s="22"/>
      <c r="CP123" s="22"/>
      <c r="CQ123" s="22"/>
      <c r="CR123" s="22"/>
      <c r="CS123" s="22"/>
      <c r="CT123" s="22"/>
      <c r="CU123" s="22"/>
    </row>
    <row r="124" spans="1:99" s="31" customFormat="1">
      <c r="A124" s="22"/>
      <c r="B124" s="22"/>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c r="BH124" s="22"/>
      <c r="BI124" s="22"/>
      <c r="BJ124" s="22"/>
      <c r="BK124" s="22"/>
      <c r="BL124" s="22"/>
      <c r="BM124" s="22"/>
      <c r="BN124" s="22"/>
      <c r="BO124" s="22"/>
      <c r="BP124" s="22"/>
      <c r="BQ124" s="22"/>
      <c r="BR124" s="22"/>
      <c r="BS124" s="22"/>
      <c r="BT124" s="22"/>
      <c r="BU124" s="22"/>
      <c r="BV124" s="22"/>
      <c r="BW124" s="22"/>
      <c r="BX124" s="22"/>
      <c r="BY124" s="22"/>
      <c r="BZ124" s="22"/>
      <c r="CA124" s="22"/>
      <c r="CB124" s="22"/>
      <c r="CC124" s="22"/>
      <c r="CD124" s="22"/>
      <c r="CE124" s="22"/>
      <c r="CF124" s="22"/>
      <c r="CG124" s="22"/>
      <c r="CH124" s="22"/>
      <c r="CI124" s="22"/>
      <c r="CJ124" s="22"/>
      <c r="CK124" s="22"/>
      <c r="CL124" s="22"/>
      <c r="CM124" s="22"/>
      <c r="CN124" s="22"/>
      <c r="CO124" s="22"/>
      <c r="CP124" s="22"/>
      <c r="CQ124" s="22"/>
      <c r="CR124" s="22"/>
      <c r="CS124" s="22"/>
      <c r="CT124" s="22"/>
      <c r="CU124" s="22"/>
    </row>
    <row r="125" spans="1:99" s="31" customFormat="1">
      <c r="A125" s="22"/>
      <c r="B125" s="22"/>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c r="BH125" s="22"/>
      <c r="BI125" s="22"/>
      <c r="BJ125" s="22"/>
      <c r="BK125" s="22"/>
      <c r="BL125" s="22"/>
      <c r="BM125" s="22"/>
      <c r="BN125" s="22"/>
      <c r="BO125" s="22"/>
      <c r="BP125" s="22"/>
      <c r="BQ125" s="22"/>
      <c r="BR125" s="22"/>
      <c r="BS125" s="22"/>
      <c r="BT125" s="22"/>
      <c r="BU125" s="22"/>
      <c r="BV125" s="22"/>
      <c r="BW125" s="22"/>
      <c r="BX125" s="22"/>
      <c r="BY125" s="22"/>
      <c r="BZ125" s="22"/>
      <c r="CA125" s="22"/>
      <c r="CB125" s="22"/>
      <c r="CC125" s="22"/>
      <c r="CD125" s="22"/>
      <c r="CE125" s="22"/>
      <c r="CF125" s="22"/>
      <c r="CG125" s="22"/>
      <c r="CH125" s="22"/>
      <c r="CI125" s="22"/>
      <c r="CJ125" s="22"/>
      <c r="CK125" s="22"/>
      <c r="CL125" s="22"/>
      <c r="CM125" s="22"/>
      <c r="CN125" s="22"/>
      <c r="CO125" s="22"/>
      <c r="CP125" s="22"/>
      <c r="CQ125" s="22"/>
      <c r="CR125" s="22"/>
      <c r="CS125" s="22"/>
      <c r="CT125" s="22"/>
      <c r="CU125" s="22"/>
    </row>
    <row r="126" spans="1:99" s="31" customFormat="1">
      <c r="A126" s="22"/>
      <c r="B126" s="22"/>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c r="BH126" s="22"/>
      <c r="BI126" s="22"/>
      <c r="BJ126" s="22"/>
      <c r="BK126" s="22"/>
      <c r="BL126" s="22"/>
      <c r="BM126" s="22"/>
      <c r="BN126" s="22"/>
      <c r="BO126" s="22"/>
      <c r="BP126" s="22"/>
      <c r="BQ126" s="22"/>
      <c r="BR126" s="22"/>
      <c r="BS126" s="22"/>
      <c r="BT126" s="22"/>
      <c r="BU126" s="22"/>
      <c r="BV126" s="22"/>
      <c r="BW126" s="22"/>
      <c r="BX126" s="22"/>
      <c r="BY126" s="22"/>
      <c r="BZ126" s="22"/>
      <c r="CA126" s="22"/>
      <c r="CB126" s="22"/>
      <c r="CC126" s="22"/>
      <c r="CD126" s="22"/>
      <c r="CE126" s="22"/>
      <c r="CF126" s="22"/>
      <c r="CG126" s="22"/>
      <c r="CH126" s="22"/>
      <c r="CI126" s="22"/>
      <c r="CJ126" s="22"/>
      <c r="CK126" s="22"/>
      <c r="CL126" s="22"/>
      <c r="CM126" s="22"/>
      <c r="CN126" s="22"/>
      <c r="CO126" s="22"/>
      <c r="CP126" s="22"/>
      <c r="CQ126" s="22"/>
      <c r="CR126" s="22"/>
      <c r="CS126" s="22"/>
      <c r="CT126" s="22"/>
      <c r="CU126" s="22"/>
    </row>
    <row r="127" spans="1:99" s="31" customFormat="1">
      <c r="A127" s="22"/>
      <c r="B127" s="22"/>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c r="BH127" s="22"/>
      <c r="BI127" s="22"/>
      <c r="BJ127" s="22"/>
      <c r="BK127" s="22"/>
      <c r="BL127" s="22"/>
      <c r="BM127" s="22"/>
      <c r="BN127" s="22"/>
      <c r="BO127" s="22"/>
      <c r="BP127" s="22"/>
      <c r="BQ127" s="22"/>
      <c r="BR127" s="22"/>
      <c r="BS127" s="22"/>
      <c r="BT127" s="22"/>
      <c r="BU127" s="22"/>
      <c r="BV127" s="22"/>
      <c r="BW127" s="22"/>
      <c r="BX127" s="22"/>
      <c r="BY127" s="22"/>
      <c r="BZ127" s="22"/>
      <c r="CA127" s="22"/>
      <c r="CB127" s="22"/>
      <c r="CC127" s="22"/>
      <c r="CD127" s="22"/>
      <c r="CE127" s="22"/>
      <c r="CF127" s="22"/>
      <c r="CG127" s="22"/>
      <c r="CH127" s="22"/>
      <c r="CI127" s="22"/>
      <c r="CJ127" s="22"/>
      <c r="CK127" s="22"/>
      <c r="CL127" s="22"/>
      <c r="CM127" s="22"/>
      <c r="CN127" s="22"/>
      <c r="CO127" s="22"/>
      <c r="CP127" s="22"/>
      <c r="CQ127" s="22"/>
      <c r="CR127" s="22"/>
      <c r="CS127" s="22"/>
      <c r="CT127" s="22"/>
      <c r="CU127" s="22"/>
    </row>
    <row r="128" spans="1:99" s="31" customFormat="1">
      <c r="A128" s="22"/>
      <c r="B128" s="22"/>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c r="BH128" s="22"/>
      <c r="BI128" s="22"/>
      <c r="BJ128" s="22"/>
      <c r="BK128" s="22"/>
      <c r="BL128" s="22"/>
      <c r="BM128" s="22"/>
      <c r="BN128" s="22"/>
      <c r="BO128" s="22"/>
      <c r="BP128" s="22"/>
      <c r="BQ128" s="22"/>
      <c r="BR128" s="22"/>
      <c r="BS128" s="22"/>
      <c r="BT128" s="22"/>
      <c r="BU128" s="22"/>
      <c r="BV128" s="22"/>
      <c r="BW128" s="22"/>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row>
    <row r="129" spans="1:99" s="31" customFormat="1">
      <c r="A129" s="22"/>
      <c r="B129" s="22"/>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c r="BH129" s="22"/>
      <c r="BI129" s="22"/>
      <c r="BJ129" s="22"/>
      <c r="BK129" s="22"/>
      <c r="BL129" s="22"/>
      <c r="BM129" s="22"/>
      <c r="BN129" s="22"/>
      <c r="BO129" s="22"/>
      <c r="BP129" s="22"/>
      <c r="BQ129" s="22"/>
      <c r="BR129" s="22"/>
      <c r="BS129" s="22"/>
      <c r="BT129" s="22"/>
      <c r="BU129" s="22"/>
      <c r="BV129" s="22"/>
      <c r="BW129" s="22"/>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row>
    <row r="130" spans="1:99" s="31" customFormat="1">
      <c r="A130" s="22"/>
      <c r="B130" s="22"/>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c r="BH130" s="22"/>
      <c r="BI130" s="22"/>
      <c r="BJ130" s="22"/>
      <c r="BK130" s="22"/>
      <c r="BL130" s="22"/>
      <c r="BM130" s="22"/>
      <c r="BN130" s="22"/>
      <c r="BO130" s="22"/>
      <c r="BP130" s="22"/>
      <c r="BQ130" s="22"/>
      <c r="BR130" s="22"/>
      <c r="BS130" s="22"/>
      <c r="BT130" s="22"/>
      <c r="BU130" s="22"/>
      <c r="BV130" s="22"/>
      <c r="BW130" s="22"/>
      <c r="BX130" s="22"/>
      <c r="BY130" s="22"/>
      <c r="BZ130" s="22"/>
      <c r="CA130" s="22"/>
      <c r="CB130" s="22"/>
      <c r="CC130" s="22"/>
      <c r="CD130" s="22"/>
      <c r="CE130" s="22"/>
      <c r="CF130" s="22"/>
      <c r="CG130" s="22"/>
      <c r="CH130" s="22"/>
      <c r="CI130" s="22"/>
      <c r="CJ130" s="22"/>
      <c r="CK130" s="22"/>
      <c r="CL130" s="22"/>
      <c r="CM130" s="22"/>
      <c r="CN130" s="22"/>
      <c r="CO130" s="22"/>
      <c r="CP130" s="22"/>
      <c r="CQ130" s="22"/>
      <c r="CR130" s="22"/>
      <c r="CS130" s="22"/>
      <c r="CT130" s="22"/>
      <c r="CU130" s="22"/>
    </row>
    <row r="131" spans="1:99" s="31" customFormat="1">
      <c r="A131" s="22"/>
      <c r="B131" s="22"/>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c r="BH131" s="22"/>
      <c r="BI131" s="22"/>
      <c r="BJ131" s="22"/>
      <c r="BK131" s="22"/>
      <c r="BL131" s="22"/>
      <c r="BM131" s="22"/>
      <c r="BN131" s="22"/>
      <c r="BO131" s="22"/>
      <c r="BP131" s="22"/>
      <c r="BQ131" s="22"/>
      <c r="BR131" s="22"/>
      <c r="BS131" s="22"/>
      <c r="BT131" s="22"/>
      <c r="BU131" s="22"/>
      <c r="BV131" s="22"/>
      <c r="BW131" s="22"/>
      <c r="BX131" s="22"/>
      <c r="BY131" s="22"/>
      <c r="BZ131" s="22"/>
      <c r="CA131" s="22"/>
      <c r="CB131" s="22"/>
      <c r="CC131" s="22"/>
      <c r="CD131" s="22"/>
      <c r="CE131" s="22"/>
      <c r="CF131" s="22"/>
      <c r="CG131" s="22"/>
      <c r="CH131" s="22"/>
      <c r="CI131" s="22"/>
      <c r="CJ131" s="22"/>
      <c r="CK131" s="22"/>
      <c r="CL131" s="22"/>
      <c r="CM131" s="22"/>
      <c r="CN131" s="22"/>
      <c r="CO131" s="22"/>
      <c r="CP131" s="22"/>
      <c r="CQ131" s="22"/>
      <c r="CR131" s="22"/>
      <c r="CS131" s="22"/>
      <c r="CT131" s="22"/>
      <c r="CU131" s="22"/>
    </row>
    <row r="132" spans="1:99" s="31" customFormat="1">
      <c r="A132" s="22"/>
      <c r="B132" s="22"/>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c r="BH132" s="22"/>
      <c r="BI132" s="22"/>
      <c r="BJ132" s="22"/>
      <c r="BK132" s="22"/>
      <c r="BL132" s="22"/>
      <c r="BM132" s="22"/>
      <c r="BN132" s="22"/>
      <c r="BO132" s="22"/>
      <c r="BP132" s="22"/>
      <c r="BQ132" s="22"/>
      <c r="BR132" s="22"/>
      <c r="BS132" s="22"/>
      <c r="BT132" s="22"/>
      <c r="BU132" s="22"/>
      <c r="BV132" s="22"/>
      <c r="BW132" s="22"/>
      <c r="BX132" s="22"/>
      <c r="BY132" s="22"/>
      <c r="BZ132" s="22"/>
      <c r="CA132" s="22"/>
      <c r="CB132" s="22"/>
      <c r="CC132" s="22"/>
      <c r="CD132" s="22"/>
      <c r="CE132" s="22"/>
      <c r="CF132" s="22"/>
      <c r="CG132" s="22"/>
      <c r="CH132" s="22"/>
      <c r="CI132" s="22"/>
      <c r="CJ132" s="22"/>
      <c r="CK132" s="22"/>
      <c r="CL132" s="22"/>
      <c r="CM132" s="22"/>
      <c r="CN132" s="22"/>
      <c r="CO132" s="22"/>
      <c r="CP132" s="22"/>
      <c r="CQ132" s="22"/>
      <c r="CR132" s="22"/>
      <c r="CS132" s="22"/>
      <c r="CT132" s="22"/>
      <c r="CU132" s="22"/>
    </row>
    <row r="133" spans="1:99" s="31" customFormat="1">
      <c r="A133" s="22"/>
      <c r="B133" s="22"/>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c r="BH133" s="22"/>
      <c r="BI133" s="22"/>
      <c r="BJ133" s="22"/>
      <c r="BK133" s="22"/>
      <c r="BL133" s="22"/>
      <c r="BM133" s="22"/>
      <c r="BN133" s="22"/>
      <c r="BO133" s="22"/>
      <c r="BP133" s="22"/>
      <c r="BQ133" s="22"/>
      <c r="BR133" s="22"/>
      <c r="BS133" s="22"/>
      <c r="BT133" s="22"/>
      <c r="BU133" s="22"/>
      <c r="BV133" s="22"/>
      <c r="BW133" s="22"/>
      <c r="BX133" s="22"/>
      <c r="BY133" s="22"/>
      <c r="BZ133" s="22"/>
      <c r="CA133" s="22"/>
      <c r="CB133" s="22"/>
      <c r="CC133" s="22"/>
      <c r="CD133" s="22"/>
      <c r="CE133" s="22"/>
      <c r="CF133" s="22"/>
      <c r="CG133" s="22"/>
      <c r="CH133" s="22"/>
      <c r="CI133" s="22"/>
      <c r="CJ133" s="22"/>
      <c r="CK133" s="22"/>
      <c r="CL133" s="22"/>
      <c r="CM133" s="22"/>
      <c r="CN133" s="22"/>
      <c r="CO133" s="22"/>
      <c r="CP133" s="22"/>
      <c r="CQ133" s="22"/>
      <c r="CR133" s="22"/>
      <c r="CS133" s="22"/>
      <c r="CT133" s="22"/>
      <c r="CU133" s="22"/>
    </row>
    <row r="134" spans="1:99" s="31" customFormat="1">
      <c r="A134" s="22"/>
      <c r="B134" s="22"/>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c r="BH134" s="22"/>
      <c r="BI134" s="22"/>
      <c r="BJ134" s="22"/>
      <c r="BK134" s="22"/>
      <c r="BL134" s="22"/>
      <c r="BM134" s="22"/>
      <c r="BN134" s="22"/>
      <c r="BO134" s="22"/>
      <c r="BP134" s="22"/>
      <c r="BQ134" s="22"/>
      <c r="BR134" s="22"/>
      <c r="BS134" s="22"/>
      <c r="BT134" s="22"/>
      <c r="BU134" s="22"/>
      <c r="BV134" s="22"/>
      <c r="BW134" s="22"/>
      <c r="BX134" s="22"/>
      <c r="BY134" s="22"/>
      <c r="BZ134" s="22"/>
      <c r="CA134" s="22"/>
      <c r="CB134" s="22"/>
      <c r="CC134" s="22"/>
      <c r="CD134" s="22"/>
      <c r="CE134" s="22"/>
      <c r="CF134" s="22"/>
      <c r="CG134" s="22"/>
      <c r="CH134" s="22"/>
      <c r="CI134" s="22"/>
      <c r="CJ134" s="22"/>
      <c r="CK134" s="22"/>
      <c r="CL134" s="22"/>
      <c r="CM134" s="22"/>
      <c r="CN134" s="22"/>
      <c r="CO134" s="22"/>
      <c r="CP134" s="22"/>
      <c r="CQ134" s="22"/>
      <c r="CR134" s="22"/>
      <c r="CS134" s="22"/>
      <c r="CT134" s="22"/>
      <c r="CU134" s="22"/>
    </row>
    <row r="135" spans="1:99" s="31" customFormat="1">
      <c r="A135" s="22"/>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c r="BH135" s="22"/>
      <c r="BI135" s="22"/>
      <c r="BJ135" s="22"/>
      <c r="BK135" s="22"/>
      <c r="BL135" s="22"/>
      <c r="BM135" s="22"/>
      <c r="BN135" s="22"/>
      <c r="BO135" s="22"/>
      <c r="BP135" s="22"/>
      <c r="BQ135" s="22"/>
      <c r="BR135" s="22"/>
      <c r="BS135" s="22"/>
      <c r="BT135" s="22"/>
      <c r="BU135" s="22"/>
      <c r="BV135" s="22"/>
      <c r="BW135" s="22"/>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row>
    <row r="136" spans="1:99" s="31" customFormat="1">
      <c r="A136" s="22"/>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c r="BH136" s="22"/>
      <c r="BI136" s="22"/>
      <c r="BJ136" s="22"/>
      <c r="BK136" s="22"/>
      <c r="BL136" s="22"/>
      <c r="BM136" s="22"/>
      <c r="BN136" s="22"/>
      <c r="BO136" s="22"/>
      <c r="BP136" s="22"/>
      <c r="BQ136" s="22"/>
      <c r="BR136" s="22"/>
      <c r="BS136" s="22"/>
      <c r="BT136" s="22"/>
      <c r="BU136" s="22"/>
      <c r="BV136" s="22"/>
      <c r="BW136" s="22"/>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row>
    <row r="137" spans="1:99" s="31" customFormat="1">
      <c r="A137" s="22"/>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c r="BH137" s="22"/>
      <c r="BI137" s="22"/>
      <c r="BJ137" s="22"/>
      <c r="BK137" s="22"/>
      <c r="BL137" s="22"/>
      <c r="BM137" s="22"/>
      <c r="BN137" s="22"/>
      <c r="BO137" s="22"/>
      <c r="BP137" s="22"/>
      <c r="BQ137" s="22"/>
      <c r="BR137" s="22"/>
      <c r="BS137" s="22"/>
      <c r="BT137" s="22"/>
      <c r="BU137" s="22"/>
      <c r="BV137" s="22"/>
      <c r="BW137" s="22"/>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row>
    <row r="138" spans="1:99" s="31" customFormat="1">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row>
    <row r="139" spans="1:99" s="31" customFormat="1">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c r="BH139" s="22"/>
      <c r="BI139" s="22"/>
      <c r="BJ139" s="22"/>
      <c r="BK139" s="22"/>
      <c r="BL139" s="22"/>
      <c r="BM139" s="22"/>
      <c r="BN139" s="22"/>
      <c r="BO139" s="22"/>
      <c r="BP139" s="22"/>
      <c r="BQ139" s="22"/>
      <c r="BR139" s="22"/>
      <c r="BS139" s="22"/>
      <c r="BT139" s="22"/>
      <c r="BU139" s="22"/>
      <c r="BV139" s="22"/>
      <c r="BW139" s="22"/>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row>
    <row r="140" spans="1:99" s="31" customFormat="1">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c r="BH140" s="22"/>
      <c r="BI140" s="22"/>
      <c r="BJ140" s="22"/>
      <c r="BK140" s="22"/>
      <c r="BL140" s="22"/>
      <c r="BM140" s="22"/>
      <c r="BN140" s="22"/>
      <c r="BO140" s="22"/>
      <c r="BP140" s="22"/>
      <c r="BQ140" s="22"/>
      <c r="BR140" s="22"/>
      <c r="BS140" s="22"/>
      <c r="BT140" s="22"/>
      <c r="BU140" s="22"/>
      <c r="BV140" s="22"/>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row>
    <row r="141" spans="1:99" s="31" customFormat="1">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c r="BH141" s="22"/>
      <c r="BI141" s="22"/>
      <c r="BJ141" s="22"/>
      <c r="BK141" s="22"/>
      <c r="BL141" s="22"/>
      <c r="BM141" s="22"/>
      <c r="BN141" s="22"/>
      <c r="BO141" s="22"/>
      <c r="BP141" s="22"/>
      <c r="BQ141" s="22"/>
      <c r="BR141" s="22"/>
      <c r="BS141" s="22"/>
      <c r="BT141" s="22"/>
      <c r="BU141" s="22"/>
      <c r="BV141" s="22"/>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row>
    <row r="142" spans="1:99" s="31" customFormat="1">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c r="BH142" s="22"/>
      <c r="BI142" s="22"/>
      <c r="BJ142" s="22"/>
      <c r="BK142" s="22"/>
      <c r="BL142" s="22"/>
      <c r="BM142" s="22"/>
      <c r="BN142" s="22"/>
      <c r="BO142" s="22"/>
      <c r="BP142" s="22"/>
      <c r="BQ142" s="22"/>
      <c r="BR142" s="22"/>
      <c r="BS142" s="22"/>
      <c r="BT142" s="22"/>
      <c r="BU142" s="22"/>
      <c r="BV142" s="22"/>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row>
    <row r="143" spans="1:99" s="31" customFormat="1">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row>
    <row r="144" spans="1:99" s="31" customFormat="1">
      <c r="A144" s="22"/>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row>
    <row r="145" spans="1:99" s="31" customFormat="1">
      <c r="A145" s="22"/>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row>
    <row r="146" spans="1:99" s="31" customFormat="1">
      <c r="A146" s="22"/>
      <c r="B146" s="22"/>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c r="BH146" s="22"/>
      <c r="BI146" s="22"/>
      <c r="BJ146" s="22"/>
      <c r="BK146" s="22"/>
      <c r="BL146" s="22"/>
      <c r="BM146" s="22"/>
      <c r="BN146" s="22"/>
      <c r="BO146" s="22"/>
      <c r="BP146" s="22"/>
      <c r="BQ146" s="22"/>
      <c r="BR146" s="22"/>
      <c r="BS146" s="22"/>
      <c r="BT146" s="22"/>
      <c r="BU146" s="22"/>
      <c r="BV146" s="22"/>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row>
    <row r="147" spans="1:99" s="31" customFormat="1">
      <c r="A147" s="22"/>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row>
    <row r="148" spans="1:99" s="31" customFormat="1">
      <c r="A148" s="22"/>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row>
    <row r="149" spans="1:99" s="31" customFormat="1">
      <c r="A149" s="22"/>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row>
    <row r="150" spans="1:99" s="31" customFormat="1">
      <c r="A150" s="22"/>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row>
    <row r="151" spans="1:99" s="31" customFormat="1">
      <c r="A151" s="22"/>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row>
    <row r="152" spans="1:99" s="31" customFormat="1">
      <c r="A152" s="22"/>
      <c r="B152" s="22"/>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c r="BH152" s="22"/>
      <c r="BI152" s="22"/>
      <c r="BJ152" s="22"/>
      <c r="BK152" s="22"/>
      <c r="BL152" s="22"/>
      <c r="BM152" s="22"/>
      <c r="BN152" s="22"/>
      <c r="BO152" s="22"/>
      <c r="BP152" s="22"/>
      <c r="BQ152" s="22"/>
      <c r="BR152" s="22"/>
      <c r="BS152" s="22"/>
      <c r="BT152" s="22"/>
      <c r="BU152" s="22"/>
      <c r="BV152" s="22"/>
      <c r="BW152" s="22"/>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row>
    <row r="153" spans="1:99" s="31" customFormat="1">
      <c r="A153" s="22"/>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row>
    <row r="154" spans="1:99" s="31" customFormat="1">
      <c r="A154" s="22"/>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row>
    <row r="155" spans="1:99" s="31" customFormat="1">
      <c r="A155" s="22"/>
      <c r="B155" s="22"/>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BB155" s="22"/>
      <c r="BC155" s="22"/>
      <c r="BD155" s="22"/>
      <c r="BE155" s="22"/>
      <c r="BF155" s="22"/>
      <c r="BG155" s="22"/>
      <c r="BH155" s="22"/>
      <c r="BI155" s="22"/>
      <c r="BJ155" s="22"/>
      <c r="BK155" s="22"/>
      <c r="BL155" s="22"/>
      <c r="BM155" s="22"/>
      <c r="BN155" s="22"/>
      <c r="BO155" s="22"/>
      <c r="BP155" s="22"/>
      <c r="BQ155" s="22"/>
      <c r="BR155" s="22"/>
      <c r="BS155" s="22"/>
      <c r="BT155" s="22"/>
      <c r="BU155" s="22"/>
      <c r="BV155" s="22"/>
      <c r="BW155" s="22"/>
      <c r="BX155" s="22"/>
      <c r="BY155" s="22"/>
      <c r="BZ155" s="22"/>
      <c r="CA155" s="22"/>
      <c r="CB155" s="22"/>
      <c r="CC155" s="22"/>
      <c r="CD155" s="22"/>
      <c r="CE155" s="22"/>
      <c r="CF155" s="22"/>
      <c r="CG155" s="22"/>
      <c r="CH155" s="22"/>
      <c r="CI155" s="22"/>
      <c r="CJ155" s="22"/>
      <c r="CK155" s="22"/>
      <c r="CL155" s="22"/>
      <c r="CM155" s="22"/>
      <c r="CN155" s="22"/>
      <c r="CO155" s="22"/>
      <c r="CP155" s="22"/>
      <c r="CQ155" s="22"/>
      <c r="CR155" s="22"/>
      <c r="CS155" s="22"/>
      <c r="CT155" s="22"/>
      <c r="CU155" s="22"/>
    </row>
    <row r="156" spans="1:99" s="31" customFormat="1">
      <c r="A156" s="22"/>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c r="BH156" s="22"/>
      <c r="BI156" s="22"/>
      <c r="BJ156" s="22"/>
      <c r="BK156" s="22"/>
      <c r="BL156" s="22"/>
      <c r="BM156" s="22"/>
      <c r="BN156" s="22"/>
      <c r="BO156" s="22"/>
      <c r="BP156" s="22"/>
      <c r="BQ156" s="22"/>
      <c r="BR156" s="22"/>
      <c r="BS156" s="22"/>
      <c r="BT156" s="22"/>
      <c r="BU156" s="22"/>
      <c r="BV156" s="22"/>
      <c r="BW156" s="22"/>
      <c r="BX156" s="22"/>
      <c r="BY156" s="22"/>
      <c r="BZ156" s="22"/>
      <c r="CA156" s="22"/>
      <c r="CB156" s="22"/>
      <c r="CC156" s="22"/>
      <c r="CD156" s="22"/>
      <c r="CE156" s="22"/>
      <c r="CF156" s="22"/>
      <c r="CG156" s="22"/>
      <c r="CH156" s="22"/>
      <c r="CI156" s="22"/>
      <c r="CJ156" s="22"/>
      <c r="CK156" s="22"/>
      <c r="CL156" s="22"/>
      <c r="CM156" s="22"/>
      <c r="CN156" s="22"/>
      <c r="CO156" s="22"/>
      <c r="CP156" s="22"/>
      <c r="CQ156" s="22"/>
      <c r="CR156" s="22"/>
      <c r="CS156" s="22"/>
      <c r="CT156" s="22"/>
      <c r="CU156" s="22"/>
    </row>
    <row r="157" spans="1:99" s="31" customFormat="1">
      <c r="A157" s="22"/>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c r="BH157" s="22"/>
      <c r="BI157" s="22"/>
      <c r="BJ157" s="22"/>
      <c r="BK157" s="22"/>
      <c r="BL157" s="22"/>
      <c r="BM157" s="22"/>
      <c r="BN157" s="22"/>
      <c r="BO157" s="22"/>
      <c r="BP157" s="22"/>
      <c r="BQ157" s="22"/>
      <c r="BR157" s="22"/>
      <c r="BS157" s="22"/>
      <c r="BT157" s="22"/>
      <c r="BU157" s="22"/>
      <c r="BV157" s="22"/>
      <c r="BW157" s="22"/>
      <c r="BX157" s="22"/>
      <c r="BY157" s="22"/>
      <c r="BZ157" s="22"/>
      <c r="CA157" s="22"/>
      <c r="CB157" s="22"/>
      <c r="CC157" s="22"/>
      <c r="CD157" s="22"/>
      <c r="CE157" s="22"/>
      <c r="CF157" s="22"/>
      <c r="CG157" s="22"/>
      <c r="CH157" s="22"/>
      <c r="CI157" s="22"/>
      <c r="CJ157" s="22"/>
      <c r="CK157" s="22"/>
      <c r="CL157" s="22"/>
      <c r="CM157" s="22"/>
      <c r="CN157" s="22"/>
      <c r="CO157" s="22"/>
      <c r="CP157" s="22"/>
      <c r="CQ157" s="22"/>
      <c r="CR157" s="22"/>
      <c r="CS157" s="22"/>
      <c r="CT157" s="22"/>
      <c r="CU157" s="22"/>
    </row>
    <row r="158" spans="1:99" s="31" customFormat="1">
      <c r="A158" s="22"/>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c r="CA158" s="22"/>
      <c r="CB158" s="22"/>
      <c r="CC158" s="22"/>
      <c r="CD158" s="22"/>
      <c r="CE158" s="22"/>
      <c r="CF158" s="22"/>
      <c r="CG158" s="22"/>
      <c r="CH158" s="22"/>
      <c r="CI158" s="22"/>
      <c r="CJ158" s="22"/>
      <c r="CK158" s="22"/>
      <c r="CL158" s="22"/>
      <c r="CM158" s="22"/>
      <c r="CN158" s="22"/>
      <c r="CO158" s="22"/>
      <c r="CP158" s="22"/>
      <c r="CQ158" s="22"/>
      <c r="CR158" s="22"/>
      <c r="CS158" s="22"/>
      <c r="CT158" s="22"/>
      <c r="CU158" s="22"/>
    </row>
    <row r="159" spans="1:99" s="31" customFormat="1">
      <c r="A159" s="22"/>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c r="BH159" s="22"/>
      <c r="BI159" s="22"/>
      <c r="BJ159" s="22"/>
      <c r="BK159" s="22"/>
      <c r="BL159" s="22"/>
      <c r="BM159" s="22"/>
      <c r="BN159" s="22"/>
      <c r="BO159" s="22"/>
      <c r="BP159" s="22"/>
      <c r="BQ159" s="22"/>
      <c r="BR159" s="22"/>
      <c r="BS159" s="22"/>
      <c r="BT159" s="22"/>
      <c r="BU159" s="22"/>
      <c r="BV159" s="22"/>
      <c r="BW159" s="22"/>
      <c r="BX159" s="22"/>
      <c r="BY159" s="22"/>
      <c r="BZ159" s="22"/>
      <c r="CA159" s="22"/>
      <c r="CB159" s="22"/>
      <c r="CC159" s="22"/>
      <c r="CD159" s="22"/>
      <c r="CE159" s="22"/>
      <c r="CF159" s="22"/>
      <c r="CG159" s="22"/>
      <c r="CH159" s="22"/>
      <c r="CI159" s="22"/>
      <c r="CJ159" s="22"/>
      <c r="CK159" s="22"/>
      <c r="CL159" s="22"/>
      <c r="CM159" s="22"/>
      <c r="CN159" s="22"/>
      <c r="CO159" s="22"/>
      <c r="CP159" s="22"/>
      <c r="CQ159" s="22"/>
      <c r="CR159" s="22"/>
      <c r="CS159" s="22"/>
      <c r="CT159" s="22"/>
      <c r="CU159" s="22"/>
    </row>
    <row r="160" spans="1:99" s="31" customFormat="1">
      <c r="A160" s="22"/>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c r="BG160" s="22"/>
      <c r="BH160" s="22"/>
      <c r="BI160" s="22"/>
      <c r="BJ160" s="22"/>
      <c r="BK160" s="22"/>
      <c r="BL160" s="22"/>
      <c r="BM160" s="22"/>
      <c r="BN160" s="22"/>
      <c r="BO160" s="22"/>
      <c r="BP160" s="22"/>
      <c r="BQ160" s="22"/>
      <c r="BR160" s="22"/>
      <c r="BS160" s="22"/>
      <c r="BT160" s="22"/>
      <c r="BU160" s="22"/>
      <c r="BV160" s="22"/>
      <c r="BW160" s="22"/>
      <c r="BX160" s="22"/>
      <c r="BY160" s="22"/>
      <c r="BZ160" s="22"/>
      <c r="CA160" s="22"/>
      <c r="CB160" s="22"/>
      <c r="CC160" s="22"/>
      <c r="CD160" s="22"/>
      <c r="CE160" s="22"/>
      <c r="CF160" s="22"/>
      <c r="CG160" s="22"/>
      <c r="CH160" s="22"/>
      <c r="CI160" s="22"/>
      <c r="CJ160" s="22"/>
      <c r="CK160" s="22"/>
      <c r="CL160" s="22"/>
      <c r="CM160" s="22"/>
      <c r="CN160" s="22"/>
      <c r="CO160" s="22"/>
      <c r="CP160" s="22"/>
      <c r="CQ160" s="22"/>
      <c r="CR160" s="22"/>
      <c r="CS160" s="22"/>
      <c r="CT160" s="22"/>
      <c r="CU160" s="22"/>
    </row>
    <row r="161" spans="1:99" s="31" customFormat="1">
      <c r="A161" s="22"/>
      <c r="B161" s="22"/>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c r="BH161" s="22"/>
      <c r="BI161" s="22"/>
      <c r="BJ161" s="22"/>
      <c r="BK161" s="22"/>
      <c r="BL161" s="22"/>
      <c r="BM161" s="22"/>
      <c r="BN161" s="22"/>
      <c r="BO161" s="22"/>
      <c r="BP161" s="22"/>
      <c r="BQ161" s="22"/>
      <c r="BR161" s="22"/>
      <c r="BS161" s="22"/>
      <c r="BT161" s="22"/>
      <c r="BU161" s="22"/>
      <c r="BV161" s="22"/>
      <c r="BW161" s="22"/>
      <c r="BX161" s="22"/>
      <c r="BY161" s="22"/>
      <c r="BZ161" s="22"/>
      <c r="CA161" s="22"/>
      <c r="CB161" s="22"/>
      <c r="CC161" s="22"/>
      <c r="CD161" s="22"/>
      <c r="CE161" s="22"/>
      <c r="CF161" s="22"/>
      <c r="CG161" s="22"/>
      <c r="CH161" s="22"/>
      <c r="CI161" s="22"/>
      <c r="CJ161" s="22"/>
      <c r="CK161" s="22"/>
      <c r="CL161" s="22"/>
      <c r="CM161" s="22"/>
      <c r="CN161" s="22"/>
      <c r="CO161" s="22"/>
      <c r="CP161" s="22"/>
      <c r="CQ161" s="22"/>
      <c r="CR161" s="22"/>
      <c r="CS161" s="22"/>
      <c r="CT161" s="22"/>
      <c r="CU161" s="22"/>
    </row>
    <row r="162" spans="1:99" s="31" customFormat="1">
      <c r="A162" s="22"/>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c r="BH162" s="22"/>
      <c r="BI162" s="22"/>
      <c r="BJ162" s="22"/>
      <c r="BK162" s="22"/>
      <c r="BL162" s="22"/>
      <c r="BM162" s="22"/>
      <c r="BN162" s="22"/>
      <c r="BO162" s="22"/>
      <c r="BP162" s="22"/>
      <c r="BQ162" s="22"/>
      <c r="BR162" s="22"/>
      <c r="BS162" s="22"/>
      <c r="BT162" s="22"/>
      <c r="BU162" s="22"/>
      <c r="BV162" s="22"/>
      <c r="BW162" s="22"/>
      <c r="BX162" s="22"/>
      <c r="BY162" s="22"/>
      <c r="BZ162" s="22"/>
      <c r="CA162" s="22"/>
      <c r="CB162" s="22"/>
      <c r="CC162" s="22"/>
      <c r="CD162" s="22"/>
      <c r="CE162" s="22"/>
      <c r="CF162" s="22"/>
      <c r="CG162" s="22"/>
      <c r="CH162" s="22"/>
      <c r="CI162" s="22"/>
      <c r="CJ162" s="22"/>
      <c r="CK162" s="22"/>
      <c r="CL162" s="22"/>
      <c r="CM162" s="22"/>
      <c r="CN162" s="22"/>
      <c r="CO162" s="22"/>
      <c r="CP162" s="22"/>
      <c r="CQ162" s="22"/>
      <c r="CR162" s="22"/>
      <c r="CS162" s="22"/>
      <c r="CT162" s="22"/>
      <c r="CU162" s="22"/>
    </row>
    <row r="163" spans="1:99" s="31" customFormat="1">
      <c r="A163" s="22"/>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c r="CA163" s="22"/>
      <c r="CB163" s="22"/>
      <c r="CC163" s="22"/>
      <c r="CD163" s="22"/>
      <c r="CE163" s="22"/>
      <c r="CF163" s="22"/>
      <c r="CG163" s="22"/>
      <c r="CH163" s="22"/>
      <c r="CI163" s="22"/>
      <c r="CJ163" s="22"/>
      <c r="CK163" s="22"/>
      <c r="CL163" s="22"/>
      <c r="CM163" s="22"/>
      <c r="CN163" s="22"/>
      <c r="CO163" s="22"/>
      <c r="CP163" s="22"/>
      <c r="CQ163" s="22"/>
      <c r="CR163" s="22"/>
      <c r="CS163" s="22"/>
      <c r="CT163" s="22"/>
      <c r="CU163" s="22"/>
    </row>
    <row r="164" spans="1:99" s="31" customFormat="1">
      <c r="A164" s="22"/>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c r="BH164" s="22"/>
      <c r="BI164" s="22"/>
      <c r="BJ164" s="22"/>
      <c r="BK164" s="22"/>
      <c r="BL164" s="22"/>
      <c r="BM164" s="22"/>
      <c r="BN164" s="22"/>
      <c r="BO164" s="22"/>
      <c r="BP164" s="22"/>
      <c r="BQ164" s="22"/>
      <c r="BR164" s="22"/>
      <c r="BS164" s="22"/>
      <c r="BT164" s="22"/>
      <c r="BU164" s="22"/>
      <c r="BV164" s="22"/>
      <c r="BW164" s="22"/>
      <c r="BX164" s="22"/>
      <c r="BY164" s="22"/>
      <c r="BZ164" s="22"/>
      <c r="CA164" s="22"/>
      <c r="CB164" s="22"/>
      <c r="CC164" s="22"/>
      <c r="CD164" s="22"/>
      <c r="CE164" s="22"/>
      <c r="CF164" s="22"/>
      <c r="CG164" s="22"/>
      <c r="CH164" s="22"/>
      <c r="CI164" s="22"/>
      <c r="CJ164" s="22"/>
      <c r="CK164" s="22"/>
      <c r="CL164" s="22"/>
      <c r="CM164" s="22"/>
      <c r="CN164" s="22"/>
      <c r="CO164" s="22"/>
      <c r="CP164" s="22"/>
      <c r="CQ164" s="22"/>
      <c r="CR164" s="22"/>
      <c r="CS164" s="22"/>
      <c r="CT164" s="22"/>
      <c r="CU164" s="22"/>
    </row>
    <row r="165" spans="1:99" s="31" customFormat="1">
      <c r="A165" s="22"/>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row>
    <row r="166" spans="1:99" s="31" customFormat="1">
      <c r="A166" s="22"/>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c r="BH166" s="22"/>
      <c r="BI166" s="22"/>
      <c r="BJ166" s="22"/>
      <c r="BK166" s="22"/>
      <c r="BL166" s="22"/>
      <c r="BM166" s="22"/>
      <c r="BN166" s="22"/>
      <c r="BO166" s="22"/>
      <c r="BP166" s="22"/>
      <c r="BQ166" s="22"/>
      <c r="BR166" s="22"/>
      <c r="BS166" s="22"/>
      <c r="BT166" s="22"/>
      <c r="BU166" s="22"/>
      <c r="BV166" s="22"/>
      <c r="BW166" s="22"/>
      <c r="BX166" s="22"/>
      <c r="BY166" s="22"/>
      <c r="BZ166" s="22"/>
      <c r="CA166" s="22"/>
      <c r="CB166" s="22"/>
      <c r="CC166" s="22"/>
      <c r="CD166" s="22"/>
      <c r="CE166" s="22"/>
      <c r="CF166" s="22"/>
      <c r="CG166" s="22"/>
      <c r="CH166" s="22"/>
      <c r="CI166" s="22"/>
      <c r="CJ166" s="22"/>
      <c r="CK166" s="22"/>
      <c r="CL166" s="22"/>
      <c r="CM166" s="22"/>
      <c r="CN166" s="22"/>
      <c r="CO166" s="22"/>
      <c r="CP166" s="22"/>
      <c r="CQ166" s="22"/>
      <c r="CR166" s="22"/>
      <c r="CS166" s="22"/>
      <c r="CT166" s="22"/>
      <c r="CU166" s="22"/>
    </row>
    <row r="167" spans="1:99" s="31" customFormat="1">
      <c r="A167" s="22"/>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c r="BH167" s="22"/>
      <c r="BI167" s="22"/>
      <c r="BJ167" s="22"/>
      <c r="BK167" s="22"/>
      <c r="BL167" s="22"/>
      <c r="BM167" s="22"/>
      <c r="BN167" s="22"/>
      <c r="BO167" s="22"/>
      <c r="BP167" s="22"/>
      <c r="BQ167" s="22"/>
      <c r="BR167" s="22"/>
      <c r="BS167" s="22"/>
      <c r="BT167" s="22"/>
      <c r="BU167" s="22"/>
      <c r="BV167" s="22"/>
      <c r="BW167" s="22"/>
      <c r="BX167" s="22"/>
      <c r="BY167" s="22"/>
      <c r="BZ167" s="22"/>
      <c r="CA167" s="22"/>
      <c r="CB167" s="22"/>
      <c r="CC167" s="22"/>
      <c r="CD167" s="22"/>
      <c r="CE167" s="22"/>
      <c r="CF167" s="22"/>
      <c r="CG167" s="22"/>
      <c r="CH167" s="22"/>
      <c r="CI167" s="22"/>
      <c r="CJ167" s="22"/>
      <c r="CK167" s="22"/>
      <c r="CL167" s="22"/>
      <c r="CM167" s="22"/>
      <c r="CN167" s="22"/>
      <c r="CO167" s="22"/>
      <c r="CP167" s="22"/>
      <c r="CQ167" s="22"/>
      <c r="CR167" s="22"/>
      <c r="CS167" s="22"/>
      <c r="CT167" s="22"/>
      <c r="CU167" s="22"/>
    </row>
    <row r="168" spans="1:99" s="31" customFormat="1">
      <c r="A168" s="22"/>
      <c r="B168" s="22"/>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c r="BB168" s="22"/>
      <c r="BC168" s="22"/>
      <c r="BD168" s="22"/>
      <c r="BE168" s="22"/>
      <c r="BF168" s="22"/>
      <c r="BG168" s="22"/>
      <c r="BH168" s="22"/>
      <c r="BI168" s="22"/>
      <c r="BJ168" s="22"/>
      <c r="BK168" s="22"/>
      <c r="BL168" s="22"/>
      <c r="BM168" s="22"/>
      <c r="BN168" s="22"/>
      <c r="BO168" s="22"/>
      <c r="BP168" s="22"/>
      <c r="BQ168" s="22"/>
      <c r="BR168" s="22"/>
      <c r="BS168" s="22"/>
      <c r="BT168" s="22"/>
      <c r="BU168" s="22"/>
      <c r="BV168" s="22"/>
      <c r="BW168" s="22"/>
      <c r="BX168" s="22"/>
      <c r="BY168" s="22"/>
      <c r="BZ168" s="22"/>
      <c r="CA168" s="22"/>
      <c r="CB168" s="22"/>
      <c r="CC168" s="22"/>
      <c r="CD168" s="22"/>
      <c r="CE168" s="22"/>
      <c r="CF168" s="22"/>
      <c r="CG168" s="22"/>
      <c r="CH168" s="22"/>
      <c r="CI168" s="22"/>
      <c r="CJ168" s="22"/>
      <c r="CK168" s="22"/>
      <c r="CL168" s="22"/>
      <c r="CM168" s="22"/>
      <c r="CN168" s="22"/>
      <c r="CO168" s="22"/>
      <c r="CP168" s="22"/>
      <c r="CQ168" s="22"/>
      <c r="CR168" s="22"/>
      <c r="CS168" s="22"/>
      <c r="CT168" s="22"/>
      <c r="CU168" s="22"/>
    </row>
    <row r="169" spans="1:99" s="31" customFormat="1">
      <c r="A169" s="22"/>
      <c r="B169" s="22"/>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c r="BB169" s="22"/>
      <c r="BC169" s="22"/>
      <c r="BD169" s="22"/>
      <c r="BE169" s="22"/>
      <c r="BF169" s="22"/>
      <c r="BG169" s="22"/>
      <c r="BH169" s="22"/>
      <c r="BI169" s="22"/>
      <c r="BJ169" s="22"/>
      <c r="BK169" s="22"/>
      <c r="BL169" s="22"/>
      <c r="BM169" s="22"/>
      <c r="BN169" s="22"/>
      <c r="BO169" s="22"/>
      <c r="BP169" s="22"/>
      <c r="BQ169" s="22"/>
      <c r="BR169" s="22"/>
      <c r="BS169" s="22"/>
      <c r="BT169" s="22"/>
      <c r="BU169" s="22"/>
      <c r="BV169" s="22"/>
      <c r="BW169" s="22"/>
      <c r="BX169" s="22"/>
      <c r="BY169" s="22"/>
      <c r="BZ169" s="22"/>
      <c r="CA169" s="22"/>
      <c r="CB169" s="22"/>
      <c r="CC169" s="22"/>
      <c r="CD169" s="22"/>
      <c r="CE169" s="22"/>
      <c r="CF169" s="22"/>
      <c r="CG169" s="22"/>
      <c r="CH169" s="22"/>
      <c r="CI169" s="22"/>
      <c r="CJ169" s="22"/>
      <c r="CK169" s="22"/>
      <c r="CL169" s="22"/>
      <c r="CM169" s="22"/>
      <c r="CN169" s="22"/>
      <c r="CO169" s="22"/>
      <c r="CP169" s="22"/>
      <c r="CQ169" s="22"/>
      <c r="CR169" s="22"/>
      <c r="CS169" s="22"/>
      <c r="CT169" s="22"/>
      <c r="CU169" s="22"/>
    </row>
    <row r="170" spans="1:99" s="31" customFormat="1">
      <c r="A170" s="22"/>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c r="CA170" s="22"/>
      <c r="CB170" s="22"/>
      <c r="CC170" s="22"/>
      <c r="CD170" s="22"/>
      <c r="CE170" s="22"/>
      <c r="CF170" s="22"/>
      <c r="CG170" s="22"/>
      <c r="CH170" s="22"/>
      <c r="CI170" s="22"/>
      <c r="CJ170" s="22"/>
      <c r="CK170" s="22"/>
      <c r="CL170" s="22"/>
      <c r="CM170" s="22"/>
      <c r="CN170" s="22"/>
      <c r="CO170" s="22"/>
      <c r="CP170" s="22"/>
      <c r="CQ170" s="22"/>
      <c r="CR170" s="22"/>
      <c r="CS170" s="22"/>
      <c r="CT170" s="22"/>
      <c r="CU170" s="22"/>
    </row>
    <row r="171" spans="1:99" s="31" customFormat="1">
      <c r="A171" s="22"/>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c r="BH171" s="22"/>
      <c r="BI171" s="22"/>
      <c r="BJ171" s="22"/>
      <c r="BK171" s="22"/>
      <c r="BL171" s="22"/>
      <c r="BM171" s="22"/>
      <c r="BN171" s="22"/>
      <c r="BO171" s="22"/>
      <c r="BP171" s="22"/>
      <c r="BQ171" s="22"/>
      <c r="BR171" s="22"/>
      <c r="BS171" s="22"/>
      <c r="BT171" s="22"/>
      <c r="BU171" s="22"/>
      <c r="BV171" s="22"/>
      <c r="BW171" s="22"/>
      <c r="BX171" s="22"/>
      <c r="BY171" s="22"/>
      <c r="BZ171" s="22"/>
      <c r="CA171" s="22"/>
      <c r="CB171" s="22"/>
      <c r="CC171" s="22"/>
      <c r="CD171" s="22"/>
      <c r="CE171" s="22"/>
      <c r="CF171" s="22"/>
      <c r="CG171" s="22"/>
      <c r="CH171" s="22"/>
      <c r="CI171" s="22"/>
      <c r="CJ171" s="22"/>
      <c r="CK171" s="22"/>
      <c r="CL171" s="22"/>
      <c r="CM171" s="22"/>
      <c r="CN171" s="22"/>
      <c r="CO171" s="22"/>
      <c r="CP171" s="22"/>
      <c r="CQ171" s="22"/>
      <c r="CR171" s="22"/>
      <c r="CS171" s="22"/>
      <c r="CT171" s="22"/>
      <c r="CU171" s="22"/>
    </row>
    <row r="172" spans="1:99" s="31" customFormat="1">
      <c r="A172" s="22"/>
      <c r="B172" s="22"/>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c r="BB172" s="22"/>
      <c r="BC172" s="22"/>
      <c r="BD172" s="22"/>
      <c r="BE172" s="22"/>
      <c r="BF172" s="22"/>
      <c r="BG172" s="22"/>
      <c r="BH172" s="22"/>
      <c r="BI172" s="22"/>
      <c r="BJ172" s="22"/>
      <c r="BK172" s="22"/>
      <c r="BL172" s="22"/>
      <c r="BM172" s="22"/>
      <c r="BN172" s="22"/>
      <c r="BO172" s="22"/>
      <c r="BP172" s="22"/>
      <c r="BQ172" s="22"/>
      <c r="BR172" s="22"/>
      <c r="BS172" s="22"/>
      <c r="BT172" s="22"/>
      <c r="BU172" s="22"/>
      <c r="BV172" s="22"/>
      <c r="BW172" s="22"/>
      <c r="BX172" s="22"/>
      <c r="BY172" s="22"/>
      <c r="BZ172" s="22"/>
      <c r="CA172" s="22"/>
      <c r="CB172" s="22"/>
      <c r="CC172" s="22"/>
      <c r="CD172" s="22"/>
      <c r="CE172" s="22"/>
      <c r="CF172" s="22"/>
      <c r="CG172" s="22"/>
      <c r="CH172" s="22"/>
      <c r="CI172" s="22"/>
      <c r="CJ172" s="22"/>
      <c r="CK172" s="22"/>
      <c r="CL172" s="22"/>
      <c r="CM172" s="22"/>
      <c r="CN172" s="22"/>
      <c r="CO172" s="22"/>
      <c r="CP172" s="22"/>
      <c r="CQ172" s="22"/>
      <c r="CR172" s="22"/>
      <c r="CS172" s="22"/>
      <c r="CT172" s="22"/>
      <c r="CU172" s="22"/>
    </row>
    <row r="173" spans="1:99" s="31" customFormat="1">
      <c r="A173" s="22"/>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c r="BH173" s="22"/>
      <c r="BI173" s="22"/>
      <c r="BJ173" s="22"/>
      <c r="BK173" s="22"/>
      <c r="BL173" s="22"/>
      <c r="BM173" s="22"/>
      <c r="BN173" s="22"/>
      <c r="BO173" s="22"/>
      <c r="BP173" s="22"/>
      <c r="BQ173" s="22"/>
      <c r="BR173" s="22"/>
      <c r="BS173" s="22"/>
      <c r="BT173" s="22"/>
      <c r="BU173" s="22"/>
      <c r="BV173" s="22"/>
      <c r="BW173" s="22"/>
      <c r="BX173" s="22"/>
      <c r="BY173" s="22"/>
      <c r="BZ173" s="22"/>
      <c r="CA173" s="22"/>
      <c r="CB173" s="22"/>
      <c r="CC173" s="22"/>
      <c r="CD173" s="22"/>
      <c r="CE173" s="22"/>
      <c r="CF173" s="22"/>
      <c r="CG173" s="22"/>
      <c r="CH173" s="22"/>
      <c r="CI173" s="22"/>
      <c r="CJ173" s="22"/>
      <c r="CK173" s="22"/>
      <c r="CL173" s="22"/>
      <c r="CM173" s="22"/>
      <c r="CN173" s="22"/>
      <c r="CO173" s="22"/>
      <c r="CP173" s="22"/>
      <c r="CQ173" s="22"/>
      <c r="CR173" s="22"/>
      <c r="CS173" s="22"/>
      <c r="CT173" s="22"/>
      <c r="CU173" s="22"/>
    </row>
    <row r="174" spans="1:99" s="31" customFormat="1">
      <c r="A174" s="22"/>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c r="BH174" s="22"/>
      <c r="BI174" s="22"/>
      <c r="BJ174" s="22"/>
      <c r="BK174" s="22"/>
      <c r="BL174" s="22"/>
      <c r="BM174" s="22"/>
      <c r="BN174" s="22"/>
      <c r="BO174" s="22"/>
      <c r="BP174" s="22"/>
      <c r="BQ174" s="22"/>
      <c r="BR174" s="22"/>
      <c r="BS174" s="22"/>
      <c r="BT174" s="22"/>
      <c r="BU174" s="22"/>
      <c r="BV174" s="22"/>
      <c r="BW174" s="22"/>
      <c r="BX174" s="22"/>
      <c r="BY174" s="22"/>
      <c r="BZ174" s="22"/>
      <c r="CA174" s="22"/>
      <c r="CB174" s="22"/>
      <c r="CC174" s="22"/>
      <c r="CD174" s="22"/>
      <c r="CE174" s="22"/>
      <c r="CF174" s="22"/>
      <c r="CG174" s="22"/>
      <c r="CH174" s="22"/>
      <c r="CI174" s="22"/>
      <c r="CJ174" s="22"/>
      <c r="CK174" s="22"/>
      <c r="CL174" s="22"/>
      <c r="CM174" s="22"/>
      <c r="CN174" s="22"/>
      <c r="CO174" s="22"/>
      <c r="CP174" s="22"/>
      <c r="CQ174" s="22"/>
      <c r="CR174" s="22"/>
      <c r="CS174" s="22"/>
      <c r="CT174" s="22"/>
      <c r="CU174" s="22"/>
    </row>
    <row r="175" spans="1:99" s="31" customFormat="1">
      <c r="A175" s="22"/>
      <c r="B175" s="22"/>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c r="BB175" s="22"/>
      <c r="BC175" s="22"/>
      <c r="BD175" s="22"/>
      <c r="BE175" s="22"/>
      <c r="BF175" s="22"/>
      <c r="BG175" s="22"/>
      <c r="BH175" s="22"/>
      <c r="BI175" s="22"/>
      <c r="BJ175" s="22"/>
      <c r="BK175" s="22"/>
      <c r="BL175" s="22"/>
      <c r="BM175" s="22"/>
      <c r="BN175" s="22"/>
      <c r="BO175" s="22"/>
      <c r="BP175" s="22"/>
      <c r="BQ175" s="22"/>
      <c r="BR175" s="22"/>
      <c r="BS175" s="22"/>
      <c r="BT175" s="22"/>
      <c r="BU175" s="22"/>
      <c r="BV175" s="22"/>
      <c r="BW175" s="22"/>
      <c r="BX175" s="22"/>
      <c r="BY175" s="22"/>
      <c r="BZ175" s="22"/>
      <c r="CA175" s="22"/>
      <c r="CB175" s="22"/>
      <c r="CC175" s="22"/>
      <c r="CD175" s="22"/>
      <c r="CE175" s="22"/>
      <c r="CF175" s="22"/>
      <c r="CG175" s="22"/>
      <c r="CH175" s="22"/>
      <c r="CI175" s="22"/>
      <c r="CJ175" s="22"/>
      <c r="CK175" s="22"/>
      <c r="CL175" s="22"/>
      <c r="CM175" s="22"/>
      <c r="CN175" s="22"/>
      <c r="CO175" s="22"/>
      <c r="CP175" s="22"/>
      <c r="CQ175" s="22"/>
      <c r="CR175" s="22"/>
      <c r="CS175" s="22"/>
      <c r="CT175" s="22"/>
      <c r="CU175" s="22"/>
    </row>
    <row r="176" spans="1:99" s="31" customFormat="1">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2"/>
      <c r="BO176" s="22"/>
      <c r="BP176" s="22"/>
      <c r="BQ176" s="22"/>
      <c r="BR176" s="22"/>
      <c r="BS176" s="22"/>
      <c r="BT176" s="22"/>
      <c r="BU176" s="22"/>
      <c r="BV176" s="22"/>
      <c r="BW176" s="22"/>
      <c r="BX176" s="22"/>
      <c r="BY176" s="22"/>
      <c r="BZ176" s="22"/>
      <c r="CA176" s="22"/>
      <c r="CB176" s="22"/>
      <c r="CC176" s="22"/>
      <c r="CD176" s="22"/>
      <c r="CE176" s="22"/>
      <c r="CF176" s="22"/>
      <c r="CG176" s="22"/>
      <c r="CH176" s="22"/>
      <c r="CI176" s="22"/>
      <c r="CJ176" s="22"/>
      <c r="CK176" s="22"/>
      <c r="CL176" s="22"/>
      <c r="CM176" s="22"/>
      <c r="CN176" s="22"/>
      <c r="CO176" s="22"/>
      <c r="CP176" s="22"/>
      <c r="CQ176" s="22"/>
      <c r="CR176" s="22"/>
      <c r="CS176" s="22"/>
      <c r="CT176" s="22"/>
      <c r="CU176" s="22"/>
    </row>
    <row r="177" spans="1:99" s="31" customFormat="1">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row>
    <row r="178" spans="1:99" s="31" customFormat="1">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row>
    <row r="179" spans="1:99" s="31" customFormat="1">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row>
    <row r="180" spans="1:99" s="31" customFormat="1">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row>
    <row r="181" spans="1:99" s="31" customFormat="1">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row>
    <row r="182" spans="1:99" s="31" customFormat="1">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row>
    <row r="183" spans="1:99" s="31" customFormat="1">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2"/>
      <c r="BO183" s="22"/>
      <c r="BP183" s="22"/>
      <c r="BQ183" s="22"/>
      <c r="BR183" s="22"/>
      <c r="BS183" s="22"/>
      <c r="BT183" s="22"/>
      <c r="BU183" s="22"/>
      <c r="BV183" s="22"/>
      <c r="BW183" s="22"/>
      <c r="BX183" s="22"/>
      <c r="BY183" s="22"/>
      <c r="BZ183" s="22"/>
      <c r="CA183" s="22"/>
      <c r="CB183" s="22"/>
      <c r="CC183" s="22"/>
      <c r="CD183" s="22"/>
      <c r="CE183" s="22"/>
      <c r="CF183" s="22"/>
      <c r="CG183" s="22"/>
      <c r="CH183" s="22"/>
      <c r="CI183" s="22"/>
      <c r="CJ183" s="22"/>
      <c r="CK183" s="22"/>
      <c r="CL183" s="22"/>
      <c r="CM183" s="22"/>
      <c r="CN183" s="22"/>
      <c r="CO183" s="22"/>
      <c r="CP183" s="22"/>
      <c r="CQ183" s="22"/>
      <c r="CR183" s="22"/>
      <c r="CS183" s="22"/>
      <c r="CT183" s="22"/>
      <c r="CU183" s="22"/>
    </row>
    <row r="184" spans="1:99" s="31" customFormat="1">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2"/>
      <c r="BO184" s="22"/>
      <c r="BP184" s="22"/>
      <c r="BQ184" s="22"/>
      <c r="BR184" s="22"/>
      <c r="BS184" s="22"/>
      <c r="BT184" s="22"/>
      <c r="BU184" s="22"/>
      <c r="BV184" s="22"/>
      <c r="BW184" s="22"/>
      <c r="BX184" s="22"/>
      <c r="BY184" s="22"/>
      <c r="BZ184" s="22"/>
      <c r="CA184" s="22"/>
      <c r="CB184" s="22"/>
      <c r="CC184" s="22"/>
      <c r="CD184" s="22"/>
      <c r="CE184" s="22"/>
      <c r="CF184" s="22"/>
      <c r="CG184" s="22"/>
      <c r="CH184" s="22"/>
      <c r="CI184" s="22"/>
      <c r="CJ184" s="22"/>
      <c r="CK184" s="22"/>
      <c r="CL184" s="22"/>
      <c r="CM184" s="22"/>
      <c r="CN184" s="22"/>
      <c r="CO184" s="22"/>
      <c r="CP184" s="22"/>
      <c r="CQ184" s="22"/>
      <c r="CR184" s="22"/>
      <c r="CS184" s="22"/>
      <c r="CT184" s="22"/>
      <c r="CU184" s="22"/>
    </row>
    <row r="185" spans="1:99" s="31" customFormat="1">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row>
    <row r="186" spans="1:99" s="31" customFormat="1">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row>
    <row r="187" spans="1:99" s="31" customFormat="1">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2"/>
      <c r="BO187" s="22"/>
      <c r="BP187" s="22"/>
      <c r="BQ187" s="22"/>
      <c r="BR187" s="22"/>
      <c r="BS187" s="22"/>
      <c r="BT187" s="22"/>
      <c r="BU187" s="22"/>
      <c r="BV187" s="22"/>
      <c r="BW187" s="22"/>
      <c r="BX187" s="22"/>
      <c r="BY187" s="22"/>
      <c r="BZ187" s="22"/>
      <c r="CA187" s="22"/>
      <c r="CB187" s="22"/>
      <c r="CC187" s="22"/>
      <c r="CD187" s="22"/>
      <c r="CE187" s="22"/>
      <c r="CF187" s="22"/>
      <c r="CG187" s="22"/>
      <c r="CH187" s="22"/>
      <c r="CI187" s="22"/>
      <c r="CJ187" s="22"/>
      <c r="CK187" s="22"/>
      <c r="CL187" s="22"/>
      <c r="CM187" s="22"/>
      <c r="CN187" s="22"/>
      <c r="CO187" s="22"/>
      <c r="CP187" s="22"/>
      <c r="CQ187" s="22"/>
      <c r="CR187" s="22"/>
      <c r="CS187" s="22"/>
      <c r="CT187" s="22"/>
      <c r="CU187" s="22"/>
    </row>
    <row r="188" spans="1:99" s="31" customFormat="1">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row>
    <row r="189" spans="1:99" s="31" customFormat="1">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2"/>
      <c r="BO189" s="22"/>
      <c r="BP189" s="22"/>
      <c r="BQ189" s="22"/>
      <c r="BR189" s="22"/>
      <c r="BS189" s="22"/>
      <c r="BT189" s="22"/>
      <c r="BU189" s="22"/>
      <c r="BV189" s="22"/>
      <c r="BW189" s="22"/>
      <c r="BX189" s="22"/>
      <c r="BY189" s="22"/>
      <c r="BZ189" s="22"/>
      <c r="CA189" s="22"/>
      <c r="CB189" s="22"/>
      <c r="CC189" s="22"/>
      <c r="CD189" s="22"/>
      <c r="CE189" s="22"/>
      <c r="CF189" s="22"/>
      <c r="CG189" s="22"/>
      <c r="CH189" s="22"/>
      <c r="CI189" s="22"/>
      <c r="CJ189" s="22"/>
      <c r="CK189" s="22"/>
      <c r="CL189" s="22"/>
      <c r="CM189" s="22"/>
      <c r="CN189" s="22"/>
      <c r="CO189" s="22"/>
      <c r="CP189" s="22"/>
      <c r="CQ189" s="22"/>
      <c r="CR189" s="22"/>
      <c r="CS189" s="22"/>
      <c r="CT189" s="22"/>
      <c r="CU189" s="22"/>
    </row>
    <row r="190" spans="1:99" s="31" customFormat="1">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c r="BH190" s="22"/>
      <c r="BI190" s="22"/>
      <c r="BJ190" s="22"/>
      <c r="BK190" s="22"/>
      <c r="BL190" s="22"/>
      <c r="BM190" s="22"/>
      <c r="BN190" s="22"/>
      <c r="BO190" s="22"/>
      <c r="BP190" s="22"/>
      <c r="BQ190" s="22"/>
      <c r="BR190" s="22"/>
      <c r="BS190" s="22"/>
      <c r="BT190" s="22"/>
      <c r="BU190" s="22"/>
      <c r="BV190" s="22"/>
      <c r="BW190" s="22"/>
      <c r="BX190" s="22"/>
      <c r="BY190" s="22"/>
      <c r="BZ190" s="22"/>
      <c r="CA190" s="22"/>
      <c r="CB190" s="22"/>
      <c r="CC190" s="22"/>
      <c r="CD190" s="22"/>
      <c r="CE190" s="22"/>
      <c r="CF190" s="22"/>
      <c r="CG190" s="22"/>
      <c r="CH190" s="22"/>
      <c r="CI190" s="22"/>
      <c r="CJ190" s="22"/>
      <c r="CK190" s="22"/>
      <c r="CL190" s="22"/>
      <c r="CM190" s="22"/>
      <c r="CN190" s="22"/>
      <c r="CO190" s="22"/>
      <c r="CP190" s="22"/>
      <c r="CQ190" s="22"/>
      <c r="CR190" s="22"/>
      <c r="CS190" s="22"/>
      <c r="CT190" s="22"/>
      <c r="CU190" s="22"/>
    </row>
    <row r="191" spans="1:99" s="31" customFormat="1">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2"/>
      <c r="BO191" s="22"/>
      <c r="BP191" s="22"/>
      <c r="BQ191" s="22"/>
      <c r="BR191" s="22"/>
      <c r="BS191" s="22"/>
      <c r="BT191" s="22"/>
      <c r="BU191" s="22"/>
      <c r="BV191" s="22"/>
      <c r="BW191" s="22"/>
      <c r="BX191" s="22"/>
      <c r="BY191" s="22"/>
      <c r="BZ191" s="22"/>
      <c r="CA191" s="22"/>
      <c r="CB191" s="22"/>
      <c r="CC191" s="22"/>
      <c r="CD191" s="22"/>
      <c r="CE191" s="22"/>
      <c r="CF191" s="22"/>
      <c r="CG191" s="22"/>
      <c r="CH191" s="22"/>
      <c r="CI191" s="22"/>
      <c r="CJ191" s="22"/>
      <c r="CK191" s="22"/>
      <c r="CL191" s="22"/>
      <c r="CM191" s="22"/>
      <c r="CN191" s="22"/>
      <c r="CO191" s="22"/>
      <c r="CP191" s="22"/>
      <c r="CQ191" s="22"/>
      <c r="CR191" s="22"/>
      <c r="CS191" s="22"/>
      <c r="CT191" s="22"/>
      <c r="CU191" s="22"/>
    </row>
    <row r="192" spans="1:99" s="31" customFormat="1">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2"/>
      <c r="BO192" s="22"/>
      <c r="BP192" s="22"/>
      <c r="BQ192" s="22"/>
      <c r="BR192" s="22"/>
      <c r="BS192" s="22"/>
      <c r="BT192" s="22"/>
      <c r="BU192" s="22"/>
      <c r="BV192" s="22"/>
      <c r="BW192" s="22"/>
      <c r="BX192" s="22"/>
      <c r="BY192" s="22"/>
      <c r="BZ192" s="22"/>
      <c r="CA192" s="22"/>
      <c r="CB192" s="22"/>
      <c r="CC192" s="22"/>
      <c r="CD192" s="22"/>
      <c r="CE192" s="22"/>
      <c r="CF192" s="22"/>
      <c r="CG192" s="22"/>
      <c r="CH192" s="22"/>
      <c r="CI192" s="22"/>
      <c r="CJ192" s="22"/>
      <c r="CK192" s="22"/>
      <c r="CL192" s="22"/>
      <c r="CM192" s="22"/>
      <c r="CN192" s="22"/>
      <c r="CO192" s="22"/>
      <c r="CP192" s="22"/>
      <c r="CQ192" s="22"/>
      <c r="CR192" s="22"/>
      <c r="CS192" s="22"/>
      <c r="CT192" s="22"/>
      <c r="CU192" s="22"/>
    </row>
    <row r="193" spans="1:99" s="31" customFormat="1">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c r="BH193" s="22"/>
      <c r="BI193" s="22"/>
      <c r="BJ193" s="22"/>
      <c r="BK193" s="22"/>
      <c r="BL193" s="22"/>
      <c r="BM193" s="22"/>
      <c r="BN193" s="22"/>
      <c r="BO193" s="22"/>
      <c r="BP193" s="22"/>
      <c r="BQ193" s="22"/>
      <c r="BR193" s="22"/>
      <c r="BS193" s="22"/>
      <c r="BT193" s="22"/>
      <c r="BU193" s="22"/>
      <c r="BV193" s="22"/>
      <c r="BW193" s="22"/>
      <c r="BX193" s="22"/>
      <c r="BY193" s="22"/>
      <c r="BZ193" s="22"/>
      <c r="CA193" s="22"/>
      <c r="CB193" s="22"/>
      <c r="CC193" s="22"/>
      <c r="CD193" s="22"/>
      <c r="CE193" s="22"/>
      <c r="CF193" s="22"/>
      <c r="CG193" s="22"/>
      <c r="CH193" s="22"/>
      <c r="CI193" s="22"/>
      <c r="CJ193" s="22"/>
      <c r="CK193" s="22"/>
      <c r="CL193" s="22"/>
      <c r="CM193" s="22"/>
      <c r="CN193" s="22"/>
      <c r="CO193" s="22"/>
      <c r="CP193" s="22"/>
      <c r="CQ193" s="22"/>
      <c r="CR193" s="22"/>
      <c r="CS193" s="22"/>
      <c r="CT193" s="22"/>
      <c r="CU193" s="22"/>
    </row>
    <row r="194" spans="1:99" s="31" customFormat="1">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c r="AZ194" s="22"/>
      <c r="BA194" s="22"/>
      <c r="BB194" s="22"/>
      <c r="BC194" s="22"/>
      <c r="BD194" s="22"/>
      <c r="BE194" s="22"/>
      <c r="BF194" s="22"/>
      <c r="BG194" s="22"/>
      <c r="BH194" s="22"/>
      <c r="BI194" s="22"/>
      <c r="BJ194" s="22"/>
      <c r="BK194" s="22"/>
      <c r="BL194" s="22"/>
      <c r="BM194" s="22"/>
      <c r="BN194" s="22"/>
      <c r="BO194" s="22"/>
      <c r="BP194" s="22"/>
      <c r="BQ194" s="22"/>
      <c r="BR194" s="22"/>
      <c r="BS194" s="22"/>
      <c r="BT194" s="22"/>
      <c r="BU194" s="22"/>
      <c r="BV194" s="22"/>
      <c r="BW194" s="22"/>
      <c r="BX194" s="22"/>
      <c r="BY194" s="22"/>
      <c r="BZ194" s="22"/>
      <c r="CA194" s="22"/>
      <c r="CB194" s="22"/>
      <c r="CC194" s="22"/>
      <c r="CD194" s="22"/>
      <c r="CE194" s="22"/>
      <c r="CF194" s="22"/>
      <c r="CG194" s="22"/>
      <c r="CH194" s="22"/>
      <c r="CI194" s="22"/>
      <c r="CJ194" s="22"/>
      <c r="CK194" s="22"/>
      <c r="CL194" s="22"/>
      <c r="CM194" s="22"/>
      <c r="CN194" s="22"/>
      <c r="CO194" s="22"/>
      <c r="CP194" s="22"/>
      <c r="CQ194" s="22"/>
      <c r="CR194" s="22"/>
      <c r="CS194" s="22"/>
      <c r="CT194" s="22"/>
      <c r="CU194" s="22"/>
    </row>
    <row r="195" spans="1:99" s="31" customFormat="1">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c r="BG195" s="22"/>
      <c r="BH195" s="22"/>
      <c r="BI195" s="22"/>
      <c r="BJ195" s="22"/>
      <c r="BK195" s="22"/>
      <c r="BL195" s="22"/>
      <c r="BM195" s="22"/>
      <c r="BN195" s="22"/>
      <c r="BO195" s="22"/>
      <c r="BP195" s="22"/>
      <c r="BQ195" s="22"/>
      <c r="BR195" s="22"/>
      <c r="BS195" s="22"/>
      <c r="BT195" s="22"/>
      <c r="BU195" s="22"/>
      <c r="BV195" s="22"/>
      <c r="BW195" s="22"/>
      <c r="BX195" s="22"/>
      <c r="BY195" s="22"/>
      <c r="BZ195" s="22"/>
      <c r="CA195" s="22"/>
      <c r="CB195" s="22"/>
      <c r="CC195" s="22"/>
      <c r="CD195" s="22"/>
      <c r="CE195" s="22"/>
      <c r="CF195" s="22"/>
      <c r="CG195" s="22"/>
      <c r="CH195" s="22"/>
      <c r="CI195" s="22"/>
      <c r="CJ195" s="22"/>
      <c r="CK195" s="22"/>
      <c r="CL195" s="22"/>
      <c r="CM195" s="22"/>
      <c r="CN195" s="22"/>
      <c r="CO195" s="22"/>
      <c r="CP195" s="22"/>
      <c r="CQ195" s="22"/>
      <c r="CR195" s="22"/>
      <c r="CS195" s="22"/>
      <c r="CT195" s="22"/>
      <c r="CU195" s="22"/>
    </row>
    <row r="196" spans="1:99" s="31" customFormat="1">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2"/>
      <c r="BO196" s="22"/>
      <c r="BP196" s="22"/>
      <c r="BQ196" s="22"/>
      <c r="BR196" s="22"/>
      <c r="BS196" s="22"/>
      <c r="BT196" s="22"/>
      <c r="BU196" s="22"/>
      <c r="BV196" s="22"/>
      <c r="BW196" s="22"/>
      <c r="BX196" s="22"/>
      <c r="BY196" s="22"/>
      <c r="BZ196" s="22"/>
      <c r="CA196" s="22"/>
      <c r="CB196" s="22"/>
      <c r="CC196" s="22"/>
      <c r="CD196" s="22"/>
      <c r="CE196" s="22"/>
      <c r="CF196" s="22"/>
      <c r="CG196" s="22"/>
      <c r="CH196" s="22"/>
      <c r="CI196" s="22"/>
      <c r="CJ196" s="22"/>
      <c r="CK196" s="22"/>
      <c r="CL196" s="22"/>
      <c r="CM196" s="22"/>
      <c r="CN196" s="22"/>
      <c r="CO196" s="22"/>
      <c r="CP196" s="22"/>
      <c r="CQ196" s="22"/>
      <c r="CR196" s="22"/>
      <c r="CS196" s="22"/>
      <c r="CT196" s="22"/>
      <c r="CU196" s="22"/>
    </row>
    <row r="197" spans="1:99" s="31" customFormat="1">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22"/>
      <c r="BF197" s="22"/>
      <c r="BG197" s="22"/>
      <c r="BH197" s="22"/>
      <c r="BI197" s="22"/>
      <c r="BJ197" s="22"/>
      <c r="BK197" s="22"/>
      <c r="BL197" s="22"/>
      <c r="BM197" s="22"/>
      <c r="BN197" s="22"/>
      <c r="BO197" s="22"/>
      <c r="BP197" s="22"/>
      <c r="BQ197" s="22"/>
      <c r="BR197" s="22"/>
      <c r="BS197" s="22"/>
      <c r="BT197" s="22"/>
      <c r="BU197" s="22"/>
      <c r="BV197" s="22"/>
      <c r="BW197" s="22"/>
      <c r="BX197" s="22"/>
      <c r="BY197" s="22"/>
      <c r="BZ197" s="22"/>
      <c r="CA197" s="22"/>
      <c r="CB197" s="22"/>
      <c r="CC197" s="22"/>
      <c r="CD197" s="22"/>
      <c r="CE197" s="22"/>
      <c r="CF197" s="22"/>
      <c r="CG197" s="22"/>
      <c r="CH197" s="22"/>
      <c r="CI197" s="22"/>
      <c r="CJ197" s="22"/>
      <c r="CK197" s="22"/>
      <c r="CL197" s="22"/>
      <c r="CM197" s="22"/>
      <c r="CN197" s="22"/>
      <c r="CO197" s="22"/>
      <c r="CP197" s="22"/>
      <c r="CQ197" s="22"/>
      <c r="CR197" s="22"/>
      <c r="CS197" s="22"/>
      <c r="CT197" s="22"/>
      <c r="CU197" s="22"/>
    </row>
    <row r="198" spans="1:99" s="31" customFormat="1">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c r="BH198" s="22"/>
      <c r="BI198" s="22"/>
      <c r="BJ198" s="22"/>
      <c r="BK198" s="22"/>
      <c r="BL198" s="22"/>
      <c r="BM198" s="22"/>
      <c r="BN198" s="22"/>
      <c r="BO198" s="22"/>
      <c r="BP198" s="22"/>
      <c r="BQ198" s="22"/>
      <c r="BR198" s="22"/>
      <c r="BS198" s="22"/>
      <c r="BT198" s="22"/>
      <c r="BU198" s="22"/>
      <c r="BV198" s="22"/>
      <c r="BW198" s="22"/>
      <c r="BX198" s="22"/>
      <c r="BY198" s="22"/>
      <c r="BZ198" s="22"/>
      <c r="CA198" s="22"/>
      <c r="CB198" s="22"/>
      <c r="CC198" s="22"/>
      <c r="CD198" s="22"/>
      <c r="CE198" s="22"/>
      <c r="CF198" s="22"/>
      <c r="CG198" s="22"/>
      <c r="CH198" s="22"/>
      <c r="CI198" s="22"/>
      <c r="CJ198" s="22"/>
      <c r="CK198" s="22"/>
      <c r="CL198" s="22"/>
      <c r="CM198" s="22"/>
      <c r="CN198" s="22"/>
      <c r="CO198" s="22"/>
      <c r="CP198" s="22"/>
      <c r="CQ198" s="22"/>
      <c r="CR198" s="22"/>
      <c r="CS198" s="22"/>
      <c r="CT198" s="22"/>
      <c r="CU198" s="22"/>
    </row>
    <row r="199" spans="1:99" s="31" customFormat="1">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c r="BH199" s="22"/>
      <c r="BI199" s="22"/>
      <c r="BJ199" s="22"/>
      <c r="BK199" s="22"/>
      <c r="BL199" s="22"/>
      <c r="BM199" s="22"/>
      <c r="BN199" s="22"/>
      <c r="BO199" s="22"/>
      <c r="BP199" s="22"/>
      <c r="BQ199" s="22"/>
      <c r="BR199" s="22"/>
      <c r="BS199" s="22"/>
      <c r="BT199" s="22"/>
      <c r="BU199" s="22"/>
      <c r="BV199" s="22"/>
      <c r="BW199" s="22"/>
      <c r="BX199" s="22"/>
      <c r="BY199" s="22"/>
      <c r="BZ199" s="22"/>
      <c r="CA199" s="22"/>
      <c r="CB199" s="22"/>
      <c r="CC199" s="22"/>
      <c r="CD199" s="22"/>
      <c r="CE199" s="22"/>
      <c r="CF199" s="22"/>
      <c r="CG199" s="22"/>
      <c r="CH199" s="22"/>
      <c r="CI199" s="22"/>
      <c r="CJ199" s="22"/>
      <c r="CK199" s="22"/>
      <c r="CL199" s="22"/>
      <c r="CM199" s="22"/>
      <c r="CN199" s="22"/>
      <c r="CO199" s="22"/>
      <c r="CP199" s="22"/>
      <c r="CQ199" s="22"/>
      <c r="CR199" s="22"/>
      <c r="CS199" s="22"/>
      <c r="CT199" s="22"/>
      <c r="CU199" s="22"/>
    </row>
    <row r="200" spans="1:99" s="31" customFormat="1">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c r="AP200" s="22"/>
      <c r="AQ200" s="22"/>
      <c r="AR200" s="22"/>
      <c r="AS200" s="22"/>
      <c r="AT200" s="22"/>
      <c r="AU200" s="22"/>
      <c r="AV200" s="22"/>
      <c r="AW200" s="22"/>
      <c r="AX200" s="22"/>
      <c r="AY200" s="22"/>
      <c r="AZ200" s="22"/>
      <c r="BA200" s="22"/>
      <c r="BB200" s="22"/>
      <c r="BC200" s="22"/>
      <c r="BD200" s="22"/>
      <c r="BE200" s="22"/>
      <c r="BF200" s="22"/>
      <c r="BG200" s="22"/>
      <c r="BH200" s="22"/>
      <c r="BI200" s="22"/>
      <c r="BJ200" s="22"/>
      <c r="BK200" s="22"/>
      <c r="BL200" s="22"/>
      <c r="BM200" s="22"/>
      <c r="BN200" s="22"/>
      <c r="BO200" s="22"/>
      <c r="BP200" s="22"/>
      <c r="BQ200" s="22"/>
      <c r="BR200" s="22"/>
      <c r="BS200" s="22"/>
      <c r="BT200" s="22"/>
      <c r="BU200" s="22"/>
      <c r="BV200" s="22"/>
      <c r="BW200" s="22"/>
      <c r="BX200" s="22"/>
      <c r="BY200" s="22"/>
      <c r="BZ200" s="22"/>
      <c r="CA200" s="22"/>
      <c r="CB200" s="22"/>
      <c r="CC200" s="22"/>
      <c r="CD200" s="22"/>
      <c r="CE200" s="22"/>
      <c r="CF200" s="22"/>
      <c r="CG200" s="22"/>
      <c r="CH200" s="22"/>
      <c r="CI200" s="22"/>
      <c r="CJ200" s="22"/>
      <c r="CK200" s="22"/>
      <c r="CL200" s="22"/>
      <c r="CM200" s="22"/>
      <c r="CN200" s="22"/>
      <c r="CO200" s="22"/>
      <c r="CP200" s="22"/>
      <c r="CQ200" s="22"/>
      <c r="CR200" s="22"/>
      <c r="CS200" s="22"/>
      <c r="CT200" s="22"/>
      <c r="CU200" s="22"/>
    </row>
    <row r="201" spans="1:99" s="31" customFormat="1">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c r="BH201" s="22"/>
      <c r="BI201" s="22"/>
      <c r="BJ201" s="22"/>
      <c r="BK201" s="22"/>
      <c r="BL201" s="22"/>
      <c r="BM201" s="22"/>
      <c r="BN201" s="22"/>
      <c r="BO201" s="22"/>
      <c r="BP201" s="22"/>
      <c r="BQ201" s="22"/>
      <c r="BR201" s="22"/>
      <c r="BS201" s="22"/>
      <c r="BT201" s="22"/>
      <c r="BU201" s="22"/>
      <c r="BV201" s="22"/>
      <c r="BW201" s="22"/>
      <c r="BX201" s="22"/>
      <c r="BY201" s="22"/>
      <c r="BZ201" s="22"/>
      <c r="CA201" s="22"/>
      <c r="CB201" s="22"/>
      <c r="CC201" s="22"/>
      <c r="CD201" s="22"/>
      <c r="CE201" s="22"/>
      <c r="CF201" s="22"/>
      <c r="CG201" s="22"/>
      <c r="CH201" s="22"/>
      <c r="CI201" s="22"/>
      <c r="CJ201" s="22"/>
      <c r="CK201" s="22"/>
      <c r="CL201" s="22"/>
      <c r="CM201" s="22"/>
      <c r="CN201" s="22"/>
      <c r="CO201" s="22"/>
      <c r="CP201" s="22"/>
      <c r="CQ201" s="22"/>
      <c r="CR201" s="22"/>
      <c r="CS201" s="22"/>
      <c r="CT201" s="22"/>
      <c r="CU201" s="22"/>
    </row>
    <row r="202" spans="1:99" s="31" customFormat="1">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c r="BH202" s="22"/>
      <c r="BI202" s="22"/>
      <c r="BJ202" s="22"/>
      <c r="BK202" s="22"/>
      <c r="BL202" s="22"/>
      <c r="BM202" s="22"/>
      <c r="BN202" s="22"/>
      <c r="BO202" s="22"/>
      <c r="BP202" s="22"/>
      <c r="BQ202" s="22"/>
      <c r="BR202" s="22"/>
      <c r="BS202" s="22"/>
      <c r="BT202" s="22"/>
      <c r="BU202" s="22"/>
      <c r="BV202" s="22"/>
      <c r="BW202" s="22"/>
      <c r="BX202" s="22"/>
      <c r="BY202" s="22"/>
      <c r="BZ202" s="22"/>
      <c r="CA202" s="22"/>
      <c r="CB202" s="22"/>
      <c r="CC202" s="22"/>
      <c r="CD202" s="22"/>
      <c r="CE202" s="22"/>
      <c r="CF202" s="22"/>
      <c r="CG202" s="22"/>
      <c r="CH202" s="22"/>
      <c r="CI202" s="22"/>
      <c r="CJ202" s="22"/>
      <c r="CK202" s="22"/>
      <c r="CL202" s="22"/>
      <c r="CM202" s="22"/>
      <c r="CN202" s="22"/>
      <c r="CO202" s="22"/>
      <c r="CP202" s="22"/>
      <c r="CQ202" s="22"/>
      <c r="CR202" s="22"/>
      <c r="CS202" s="22"/>
      <c r="CT202" s="22"/>
      <c r="CU202" s="22"/>
    </row>
    <row r="203" spans="1:99" s="31" customFormat="1">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c r="BH203" s="22"/>
      <c r="BI203" s="22"/>
      <c r="BJ203" s="22"/>
      <c r="BK203" s="22"/>
      <c r="BL203" s="22"/>
      <c r="BM203" s="22"/>
      <c r="BN203" s="22"/>
      <c r="BO203" s="22"/>
      <c r="BP203" s="22"/>
      <c r="BQ203" s="22"/>
      <c r="BR203" s="22"/>
      <c r="BS203" s="22"/>
      <c r="BT203" s="22"/>
      <c r="BU203" s="22"/>
      <c r="BV203" s="22"/>
      <c r="BW203" s="22"/>
      <c r="BX203" s="22"/>
      <c r="BY203" s="22"/>
      <c r="BZ203" s="22"/>
      <c r="CA203" s="22"/>
      <c r="CB203" s="22"/>
      <c r="CC203" s="22"/>
      <c r="CD203" s="22"/>
      <c r="CE203" s="22"/>
      <c r="CF203" s="22"/>
      <c r="CG203" s="22"/>
      <c r="CH203" s="22"/>
      <c r="CI203" s="22"/>
      <c r="CJ203" s="22"/>
      <c r="CK203" s="22"/>
      <c r="CL203" s="22"/>
      <c r="CM203" s="22"/>
      <c r="CN203" s="22"/>
      <c r="CO203" s="22"/>
      <c r="CP203" s="22"/>
      <c r="CQ203" s="22"/>
      <c r="CR203" s="22"/>
      <c r="CS203" s="22"/>
      <c r="CT203" s="22"/>
      <c r="CU203" s="22"/>
    </row>
    <row r="204" spans="1:99" s="31" customFormat="1">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c r="AP204" s="22"/>
      <c r="AQ204" s="22"/>
      <c r="AR204" s="22"/>
      <c r="AS204" s="22"/>
      <c r="AT204" s="22"/>
      <c r="AU204" s="22"/>
      <c r="AV204" s="22"/>
      <c r="AW204" s="22"/>
      <c r="AX204" s="22"/>
      <c r="AY204" s="22"/>
      <c r="AZ204" s="22"/>
      <c r="BA204" s="22"/>
      <c r="BB204" s="22"/>
      <c r="BC204" s="22"/>
      <c r="BD204" s="22"/>
      <c r="BE204" s="22"/>
      <c r="BF204" s="22"/>
      <c r="BG204" s="22"/>
      <c r="BH204" s="22"/>
      <c r="BI204" s="22"/>
      <c r="BJ204" s="22"/>
      <c r="BK204" s="22"/>
      <c r="BL204" s="22"/>
      <c r="BM204" s="22"/>
      <c r="BN204" s="22"/>
      <c r="BO204" s="22"/>
      <c r="BP204" s="22"/>
      <c r="BQ204" s="22"/>
      <c r="BR204" s="22"/>
      <c r="BS204" s="22"/>
      <c r="BT204" s="22"/>
      <c r="BU204" s="22"/>
      <c r="BV204" s="22"/>
      <c r="BW204" s="22"/>
      <c r="BX204" s="22"/>
      <c r="BY204" s="22"/>
      <c r="BZ204" s="22"/>
      <c r="CA204" s="22"/>
      <c r="CB204" s="22"/>
      <c r="CC204" s="22"/>
      <c r="CD204" s="22"/>
      <c r="CE204" s="22"/>
      <c r="CF204" s="22"/>
      <c r="CG204" s="22"/>
      <c r="CH204" s="22"/>
      <c r="CI204" s="22"/>
      <c r="CJ204" s="22"/>
      <c r="CK204" s="22"/>
      <c r="CL204" s="22"/>
      <c r="CM204" s="22"/>
      <c r="CN204" s="22"/>
      <c r="CO204" s="22"/>
      <c r="CP204" s="22"/>
      <c r="CQ204" s="22"/>
      <c r="CR204" s="22"/>
      <c r="CS204" s="22"/>
      <c r="CT204" s="22"/>
      <c r="CU204" s="22"/>
    </row>
    <row r="205" spans="1:99" s="31" customFormat="1">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2"/>
      <c r="BO205" s="22"/>
      <c r="BP205" s="22"/>
      <c r="BQ205" s="22"/>
      <c r="BR205" s="22"/>
      <c r="BS205" s="22"/>
      <c r="BT205" s="22"/>
      <c r="BU205" s="22"/>
      <c r="BV205" s="22"/>
      <c r="BW205" s="22"/>
      <c r="BX205" s="22"/>
      <c r="BY205" s="22"/>
      <c r="BZ205" s="22"/>
      <c r="CA205" s="22"/>
      <c r="CB205" s="22"/>
      <c r="CC205" s="22"/>
      <c r="CD205" s="22"/>
      <c r="CE205" s="22"/>
      <c r="CF205" s="22"/>
      <c r="CG205" s="22"/>
      <c r="CH205" s="22"/>
      <c r="CI205" s="22"/>
      <c r="CJ205" s="22"/>
      <c r="CK205" s="22"/>
      <c r="CL205" s="22"/>
      <c r="CM205" s="22"/>
      <c r="CN205" s="22"/>
      <c r="CO205" s="22"/>
      <c r="CP205" s="22"/>
      <c r="CQ205" s="22"/>
      <c r="CR205" s="22"/>
      <c r="CS205" s="22"/>
      <c r="CT205" s="22"/>
      <c r="CU205" s="22"/>
    </row>
    <row r="206" spans="1:99" s="31" customFormat="1">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2"/>
      <c r="BO206" s="22"/>
      <c r="BP206" s="22"/>
      <c r="BQ206" s="22"/>
      <c r="BR206" s="22"/>
      <c r="BS206" s="22"/>
      <c r="BT206" s="22"/>
      <c r="BU206" s="22"/>
      <c r="BV206" s="22"/>
      <c r="BW206" s="22"/>
      <c r="BX206" s="22"/>
      <c r="BY206" s="22"/>
      <c r="BZ206" s="22"/>
      <c r="CA206" s="22"/>
      <c r="CB206" s="22"/>
      <c r="CC206" s="22"/>
      <c r="CD206" s="22"/>
      <c r="CE206" s="22"/>
      <c r="CF206" s="22"/>
      <c r="CG206" s="22"/>
      <c r="CH206" s="22"/>
      <c r="CI206" s="22"/>
      <c r="CJ206" s="22"/>
      <c r="CK206" s="22"/>
      <c r="CL206" s="22"/>
      <c r="CM206" s="22"/>
      <c r="CN206" s="22"/>
      <c r="CO206" s="22"/>
      <c r="CP206" s="22"/>
      <c r="CQ206" s="22"/>
      <c r="CR206" s="22"/>
      <c r="CS206" s="22"/>
      <c r="CT206" s="22"/>
      <c r="CU206" s="22"/>
    </row>
    <row r="207" spans="1:99" s="31" customFormat="1">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2"/>
      <c r="BO207" s="22"/>
      <c r="BP207" s="22"/>
      <c r="BQ207" s="22"/>
      <c r="BR207" s="22"/>
      <c r="BS207" s="22"/>
      <c r="BT207" s="22"/>
      <c r="BU207" s="22"/>
      <c r="BV207" s="22"/>
      <c r="BW207" s="22"/>
      <c r="BX207" s="22"/>
      <c r="BY207" s="22"/>
      <c r="BZ207" s="22"/>
      <c r="CA207" s="22"/>
      <c r="CB207" s="22"/>
      <c r="CC207" s="22"/>
      <c r="CD207" s="22"/>
      <c r="CE207" s="22"/>
      <c r="CF207" s="22"/>
      <c r="CG207" s="22"/>
      <c r="CH207" s="22"/>
      <c r="CI207" s="22"/>
      <c r="CJ207" s="22"/>
      <c r="CK207" s="22"/>
      <c r="CL207" s="22"/>
      <c r="CM207" s="22"/>
      <c r="CN207" s="22"/>
      <c r="CO207" s="22"/>
      <c r="CP207" s="22"/>
      <c r="CQ207" s="22"/>
      <c r="CR207" s="22"/>
      <c r="CS207" s="22"/>
      <c r="CT207" s="22"/>
      <c r="CU207" s="22"/>
    </row>
    <row r="208" spans="1:99" s="31" customFormat="1">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2"/>
      <c r="BO208" s="22"/>
      <c r="BP208" s="22"/>
      <c r="BQ208" s="22"/>
      <c r="BR208" s="22"/>
      <c r="BS208" s="22"/>
      <c r="BT208" s="22"/>
      <c r="BU208" s="22"/>
      <c r="BV208" s="22"/>
      <c r="BW208" s="22"/>
      <c r="BX208" s="22"/>
      <c r="BY208" s="22"/>
      <c r="BZ208" s="22"/>
      <c r="CA208" s="22"/>
      <c r="CB208" s="22"/>
      <c r="CC208" s="22"/>
      <c r="CD208" s="22"/>
      <c r="CE208" s="22"/>
      <c r="CF208" s="22"/>
      <c r="CG208" s="22"/>
      <c r="CH208" s="22"/>
      <c r="CI208" s="22"/>
      <c r="CJ208" s="22"/>
      <c r="CK208" s="22"/>
      <c r="CL208" s="22"/>
      <c r="CM208" s="22"/>
      <c r="CN208" s="22"/>
      <c r="CO208" s="22"/>
      <c r="CP208" s="22"/>
      <c r="CQ208" s="22"/>
      <c r="CR208" s="22"/>
      <c r="CS208" s="22"/>
      <c r="CT208" s="22"/>
      <c r="CU208" s="22"/>
    </row>
    <row r="209" spans="1:99" s="31" customFormat="1">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2"/>
      <c r="BO209" s="22"/>
      <c r="BP209" s="22"/>
      <c r="BQ209" s="22"/>
      <c r="BR209" s="22"/>
      <c r="BS209" s="22"/>
      <c r="BT209" s="22"/>
      <c r="BU209" s="22"/>
      <c r="BV209" s="22"/>
      <c r="BW209" s="22"/>
      <c r="BX209" s="22"/>
      <c r="BY209" s="22"/>
      <c r="BZ209" s="22"/>
      <c r="CA209" s="22"/>
      <c r="CB209" s="22"/>
      <c r="CC209" s="22"/>
      <c r="CD209" s="22"/>
      <c r="CE209" s="22"/>
      <c r="CF209" s="22"/>
      <c r="CG209" s="22"/>
      <c r="CH209" s="22"/>
      <c r="CI209" s="22"/>
      <c r="CJ209" s="22"/>
      <c r="CK209" s="22"/>
      <c r="CL209" s="22"/>
      <c r="CM209" s="22"/>
      <c r="CN209" s="22"/>
      <c r="CO209" s="22"/>
      <c r="CP209" s="22"/>
      <c r="CQ209" s="22"/>
      <c r="CR209" s="22"/>
      <c r="CS209" s="22"/>
      <c r="CT209" s="22"/>
      <c r="CU209" s="22"/>
    </row>
    <row r="210" spans="1:99" s="31" customFormat="1">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2"/>
      <c r="BO210" s="22"/>
      <c r="BP210" s="22"/>
      <c r="BQ210" s="22"/>
      <c r="BR210" s="22"/>
      <c r="BS210" s="22"/>
      <c r="BT210" s="22"/>
      <c r="BU210" s="22"/>
      <c r="BV210" s="22"/>
      <c r="BW210" s="22"/>
      <c r="BX210" s="22"/>
      <c r="BY210" s="22"/>
      <c r="BZ210" s="22"/>
      <c r="CA210" s="22"/>
      <c r="CB210" s="22"/>
      <c r="CC210" s="22"/>
      <c r="CD210" s="22"/>
      <c r="CE210" s="22"/>
      <c r="CF210" s="22"/>
      <c r="CG210" s="22"/>
      <c r="CH210" s="22"/>
      <c r="CI210" s="22"/>
      <c r="CJ210" s="22"/>
      <c r="CK210" s="22"/>
      <c r="CL210" s="22"/>
      <c r="CM210" s="22"/>
      <c r="CN210" s="22"/>
      <c r="CO210" s="22"/>
      <c r="CP210" s="22"/>
      <c r="CQ210" s="22"/>
      <c r="CR210" s="22"/>
      <c r="CS210" s="22"/>
      <c r="CT210" s="22"/>
      <c r="CU210" s="22"/>
    </row>
    <row r="211" spans="1:99" s="31" customFormat="1">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c r="BH211" s="22"/>
      <c r="BI211" s="22"/>
      <c r="BJ211" s="22"/>
      <c r="BK211" s="22"/>
      <c r="BL211" s="22"/>
      <c r="BM211" s="22"/>
      <c r="BN211" s="22"/>
      <c r="BO211" s="22"/>
      <c r="BP211" s="22"/>
      <c r="BQ211" s="22"/>
      <c r="BR211" s="22"/>
      <c r="BS211" s="22"/>
      <c r="BT211" s="22"/>
      <c r="BU211" s="22"/>
      <c r="BV211" s="22"/>
      <c r="BW211" s="22"/>
      <c r="BX211" s="22"/>
      <c r="BY211" s="22"/>
      <c r="BZ211" s="22"/>
      <c r="CA211" s="22"/>
      <c r="CB211" s="22"/>
      <c r="CC211" s="22"/>
      <c r="CD211" s="22"/>
      <c r="CE211" s="22"/>
      <c r="CF211" s="22"/>
      <c r="CG211" s="22"/>
      <c r="CH211" s="22"/>
      <c r="CI211" s="22"/>
      <c r="CJ211" s="22"/>
      <c r="CK211" s="22"/>
      <c r="CL211" s="22"/>
      <c r="CM211" s="22"/>
      <c r="CN211" s="22"/>
      <c r="CO211" s="22"/>
      <c r="CP211" s="22"/>
      <c r="CQ211" s="22"/>
      <c r="CR211" s="22"/>
      <c r="CS211" s="22"/>
      <c r="CT211" s="22"/>
      <c r="CU211" s="22"/>
    </row>
    <row r="212" spans="1:99" s="31" customFormat="1">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c r="BH212" s="22"/>
      <c r="BI212" s="22"/>
      <c r="BJ212" s="22"/>
      <c r="BK212" s="22"/>
      <c r="BL212" s="22"/>
      <c r="BM212" s="22"/>
      <c r="BN212" s="22"/>
      <c r="BO212" s="22"/>
      <c r="BP212" s="22"/>
      <c r="BQ212" s="22"/>
      <c r="BR212" s="22"/>
      <c r="BS212" s="22"/>
      <c r="BT212" s="22"/>
      <c r="BU212" s="22"/>
      <c r="BV212" s="22"/>
      <c r="BW212" s="22"/>
      <c r="BX212" s="22"/>
      <c r="BY212" s="22"/>
      <c r="BZ212" s="22"/>
      <c r="CA212" s="22"/>
      <c r="CB212" s="22"/>
      <c r="CC212" s="22"/>
      <c r="CD212" s="22"/>
      <c r="CE212" s="22"/>
      <c r="CF212" s="22"/>
      <c r="CG212" s="22"/>
      <c r="CH212" s="22"/>
      <c r="CI212" s="22"/>
      <c r="CJ212" s="22"/>
      <c r="CK212" s="22"/>
      <c r="CL212" s="22"/>
      <c r="CM212" s="22"/>
      <c r="CN212" s="22"/>
      <c r="CO212" s="22"/>
      <c r="CP212" s="22"/>
      <c r="CQ212" s="22"/>
      <c r="CR212" s="22"/>
      <c r="CS212" s="22"/>
      <c r="CT212" s="22"/>
      <c r="CU212" s="22"/>
    </row>
    <row r="213" spans="1:99" s="31" customFormat="1">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2"/>
      <c r="BO213" s="22"/>
      <c r="BP213" s="22"/>
      <c r="BQ213" s="22"/>
      <c r="BR213" s="22"/>
      <c r="BS213" s="22"/>
      <c r="BT213" s="22"/>
      <c r="BU213" s="22"/>
      <c r="BV213" s="22"/>
      <c r="BW213" s="22"/>
      <c r="BX213" s="22"/>
      <c r="BY213" s="22"/>
      <c r="BZ213" s="22"/>
      <c r="CA213" s="22"/>
      <c r="CB213" s="22"/>
      <c r="CC213" s="22"/>
      <c r="CD213" s="22"/>
      <c r="CE213" s="22"/>
      <c r="CF213" s="22"/>
      <c r="CG213" s="22"/>
      <c r="CH213" s="22"/>
      <c r="CI213" s="22"/>
      <c r="CJ213" s="22"/>
      <c r="CK213" s="22"/>
      <c r="CL213" s="22"/>
      <c r="CM213" s="22"/>
      <c r="CN213" s="22"/>
      <c r="CO213" s="22"/>
      <c r="CP213" s="22"/>
      <c r="CQ213" s="22"/>
      <c r="CR213" s="22"/>
      <c r="CS213" s="22"/>
      <c r="CT213" s="22"/>
      <c r="CU213" s="22"/>
    </row>
    <row r="214" spans="1:99" s="31" customFormat="1">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2"/>
      <c r="BO214" s="22"/>
      <c r="BP214" s="22"/>
      <c r="BQ214" s="22"/>
      <c r="BR214" s="22"/>
      <c r="BS214" s="22"/>
      <c r="BT214" s="22"/>
      <c r="BU214" s="22"/>
      <c r="BV214" s="22"/>
      <c r="BW214" s="22"/>
      <c r="BX214" s="22"/>
      <c r="BY214" s="22"/>
      <c r="BZ214" s="22"/>
      <c r="CA214" s="22"/>
      <c r="CB214" s="22"/>
      <c r="CC214" s="22"/>
      <c r="CD214" s="22"/>
      <c r="CE214" s="22"/>
      <c r="CF214" s="22"/>
      <c r="CG214" s="22"/>
      <c r="CH214" s="22"/>
      <c r="CI214" s="22"/>
      <c r="CJ214" s="22"/>
      <c r="CK214" s="22"/>
      <c r="CL214" s="22"/>
      <c r="CM214" s="22"/>
      <c r="CN214" s="22"/>
      <c r="CO214" s="22"/>
      <c r="CP214" s="22"/>
      <c r="CQ214" s="22"/>
      <c r="CR214" s="22"/>
      <c r="CS214" s="22"/>
      <c r="CT214" s="22"/>
      <c r="CU214" s="22"/>
    </row>
    <row r="215" spans="1:99" s="31" customFormat="1">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2"/>
      <c r="BO215" s="22"/>
      <c r="BP215" s="22"/>
      <c r="BQ215" s="22"/>
      <c r="BR215" s="22"/>
      <c r="BS215" s="22"/>
      <c r="BT215" s="22"/>
      <c r="BU215" s="22"/>
      <c r="BV215" s="22"/>
      <c r="BW215" s="22"/>
      <c r="BX215" s="22"/>
      <c r="BY215" s="22"/>
      <c r="BZ215" s="22"/>
      <c r="CA215" s="22"/>
      <c r="CB215" s="22"/>
      <c r="CC215" s="22"/>
      <c r="CD215" s="22"/>
      <c r="CE215" s="22"/>
      <c r="CF215" s="22"/>
      <c r="CG215" s="22"/>
      <c r="CH215" s="22"/>
      <c r="CI215" s="22"/>
      <c r="CJ215" s="22"/>
      <c r="CK215" s="22"/>
      <c r="CL215" s="22"/>
      <c r="CM215" s="22"/>
      <c r="CN215" s="22"/>
      <c r="CO215" s="22"/>
      <c r="CP215" s="22"/>
      <c r="CQ215" s="22"/>
      <c r="CR215" s="22"/>
      <c r="CS215" s="22"/>
      <c r="CT215" s="22"/>
      <c r="CU215" s="22"/>
    </row>
    <row r="216" spans="1:99" s="31" customFormat="1">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c r="AZ216" s="22"/>
      <c r="BA216" s="22"/>
      <c r="BB216" s="22"/>
      <c r="BC216" s="22"/>
      <c r="BD216" s="22"/>
      <c r="BE216" s="22"/>
      <c r="BF216" s="22"/>
      <c r="BG216" s="22"/>
      <c r="BH216" s="22"/>
      <c r="BI216" s="22"/>
      <c r="BJ216" s="22"/>
      <c r="BK216" s="22"/>
      <c r="BL216" s="22"/>
      <c r="BM216" s="22"/>
      <c r="BN216" s="22"/>
      <c r="BO216" s="22"/>
      <c r="BP216" s="22"/>
      <c r="BQ216" s="22"/>
      <c r="BR216" s="22"/>
      <c r="BS216" s="22"/>
      <c r="BT216" s="22"/>
      <c r="BU216" s="22"/>
      <c r="BV216" s="22"/>
      <c r="BW216" s="22"/>
      <c r="BX216" s="22"/>
      <c r="BY216" s="22"/>
      <c r="BZ216" s="22"/>
      <c r="CA216" s="22"/>
      <c r="CB216" s="22"/>
      <c r="CC216" s="22"/>
      <c r="CD216" s="22"/>
      <c r="CE216" s="22"/>
      <c r="CF216" s="22"/>
      <c r="CG216" s="22"/>
      <c r="CH216" s="22"/>
      <c r="CI216" s="22"/>
      <c r="CJ216" s="22"/>
      <c r="CK216" s="22"/>
      <c r="CL216" s="22"/>
      <c r="CM216" s="22"/>
      <c r="CN216" s="22"/>
      <c r="CO216" s="22"/>
      <c r="CP216" s="22"/>
      <c r="CQ216" s="22"/>
      <c r="CR216" s="22"/>
      <c r="CS216" s="22"/>
      <c r="CT216" s="22"/>
      <c r="CU216" s="22"/>
    </row>
    <row r="217" spans="1:99" s="31" customFormat="1">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c r="BH217" s="22"/>
      <c r="BI217" s="22"/>
      <c r="BJ217" s="22"/>
      <c r="BK217" s="22"/>
      <c r="BL217" s="22"/>
      <c r="BM217" s="22"/>
      <c r="BN217" s="22"/>
      <c r="BO217" s="22"/>
      <c r="BP217" s="22"/>
      <c r="BQ217" s="22"/>
      <c r="BR217" s="22"/>
      <c r="BS217" s="22"/>
      <c r="BT217" s="22"/>
      <c r="BU217" s="22"/>
      <c r="BV217" s="22"/>
      <c r="BW217" s="22"/>
      <c r="BX217" s="22"/>
      <c r="BY217" s="22"/>
      <c r="BZ217" s="22"/>
      <c r="CA217" s="22"/>
      <c r="CB217" s="22"/>
      <c r="CC217" s="22"/>
      <c r="CD217" s="22"/>
      <c r="CE217" s="22"/>
      <c r="CF217" s="22"/>
      <c r="CG217" s="22"/>
      <c r="CH217" s="22"/>
      <c r="CI217" s="22"/>
      <c r="CJ217" s="22"/>
      <c r="CK217" s="22"/>
      <c r="CL217" s="22"/>
      <c r="CM217" s="22"/>
      <c r="CN217" s="22"/>
      <c r="CO217" s="22"/>
      <c r="CP217" s="22"/>
      <c r="CQ217" s="22"/>
      <c r="CR217" s="22"/>
      <c r="CS217" s="22"/>
      <c r="CT217" s="22"/>
      <c r="CU217" s="22"/>
    </row>
    <row r="218" spans="1:99" s="31" customFormat="1">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c r="BH218" s="22"/>
      <c r="BI218" s="22"/>
      <c r="BJ218" s="22"/>
      <c r="BK218" s="22"/>
      <c r="BL218" s="22"/>
      <c r="BM218" s="22"/>
      <c r="BN218" s="22"/>
      <c r="BO218" s="22"/>
      <c r="BP218" s="22"/>
      <c r="BQ218" s="22"/>
      <c r="BR218" s="22"/>
      <c r="BS218" s="22"/>
      <c r="BT218" s="22"/>
      <c r="BU218" s="22"/>
      <c r="BV218" s="22"/>
      <c r="BW218" s="22"/>
      <c r="BX218" s="22"/>
      <c r="BY218" s="22"/>
      <c r="BZ218" s="22"/>
      <c r="CA218" s="22"/>
      <c r="CB218" s="22"/>
      <c r="CC218" s="22"/>
      <c r="CD218" s="22"/>
      <c r="CE218" s="22"/>
      <c r="CF218" s="22"/>
      <c r="CG218" s="22"/>
      <c r="CH218" s="22"/>
      <c r="CI218" s="22"/>
      <c r="CJ218" s="22"/>
      <c r="CK218" s="22"/>
      <c r="CL218" s="22"/>
      <c r="CM218" s="22"/>
      <c r="CN218" s="22"/>
      <c r="CO218" s="22"/>
      <c r="CP218" s="22"/>
      <c r="CQ218" s="22"/>
      <c r="CR218" s="22"/>
      <c r="CS218" s="22"/>
      <c r="CT218" s="22"/>
      <c r="CU218" s="22"/>
    </row>
    <row r="219" spans="1:99" s="31" customFormat="1">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2"/>
      <c r="BO219" s="22"/>
      <c r="BP219" s="22"/>
      <c r="BQ219" s="22"/>
      <c r="BR219" s="22"/>
      <c r="BS219" s="22"/>
      <c r="BT219" s="22"/>
      <c r="BU219" s="22"/>
      <c r="BV219" s="22"/>
      <c r="BW219" s="22"/>
      <c r="BX219" s="22"/>
      <c r="BY219" s="22"/>
      <c r="BZ219" s="22"/>
      <c r="CA219" s="22"/>
      <c r="CB219" s="22"/>
      <c r="CC219" s="22"/>
      <c r="CD219" s="22"/>
      <c r="CE219" s="22"/>
      <c r="CF219" s="22"/>
      <c r="CG219" s="22"/>
      <c r="CH219" s="22"/>
      <c r="CI219" s="22"/>
      <c r="CJ219" s="22"/>
      <c r="CK219" s="22"/>
      <c r="CL219" s="22"/>
      <c r="CM219" s="22"/>
      <c r="CN219" s="22"/>
      <c r="CO219" s="22"/>
      <c r="CP219" s="22"/>
      <c r="CQ219" s="22"/>
      <c r="CR219" s="22"/>
      <c r="CS219" s="22"/>
      <c r="CT219" s="22"/>
      <c r="CU219" s="22"/>
    </row>
    <row r="220" spans="1:99" s="31" customFormat="1">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2"/>
      <c r="BO220" s="22"/>
      <c r="BP220" s="22"/>
      <c r="BQ220" s="22"/>
      <c r="BR220" s="22"/>
      <c r="BS220" s="22"/>
      <c r="BT220" s="22"/>
      <c r="BU220" s="22"/>
      <c r="BV220" s="22"/>
      <c r="BW220" s="22"/>
      <c r="BX220" s="22"/>
      <c r="BY220" s="22"/>
      <c r="BZ220" s="22"/>
      <c r="CA220" s="22"/>
      <c r="CB220" s="22"/>
      <c r="CC220" s="22"/>
      <c r="CD220" s="22"/>
      <c r="CE220" s="22"/>
      <c r="CF220" s="22"/>
      <c r="CG220" s="22"/>
      <c r="CH220" s="22"/>
      <c r="CI220" s="22"/>
      <c r="CJ220" s="22"/>
      <c r="CK220" s="22"/>
      <c r="CL220" s="22"/>
      <c r="CM220" s="22"/>
      <c r="CN220" s="22"/>
      <c r="CO220" s="22"/>
      <c r="CP220" s="22"/>
      <c r="CQ220" s="22"/>
      <c r="CR220" s="22"/>
      <c r="CS220" s="22"/>
      <c r="CT220" s="22"/>
      <c r="CU220" s="22"/>
    </row>
    <row r="221" spans="1:99" s="31" customFormat="1">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c r="BH221" s="22"/>
      <c r="BI221" s="22"/>
      <c r="BJ221" s="22"/>
      <c r="BK221" s="22"/>
      <c r="BL221" s="22"/>
      <c r="BM221" s="22"/>
      <c r="BN221" s="22"/>
      <c r="BO221" s="22"/>
      <c r="BP221" s="22"/>
      <c r="BQ221" s="22"/>
      <c r="BR221" s="22"/>
      <c r="BS221" s="22"/>
      <c r="BT221" s="22"/>
      <c r="BU221" s="22"/>
      <c r="BV221" s="22"/>
      <c r="BW221" s="22"/>
      <c r="BX221" s="22"/>
      <c r="BY221" s="22"/>
      <c r="BZ221" s="22"/>
      <c r="CA221" s="22"/>
      <c r="CB221" s="22"/>
      <c r="CC221" s="22"/>
      <c r="CD221" s="22"/>
      <c r="CE221" s="22"/>
      <c r="CF221" s="22"/>
      <c r="CG221" s="22"/>
      <c r="CH221" s="22"/>
      <c r="CI221" s="22"/>
      <c r="CJ221" s="22"/>
      <c r="CK221" s="22"/>
      <c r="CL221" s="22"/>
      <c r="CM221" s="22"/>
      <c r="CN221" s="22"/>
      <c r="CO221" s="22"/>
      <c r="CP221" s="22"/>
      <c r="CQ221" s="22"/>
      <c r="CR221" s="22"/>
      <c r="CS221" s="22"/>
      <c r="CT221" s="22"/>
      <c r="CU221" s="22"/>
    </row>
    <row r="222" spans="1:99" s="31" customFormat="1">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c r="BH222" s="22"/>
      <c r="BI222" s="22"/>
      <c r="BJ222" s="22"/>
      <c r="BK222" s="22"/>
      <c r="BL222" s="22"/>
      <c r="BM222" s="22"/>
      <c r="BN222" s="22"/>
      <c r="BO222" s="22"/>
      <c r="BP222" s="22"/>
      <c r="BQ222" s="22"/>
      <c r="BR222" s="22"/>
      <c r="BS222" s="22"/>
      <c r="BT222" s="22"/>
      <c r="BU222" s="22"/>
      <c r="BV222" s="22"/>
      <c r="BW222" s="22"/>
      <c r="BX222" s="22"/>
      <c r="BY222" s="22"/>
      <c r="BZ222" s="22"/>
      <c r="CA222" s="22"/>
      <c r="CB222" s="22"/>
      <c r="CC222" s="22"/>
      <c r="CD222" s="22"/>
      <c r="CE222" s="22"/>
      <c r="CF222" s="22"/>
      <c r="CG222" s="22"/>
      <c r="CH222" s="22"/>
      <c r="CI222" s="22"/>
      <c r="CJ222" s="22"/>
      <c r="CK222" s="22"/>
      <c r="CL222" s="22"/>
      <c r="CM222" s="22"/>
      <c r="CN222" s="22"/>
      <c r="CO222" s="22"/>
      <c r="CP222" s="22"/>
      <c r="CQ222" s="22"/>
      <c r="CR222" s="22"/>
      <c r="CS222" s="22"/>
      <c r="CT222" s="22"/>
      <c r="CU222" s="22"/>
    </row>
    <row r="223" spans="1:99" s="31" customFormat="1">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c r="BH223" s="22"/>
      <c r="BI223" s="22"/>
      <c r="BJ223" s="22"/>
      <c r="BK223" s="22"/>
      <c r="BL223" s="22"/>
      <c r="BM223" s="22"/>
      <c r="BN223" s="22"/>
      <c r="BO223" s="22"/>
      <c r="BP223" s="22"/>
      <c r="BQ223" s="22"/>
      <c r="BR223" s="22"/>
      <c r="BS223" s="22"/>
      <c r="BT223" s="22"/>
      <c r="BU223" s="22"/>
      <c r="BV223" s="22"/>
      <c r="BW223" s="22"/>
      <c r="BX223" s="22"/>
      <c r="BY223" s="22"/>
      <c r="BZ223" s="22"/>
      <c r="CA223" s="22"/>
      <c r="CB223" s="22"/>
      <c r="CC223" s="22"/>
      <c r="CD223" s="22"/>
      <c r="CE223" s="22"/>
      <c r="CF223" s="22"/>
      <c r="CG223" s="22"/>
      <c r="CH223" s="22"/>
      <c r="CI223" s="22"/>
      <c r="CJ223" s="22"/>
      <c r="CK223" s="22"/>
      <c r="CL223" s="22"/>
      <c r="CM223" s="22"/>
      <c r="CN223" s="22"/>
      <c r="CO223" s="22"/>
      <c r="CP223" s="22"/>
      <c r="CQ223" s="22"/>
      <c r="CR223" s="22"/>
      <c r="CS223" s="22"/>
      <c r="CT223" s="22"/>
      <c r="CU223" s="22"/>
    </row>
    <row r="224" spans="1:99" s="31" customFormat="1">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c r="BH224" s="22"/>
      <c r="BI224" s="22"/>
      <c r="BJ224" s="22"/>
      <c r="BK224" s="22"/>
      <c r="BL224" s="22"/>
      <c r="BM224" s="22"/>
      <c r="BN224" s="22"/>
      <c r="BO224" s="22"/>
      <c r="BP224" s="22"/>
      <c r="BQ224" s="22"/>
      <c r="BR224" s="22"/>
      <c r="BS224" s="22"/>
      <c r="BT224" s="22"/>
      <c r="BU224" s="22"/>
      <c r="BV224" s="22"/>
      <c r="BW224" s="22"/>
      <c r="BX224" s="22"/>
      <c r="BY224" s="22"/>
      <c r="BZ224" s="22"/>
      <c r="CA224" s="22"/>
      <c r="CB224" s="22"/>
      <c r="CC224" s="22"/>
      <c r="CD224" s="22"/>
      <c r="CE224" s="22"/>
      <c r="CF224" s="22"/>
      <c r="CG224" s="22"/>
      <c r="CH224" s="22"/>
      <c r="CI224" s="22"/>
      <c r="CJ224" s="22"/>
      <c r="CK224" s="22"/>
      <c r="CL224" s="22"/>
      <c r="CM224" s="22"/>
      <c r="CN224" s="22"/>
      <c r="CO224" s="22"/>
      <c r="CP224" s="22"/>
      <c r="CQ224" s="22"/>
      <c r="CR224" s="22"/>
      <c r="CS224" s="22"/>
      <c r="CT224" s="22"/>
      <c r="CU224" s="22"/>
    </row>
    <row r="225" spans="1:99" s="31" customFormat="1">
      <c r="A225" s="22"/>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c r="BH225" s="22"/>
      <c r="BI225" s="22"/>
      <c r="BJ225" s="22"/>
      <c r="BK225" s="22"/>
      <c r="BL225" s="22"/>
      <c r="BM225" s="22"/>
      <c r="BN225" s="22"/>
      <c r="BO225" s="22"/>
      <c r="BP225" s="22"/>
      <c r="BQ225" s="22"/>
      <c r="BR225" s="22"/>
      <c r="BS225" s="22"/>
      <c r="BT225" s="22"/>
      <c r="BU225" s="22"/>
      <c r="BV225" s="22"/>
      <c r="BW225" s="22"/>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row>
    <row r="226" spans="1:99" s="31" customFormat="1">
      <c r="A226" s="22"/>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c r="BH226" s="22"/>
      <c r="BI226" s="22"/>
      <c r="BJ226" s="22"/>
      <c r="BK226" s="22"/>
      <c r="BL226" s="22"/>
      <c r="BM226" s="22"/>
      <c r="BN226" s="22"/>
      <c r="BO226" s="22"/>
      <c r="BP226" s="22"/>
      <c r="BQ226" s="22"/>
      <c r="BR226" s="22"/>
      <c r="BS226" s="22"/>
      <c r="BT226" s="22"/>
      <c r="BU226" s="22"/>
      <c r="BV226" s="22"/>
      <c r="BW226" s="22"/>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row>
    <row r="227" spans="1:99" s="31" customFormat="1">
      <c r="A227" s="22"/>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c r="BG227" s="22"/>
      <c r="BH227" s="22"/>
      <c r="BI227" s="22"/>
      <c r="BJ227" s="22"/>
      <c r="BK227" s="22"/>
      <c r="BL227" s="22"/>
      <c r="BM227" s="22"/>
      <c r="BN227" s="22"/>
      <c r="BO227" s="22"/>
      <c r="BP227" s="22"/>
      <c r="BQ227" s="22"/>
      <c r="BR227" s="22"/>
      <c r="BS227" s="22"/>
      <c r="BT227" s="22"/>
      <c r="BU227" s="22"/>
      <c r="BV227" s="22"/>
      <c r="BW227" s="22"/>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row>
    <row r="228" spans="1:99" s="31" customFormat="1">
      <c r="A228" s="22"/>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2"/>
      <c r="BO228" s="22"/>
      <c r="BP228" s="22"/>
      <c r="BQ228" s="22"/>
      <c r="BR228" s="22"/>
      <c r="BS228" s="22"/>
      <c r="BT228" s="22"/>
      <c r="BU228" s="22"/>
      <c r="BV228" s="22"/>
      <c r="BW228" s="22"/>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row>
    <row r="229" spans="1:99" s="31" customFormat="1">
      <c r="A229" s="22"/>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2"/>
      <c r="BO229" s="22"/>
      <c r="BP229" s="22"/>
      <c r="BQ229" s="22"/>
      <c r="BR229" s="22"/>
      <c r="BS229" s="22"/>
      <c r="BT229" s="22"/>
      <c r="BU229" s="22"/>
      <c r="BV229" s="22"/>
      <c r="BW229" s="22"/>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row>
    <row r="230" spans="1:99" s="31" customFormat="1">
      <c r="A230" s="22"/>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2"/>
      <c r="BO230" s="22"/>
      <c r="BP230" s="22"/>
      <c r="BQ230" s="22"/>
      <c r="BR230" s="22"/>
      <c r="BS230" s="22"/>
      <c r="BT230" s="22"/>
      <c r="BU230" s="22"/>
      <c r="BV230" s="22"/>
      <c r="BW230" s="22"/>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row>
    <row r="231" spans="1:99" s="31" customFormat="1">
      <c r="A231" s="22"/>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2"/>
      <c r="BO231" s="22"/>
      <c r="BP231" s="22"/>
      <c r="BQ231" s="22"/>
      <c r="BR231" s="22"/>
      <c r="BS231" s="22"/>
      <c r="BT231" s="22"/>
      <c r="BU231" s="22"/>
      <c r="BV231" s="22"/>
      <c r="BW231" s="22"/>
      <c r="BX231" s="22"/>
      <c r="BY231" s="22"/>
      <c r="BZ231" s="22"/>
      <c r="CA231" s="22"/>
      <c r="CB231" s="22"/>
      <c r="CC231" s="22"/>
      <c r="CD231" s="22"/>
      <c r="CE231" s="22"/>
      <c r="CF231" s="22"/>
      <c r="CG231" s="22"/>
      <c r="CH231" s="22"/>
      <c r="CI231" s="22"/>
      <c r="CJ231" s="22"/>
      <c r="CK231" s="22"/>
      <c r="CL231" s="22"/>
      <c r="CM231" s="22"/>
      <c r="CN231" s="22"/>
      <c r="CO231" s="22"/>
      <c r="CP231" s="22"/>
      <c r="CQ231" s="22"/>
      <c r="CR231" s="22"/>
      <c r="CS231" s="22"/>
      <c r="CT231" s="22"/>
      <c r="CU231" s="22"/>
    </row>
    <row r="232" spans="1:99" s="31" customFormat="1">
      <c r="A232" s="22"/>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2"/>
      <c r="BO232" s="22"/>
      <c r="BP232" s="22"/>
      <c r="BQ232" s="22"/>
      <c r="BR232" s="22"/>
      <c r="BS232" s="22"/>
      <c r="BT232" s="22"/>
      <c r="BU232" s="22"/>
      <c r="BV232" s="22"/>
      <c r="BW232" s="22"/>
      <c r="BX232" s="22"/>
      <c r="BY232" s="22"/>
      <c r="BZ232" s="22"/>
      <c r="CA232" s="22"/>
      <c r="CB232" s="22"/>
      <c r="CC232" s="22"/>
      <c r="CD232" s="22"/>
      <c r="CE232" s="22"/>
      <c r="CF232" s="22"/>
      <c r="CG232" s="22"/>
      <c r="CH232" s="22"/>
      <c r="CI232" s="22"/>
      <c r="CJ232" s="22"/>
      <c r="CK232" s="22"/>
      <c r="CL232" s="22"/>
      <c r="CM232" s="22"/>
      <c r="CN232" s="22"/>
      <c r="CO232" s="22"/>
      <c r="CP232" s="22"/>
      <c r="CQ232" s="22"/>
      <c r="CR232" s="22"/>
      <c r="CS232" s="22"/>
      <c r="CT232" s="22"/>
      <c r="CU232" s="22"/>
    </row>
    <row r="233" spans="1:99" s="31" customFormat="1">
      <c r="A233" s="22"/>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2"/>
      <c r="BO233" s="22"/>
      <c r="BP233" s="22"/>
      <c r="BQ233" s="22"/>
      <c r="BR233" s="22"/>
      <c r="BS233" s="22"/>
      <c r="BT233" s="22"/>
      <c r="BU233" s="22"/>
      <c r="BV233" s="22"/>
      <c r="BW233" s="22"/>
      <c r="BX233" s="22"/>
      <c r="BY233" s="22"/>
      <c r="BZ233" s="22"/>
      <c r="CA233" s="22"/>
      <c r="CB233" s="22"/>
      <c r="CC233" s="22"/>
      <c r="CD233" s="22"/>
      <c r="CE233" s="22"/>
      <c r="CF233" s="22"/>
      <c r="CG233" s="22"/>
      <c r="CH233" s="22"/>
      <c r="CI233" s="22"/>
      <c r="CJ233" s="22"/>
      <c r="CK233" s="22"/>
      <c r="CL233" s="22"/>
      <c r="CM233" s="22"/>
      <c r="CN233" s="22"/>
      <c r="CO233" s="22"/>
      <c r="CP233" s="22"/>
      <c r="CQ233" s="22"/>
      <c r="CR233" s="22"/>
      <c r="CS233" s="22"/>
      <c r="CT233" s="22"/>
      <c r="CU233" s="22"/>
    </row>
    <row r="234" spans="1:99" s="31" customFormat="1">
      <c r="A234" s="22"/>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2"/>
      <c r="BO234" s="22"/>
      <c r="BP234" s="22"/>
      <c r="BQ234" s="22"/>
      <c r="BR234" s="22"/>
      <c r="BS234" s="22"/>
      <c r="BT234" s="22"/>
      <c r="BU234" s="22"/>
      <c r="BV234" s="22"/>
      <c r="BW234" s="22"/>
      <c r="BX234" s="22"/>
      <c r="BY234" s="22"/>
      <c r="BZ234" s="22"/>
      <c r="CA234" s="22"/>
      <c r="CB234" s="22"/>
      <c r="CC234" s="22"/>
      <c r="CD234" s="22"/>
      <c r="CE234" s="22"/>
      <c r="CF234" s="22"/>
      <c r="CG234" s="22"/>
      <c r="CH234" s="22"/>
      <c r="CI234" s="22"/>
      <c r="CJ234" s="22"/>
      <c r="CK234" s="22"/>
      <c r="CL234" s="22"/>
      <c r="CM234" s="22"/>
      <c r="CN234" s="22"/>
      <c r="CO234" s="22"/>
      <c r="CP234" s="22"/>
      <c r="CQ234" s="22"/>
      <c r="CR234" s="22"/>
      <c r="CS234" s="22"/>
      <c r="CT234" s="22"/>
      <c r="CU234" s="22"/>
    </row>
    <row r="235" spans="1:99" s="31" customFormat="1">
      <c r="A235" s="22"/>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2"/>
      <c r="BO235" s="22"/>
      <c r="BP235" s="22"/>
      <c r="BQ235" s="22"/>
      <c r="BR235" s="22"/>
      <c r="BS235" s="22"/>
      <c r="BT235" s="22"/>
      <c r="BU235" s="22"/>
      <c r="BV235" s="22"/>
      <c r="BW235" s="22"/>
      <c r="BX235" s="22"/>
      <c r="BY235" s="22"/>
      <c r="BZ235" s="22"/>
      <c r="CA235" s="22"/>
      <c r="CB235" s="22"/>
      <c r="CC235" s="22"/>
      <c r="CD235" s="22"/>
      <c r="CE235" s="22"/>
      <c r="CF235" s="22"/>
      <c r="CG235" s="22"/>
      <c r="CH235" s="22"/>
      <c r="CI235" s="22"/>
      <c r="CJ235" s="22"/>
      <c r="CK235" s="22"/>
      <c r="CL235" s="22"/>
      <c r="CM235" s="22"/>
      <c r="CN235" s="22"/>
      <c r="CO235" s="22"/>
      <c r="CP235" s="22"/>
      <c r="CQ235" s="22"/>
      <c r="CR235" s="22"/>
      <c r="CS235" s="22"/>
      <c r="CT235" s="22"/>
      <c r="CU235" s="22"/>
    </row>
    <row r="236" spans="1:99" s="31" customFormat="1">
      <c r="A236" s="22"/>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c r="BH236" s="22"/>
      <c r="BI236" s="22"/>
      <c r="BJ236" s="22"/>
      <c r="BK236" s="22"/>
      <c r="BL236" s="22"/>
      <c r="BM236" s="22"/>
      <c r="BN236" s="22"/>
      <c r="BO236" s="22"/>
      <c r="BP236" s="22"/>
      <c r="BQ236" s="22"/>
      <c r="BR236" s="22"/>
      <c r="BS236" s="22"/>
      <c r="BT236" s="22"/>
      <c r="BU236" s="22"/>
      <c r="BV236" s="22"/>
      <c r="BW236" s="22"/>
      <c r="BX236" s="22"/>
      <c r="BY236" s="22"/>
      <c r="BZ236" s="22"/>
      <c r="CA236" s="22"/>
      <c r="CB236" s="22"/>
      <c r="CC236" s="22"/>
      <c r="CD236" s="22"/>
      <c r="CE236" s="22"/>
      <c r="CF236" s="22"/>
      <c r="CG236" s="22"/>
      <c r="CH236" s="22"/>
      <c r="CI236" s="22"/>
      <c r="CJ236" s="22"/>
      <c r="CK236" s="22"/>
      <c r="CL236" s="22"/>
      <c r="CM236" s="22"/>
      <c r="CN236" s="22"/>
      <c r="CO236" s="22"/>
      <c r="CP236" s="22"/>
      <c r="CQ236" s="22"/>
      <c r="CR236" s="22"/>
      <c r="CS236" s="22"/>
      <c r="CT236" s="22"/>
      <c r="CU236" s="22"/>
    </row>
    <row r="237" spans="1:99" s="31" customFormat="1">
      <c r="A237" s="22"/>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c r="BH237" s="22"/>
      <c r="BI237" s="22"/>
      <c r="BJ237" s="22"/>
      <c r="BK237" s="22"/>
      <c r="BL237" s="22"/>
      <c r="BM237" s="22"/>
      <c r="BN237" s="22"/>
      <c r="BO237" s="22"/>
      <c r="BP237" s="22"/>
      <c r="BQ237" s="22"/>
      <c r="BR237" s="22"/>
      <c r="BS237" s="22"/>
      <c r="BT237" s="22"/>
      <c r="BU237" s="22"/>
      <c r="BV237" s="22"/>
      <c r="BW237" s="22"/>
      <c r="BX237" s="22"/>
      <c r="BY237" s="22"/>
      <c r="BZ237" s="22"/>
      <c r="CA237" s="22"/>
      <c r="CB237" s="22"/>
      <c r="CC237" s="22"/>
      <c r="CD237" s="22"/>
      <c r="CE237" s="22"/>
      <c r="CF237" s="22"/>
      <c r="CG237" s="22"/>
      <c r="CH237" s="22"/>
      <c r="CI237" s="22"/>
      <c r="CJ237" s="22"/>
      <c r="CK237" s="22"/>
      <c r="CL237" s="22"/>
      <c r="CM237" s="22"/>
      <c r="CN237" s="22"/>
      <c r="CO237" s="22"/>
      <c r="CP237" s="22"/>
      <c r="CQ237" s="22"/>
      <c r="CR237" s="22"/>
      <c r="CS237" s="22"/>
      <c r="CT237" s="22"/>
      <c r="CU237" s="22"/>
    </row>
    <row r="238" spans="1:99" s="31" customFormat="1">
      <c r="A238" s="22"/>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2"/>
      <c r="BO238" s="22"/>
      <c r="BP238" s="22"/>
      <c r="BQ238" s="22"/>
      <c r="BR238" s="22"/>
      <c r="BS238" s="22"/>
      <c r="BT238" s="22"/>
      <c r="BU238" s="22"/>
      <c r="BV238" s="22"/>
      <c r="BW238" s="22"/>
      <c r="BX238" s="22"/>
      <c r="BY238" s="22"/>
      <c r="BZ238" s="22"/>
      <c r="CA238" s="22"/>
      <c r="CB238" s="22"/>
      <c r="CC238" s="22"/>
      <c r="CD238" s="22"/>
      <c r="CE238" s="22"/>
      <c r="CF238" s="22"/>
      <c r="CG238" s="22"/>
      <c r="CH238" s="22"/>
      <c r="CI238" s="22"/>
      <c r="CJ238" s="22"/>
      <c r="CK238" s="22"/>
      <c r="CL238" s="22"/>
      <c r="CM238" s="22"/>
      <c r="CN238" s="22"/>
      <c r="CO238" s="22"/>
      <c r="CP238" s="22"/>
      <c r="CQ238" s="22"/>
      <c r="CR238" s="22"/>
      <c r="CS238" s="22"/>
      <c r="CT238" s="22"/>
      <c r="CU238" s="22"/>
    </row>
    <row r="239" spans="1:99" s="31" customFormat="1">
      <c r="A239" s="22"/>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2"/>
      <c r="BO239" s="22"/>
      <c r="BP239" s="22"/>
      <c r="BQ239" s="22"/>
      <c r="BR239" s="22"/>
      <c r="BS239" s="22"/>
      <c r="BT239" s="22"/>
      <c r="BU239" s="22"/>
      <c r="BV239" s="22"/>
      <c r="BW239" s="22"/>
      <c r="BX239" s="22"/>
      <c r="BY239" s="22"/>
      <c r="BZ239" s="22"/>
      <c r="CA239" s="22"/>
      <c r="CB239" s="22"/>
      <c r="CC239" s="22"/>
      <c r="CD239" s="22"/>
      <c r="CE239" s="22"/>
      <c r="CF239" s="22"/>
      <c r="CG239" s="22"/>
      <c r="CH239" s="22"/>
      <c r="CI239" s="22"/>
      <c r="CJ239" s="22"/>
      <c r="CK239" s="22"/>
      <c r="CL239" s="22"/>
      <c r="CM239" s="22"/>
      <c r="CN239" s="22"/>
      <c r="CO239" s="22"/>
      <c r="CP239" s="22"/>
      <c r="CQ239" s="22"/>
      <c r="CR239" s="22"/>
      <c r="CS239" s="22"/>
      <c r="CT239" s="22"/>
      <c r="CU239" s="22"/>
    </row>
    <row r="240" spans="1:99" s="31" customFormat="1">
      <c r="A240" s="22"/>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c r="BH240" s="22"/>
      <c r="BI240" s="22"/>
      <c r="BJ240" s="22"/>
      <c r="BK240" s="22"/>
      <c r="BL240" s="22"/>
      <c r="BM240" s="22"/>
      <c r="BN240" s="22"/>
      <c r="BO240" s="22"/>
      <c r="BP240" s="22"/>
      <c r="BQ240" s="22"/>
      <c r="BR240" s="22"/>
      <c r="BS240" s="22"/>
      <c r="BT240" s="22"/>
      <c r="BU240" s="22"/>
      <c r="BV240" s="22"/>
      <c r="BW240" s="22"/>
      <c r="BX240" s="22"/>
      <c r="BY240" s="22"/>
      <c r="BZ240" s="22"/>
      <c r="CA240" s="22"/>
      <c r="CB240" s="22"/>
      <c r="CC240" s="22"/>
      <c r="CD240" s="22"/>
      <c r="CE240" s="22"/>
      <c r="CF240" s="22"/>
      <c r="CG240" s="22"/>
      <c r="CH240" s="22"/>
      <c r="CI240" s="22"/>
      <c r="CJ240" s="22"/>
      <c r="CK240" s="22"/>
      <c r="CL240" s="22"/>
      <c r="CM240" s="22"/>
      <c r="CN240" s="22"/>
      <c r="CO240" s="22"/>
      <c r="CP240" s="22"/>
      <c r="CQ240" s="22"/>
      <c r="CR240" s="22"/>
      <c r="CS240" s="22"/>
      <c r="CT240" s="22"/>
      <c r="CU240" s="22"/>
    </row>
    <row r="241" spans="1:99" s="31" customFormat="1">
      <c r="A241" s="22"/>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c r="BH241" s="22"/>
      <c r="BI241" s="22"/>
      <c r="BJ241" s="22"/>
      <c r="BK241" s="22"/>
      <c r="BL241" s="22"/>
      <c r="BM241" s="22"/>
      <c r="BN241" s="22"/>
      <c r="BO241" s="22"/>
      <c r="BP241" s="22"/>
      <c r="BQ241" s="22"/>
      <c r="BR241" s="22"/>
      <c r="BS241" s="22"/>
      <c r="BT241" s="22"/>
      <c r="BU241" s="22"/>
      <c r="BV241" s="22"/>
      <c r="BW241" s="22"/>
      <c r="BX241" s="22"/>
      <c r="BY241" s="22"/>
      <c r="BZ241" s="22"/>
      <c r="CA241" s="22"/>
      <c r="CB241" s="22"/>
      <c r="CC241" s="22"/>
      <c r="CD241" s="22"/>
      <c r="CE241" s="22"/>
      <c r="CF241" s="22"/>
      <c r="CG241" s="22"/>
      <c r="CH241" s="22"/>
      <c r="CI241" s="22"/>
      <c r="CJ241" s="22"/>
      <c r="CK241" s="22"/>
      <c r="CL241" s="22"/>
      <c r="CM241" s="22"/>
      <c r="CN241" s="22"/>
      <c r="CO241" s="22"/>
      <c r="CP241" s="22"/>
      <c r="CQ241" s="22"/>
      <c r="CR241" s="22"/>
      <c r="CS241" s="22"/>
      <c r="CT241" s="22"/>
      <c r="CU241" s="22"/>
    </row>
    <row r="242" spans="1:99" s="31" customFormat="1">
      <c r="A242" s="22"/>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c r="BH242" s="22"/>
      <c r="BI242" s="22"/>
      <c r="BJ242" s="22"/>
      <c r="BK242" s="22"/>
      <c r="BL242" s="22"/>
      <c r="BM242" s="22"/>
      <c r="BN242" s="22"/>
      <c r="BO242" s="22"/>
      <c r="BP242" s="22"/>
      <c r="BQ242" s="22"/>
      <c r="BR242" s="22"/>
      <c r="BS242" s="22"/>
      <c r="BT242" s="22"/>
      <c r="BU242" s="22"/>
      <c r="BV242" s="22"/>
      <c r="BW242" s="22"/>
      <c r="BX242" s="22"/>
      <c r="BY242" s="22"/>
      <c r="BZ242" s="22"/>
      <c r="CA242" s="22"/>
      <c r="CB242" s="22"/>
      <c r="CC242" s="22"/>
      <c r="CD242" s="22"/>
      <c r="CE242" s="22"/>
      <c r="CF242" s="22"/>
      <c r="CG242" s="22"/>
      <c r="CH242" s="22"/>
      <c r="CI242" s="22"/>
      <c r="CJ242" s="22"/>
      <c r="CK242" s="22"/>
      <c r="CL242" s="22"/>
      <c r="CM242" s="22"/>
      <c r="CN242" s="22"/>
      <c r="CO242" s="22"/>
      <c r="CP242" s="22"/>
      <c r="CQ242" s="22"/>
      <c r="CR242" s="22"/>
      <c r="CS242" s="22"/>
      <c r="CT242" s="22"/>
      <c r="CU242" s="22"/>
    </row>
    <row r="243" spans="1:99" s="31" customFormat="1">
      <c r="A243" s="22"/>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2"/>
      <c r="BO243" s="22"/>
      <c r="BP243" s="22"/>
      <c r="BQ243" s="22"/>
      <c r="BR243" s="22"/>
      <c r="BS243" s="22"/>
      <c r="BT243" s="22"/>
      <c r="BU243" s="22"/>
      <c r="BV243" s="22"/>
      <c r="BW243" s="22"/>
      <c r="BX243" s="22"/>
      <c r="BY243" s="22"/>
      <c r="BZ243" s="22"/>
      <c r="CA243" s="22"/>
      <c r="CB243" s="22"/>
      <c r="CC243" s="22"/>
      <c r="CD243" s="22"/>
      <c r="CE243" s="22"/>
      <c r="CF243" s="22"/>
      <c r="CG243" s="22"/>
      <c r="CH243" s="22"/>
      <c r="CI243" s="22"/>
      <c r="CJ243" s="22"/>
      <c r="CK243" s="22"/>
      <c r="CL243" s="22"/>
      <c r="CM243" s="22"/>
      <c r="CN243" s="22"/>
      <c r="CO243" s="22"/>
      <c r="CP243" s="22"/>
      <c r="CQ243" s="22"/>
      <c r="CR243" s="22"/>
      <c r="CS243" s="22"/>
      <c r="CT243" s="22"/>
      <c r="CU243" s="22"/>
    </row>
    <row r="244" spans="1:99" s="31" customFormat="1">
      <c r="A244" s="22"/>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2"/>
      <c r="BO244" s="22"/>
      <c r="BP244" s="22"/>
      <c r="BQ244" s="22"/>
      <c r="BR244" s="22"/>
      <c r="BS244" s="22"/>
      <c r="BT244" s="22"/>
      <c r="BU244" s="22"/>
      <c r="BV244" s="22"/>
      <c r="BW244" s="22"/>
      <c r="BX244" s="22"/>
      <c r="BY244" s="22"/>
      <c r="BZ244" s="22"/>
      <c r="CA244" s="22"/>
      <c r="CB244" s="22"/>
      <c r="CC244" s="22"/>
      <c r="CD244" s="22"/>
      <c r="CE244" s="22"/>
      <c r="CF244" s="22"/>
      <c r="CG244" s="22"/>
      <c r="CH244" s="22"/>
      <c r="CI244" s="22"/>
      <c r="CJ244" s="22"/>
      <c r="CK244" s="22"/>
      <c r="CL244" s="22"/>
      <c r="CM244" s="22"/>
      <c r="CN244" s="22"/>
      <c r="CO244" s="22"/>
      <c r="CP244" s="22"/>
      <c r="CQ244" s="22"/>
      <c r="CR244" s="22"/>
      <c r="CS244" s="22"/>
      <c r="CT244" s="22"/>
      <c r="CU244" s="22"/>
    </row>
    <row r="245" spans="1:99" s="31" customFormat="1">
      <c r="A245" s="22"/>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2"/>
      <c r="BO245" s="22"/>
      <c r="BP245" s="22"/>
      <c r="BQ245" s="22"/>
      <c r="BR245" s="22"/>
      <c r="BS245" s="22"/>
      <c r="BT245" s="22"/>
      <c r="BU245" s="22"/>
      <c r="BV245" s="22"/>
      <c r="BW245" s="22"/>
      <c r="BX245" s="22"/>
      <c r="BY245" s="22"/>
      <c r="BZ245" s="22"/>
      <c r="CA245" s="22"/>
      <c r="CB245" s="22"/>
      <c r="CC245" s="22"/>
      <c r="CD245" s="22"/>
      <c r="CE245" s="22"/>
      <c r="CF245" s="22"/>
      <c r="CG245" s="22"/>
      <c r="CH245" s="22"/>
      <c r="CI245" s="22"/>
      <c r="CJ245" s="22"/>
      <c r="CK245" s="22"/>
      <c r="CL245" s="22"/>
      <c r="CM245" s="22"/>
      <c r="CN245" s="22"/>
      <c r="CO245" s="22"/>
      <c r="CP245" s="22"/>
      <c r="CQ245" s="22"/>
      <c r="CR245" s="22"/>
      <c r="CS245" s="22"/>
      <c r="CT245" s="22"/>
      <c r="CU245" s="22"/>
    </row>
    <row r="246" spans="1:99" s="31" customFormat="1">
      <c r="A246" s="22"/>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2"/>
      <c r="BO246" s="22"/>
      <c r="BP246" s="22"/>
      <c r="BQ246" s="22"/>
      <c r="BR246" s="22"/>
      <c r="BS246" s="22"/>
      <c r="BT246" s="22"/>
      <c r="BU246" s="22"/>
      <c r="BV246" s="22"/>
      <c r="BW246" s="22"/>
      <c r="BX246" s="22"/>
      <c r="BY246" s="22"/>
      <c r="BZ246" s="22"/>
      <c r="CA246" s="22"/>
      <c r="CB246" s="22"/>
      <c r="CC246" s="22"/>
      <c r="CD246" s="22"/>
      <c r="CE246" s="22"/>
      <c r="CF246" s="22"/>
      <c r="CG246" s="22"/>
      <c r="CH246" s="22"/>
      <c r="CI246" s="22"/>
      <c r="CJ246" s="22"/>
      <c r="CK246" s="22"/>
      <c r="CL246" s="22"/>
      <c r="CM246" s="22"/>
      <c r="CN246" s="22"/>
      <c r="CO246" s="22"/>
      <c r="CP246" s="22"/>
      <c r="CQ246" s="22"/>
      <c r="CR246" s="22"/>
      <c r="CS246" s="22"/>
      <c r="CT246" s="22"/>
      <c r="CU246" s="22"/>
    </row>
    <row r="247" spans="1:99" s="31" customFormat="1">
      <c r="A247" s="22"/>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c r="BH247" s="22"/>
      <c r="BI247" s="22"/>
      <c r="BJ247" s="22"/>
      <c r="BK247" s="22"/>
      <c r="BL247" s="22"/>
      <c r="BM247" s="22"/>
      <c r="BN247" s="22"/>
      <c r="BO247" s="22"/>
      <c r="BP247" s="22"/>
      <c r="BQ247" s="22"/>
      <c r="BR247" s="22"/>
      <c r="BS247" s="22"/>
      <c r="BT247" s="22"/>
      <c r="BU247" s="22"/>
      <c r="BV247" s="22"/>
      <c r="BW247" s="22"/>
      <c r="BX247" s="22"/>
      <c r="BY247" s="22"/>
      <c r="BZ247" s="22"/>
      <c r="CA247" s="22"/>
      <c r="CB247" s="22"/>
      <c r="CC247" s="22"/>
      <c r="CD247" s="22"/>
      <c r="CE247" s="22"/>
      <c r="CF247" s="22"/>
      <c r="CG247" s="22"/>
      <c r="CH247" s="22"/>
      <c r="CI247" s="22"/>
      <c r="CJ247" s="22"/>
      <c r="CK247" s="22"/>
      <c r="CL247" s="22"/>
      <c r="CM247" s="22"/>
      <c r="CN247" s="22"/>
      <c r="CO247" s="22"/>
      <c r="CP247" s="22"/>
      <c r="CQ247" s="22"/>
      <c r="CR247" s="22"/>
      <c r="CS247" s="22"/>
      <c r="CT247" s="22"/>
      <c r="CU247" s="22"/>
    </row>
    <row r="248" spans="1:99" s="31" customFormat="1">
      <c r="A248" s="22"/>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c r="BH248" s="22"/>
      <c r="BI248" s="22"/>
      <c r="BJ248" s="22"/>
      <c r="BK248" s="22"/>
      <c r="BL248" s="22"/>
      <c r="BM248" s="22"/>
      <c r="BN248" s="22"/>
      <c r="BO248" s="22"/>
      <c r="BP248" s="22"/>
      <c r="BQ248" s="22"/>
      <c r="BR248" s="22"/>
      <c r="BS248" s="22"/>
      <c r="BT248" s="22"/>
      <c r="BU248" s="22"/>
      <c r="BV248" s="22"/>
      <c r="BW248" s="22"/>
      <c r="BX248" s="22"/>
      <c r="BY248" s="22"/>
      <c r="BZ248" s="22"/>
      <c r="CA248" s="22"/>
      <c r="CB248" s="22"/>
      <c r="CC248" s="22"/>
      <c r="CD248" s="22"/>
      <c r="CE248" s="22"/>
      <c r="CF248" s="22"/>
      <c r="CG248" s="22"/>
      <c r="CH248" s="22"/>
      <c r="CI248" s="22"/>
      <c r="CJ248" s="22"/>
      <c r="CK248" s="22"/>
      <c r="CL248" s="22"/>
      <c r="CM248" s="22"/>
      <c r="CN248" s="22"/>
      <c r="CO248" s="22"/>
      <c r="CP248" s="22"/>
      <c r="CQ248" s="22"/>
      <c r="CR248" s="22"/>
      <c r="CS248" s="22"/>
      <c r="CT248" s="22"/>
      <c r="CU248" s="22"/>
    </row>
    <row r="249" spans="1:99" s="31" customFormat="1">
      <c r="A249" s="22"/>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2"/>
      <c r="BO249" s="22"/>
      <c r="BP249" s="22"/>
      <c r="BQ249" s="22"/>
      <c r="BR249" s="22"/>
      <c r="BS249" s="22"/>
      <c r="BT249" s="22"/>
      <c r="BU249" s="22"/>
      <c r="BV249" s="22"/>
      <c r="BW249" s="22"/>
      <c r="BX249" s="22"/>
      <c r="BY249" s="22"/>
      <c r="BZ249" s="22"/>
      <c r="CA249" s="22"/>
      <c r="CB249" s="22"/>
      <c r="CC249" s="22"/>
      <c r="CD249" s="22"/>
      <c r="CE249" s="22"/>
      <c r="CF249" s="22"/>
      <c r="CG249" s="22"/>
      <c r="CH249" s="22"/>
      <c r="CI249" s="22"/>
      <c r="CJ249" s="22"/>
      <c r="CK249" s="22"/>
      <c r="CL249" s="22"/>
      <c r="CM249" s="22"/>
      <c r="CN249" s="22"/>
      <c r="CO249" s="22"/>
      <c r="CP249" s="22"/>
      <c r="CQ249" s="22"/>
      <c r="CR249" s="22"/>
      <c r="CS249" s="22"/>
      <c r="CT249" s="22"/>
      <c r="CU249" s="22"/>
    </row>
    <row r="250" spans="1:99" s="31" customFormat="1">
      <c r="A250" s="22"/>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2"/>
      <c r="BO250" s="22"/>
      <c r="BP250" s="22"/>
      <c r="BQ250" s="22"/>
      <c r="BR250" s="22"/>
      <c r="BS250" s="22"/>
      <c r="BT250" s="22"/>
      <c r="BU250" s="22"/>
      <c r="BV250" s="22"/>
      <c r="BW250" s="22"/>
      <c r="BX250" s="22"/>
      <c r="BY250" s="22"/>
      <c r="BZ250" s="22"/>
      <c r="CA250" s="22"/>
      <c r="CB250" s="22"/>
      <c r="CC250" s="22"/>
      <c r="CD250" s="22"/>
      <c r="CE250" s="22"/>
      <c r="CF250" s="22"/>
      <c r="CG250" s="22"/>
      <c r="CH250" s="22"/>
      <c r="CI250" s="22"/>
      <c r="CJ250" s="22"/>
      <c r="CK250" s="22"/>
      <c r="CL250" s="22"/>
      <c r="CM250" s="22"/>
      <c r="CN250" s="22"/>
      <c r="CO250" s="22"/>
      <c r="CP250" s="22"/>
      <c r="CQ250" s="22"/>
      <c r="CR250" s="22"/>
      <c r="CS250" s="22"/>
      <c r="CT250" s="22"/>
      <c r="CU250" s="22"/>
    </row>
    <row r="251" spans="1:99" s="31" customFormat="1">
      <c r="A251" s="22"/>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c r="BH251" s="22"/>
      <c r="BI251" s="22"/>
      <c r="BJ251" s="22"/>
      <c r="BK251" s="22"/>
      <c r="BL251" s="22"/>
      <c r="BM251" s="22"/>
      <c r="BN251" s="22"/>
      <c r="BO251" s="22"/>
      <c r="BP251" s="22"/>
      <c r="BQ251" s="22"/>
      <c r="BR251" s="22"/>
      <c r="BS251" s="22"/>
      <c r="BT251" s="22"/>
      <c r="BU251" s="22"/>
      <c r="BV251" s="22"/>
      <c r="BW251" s="22"/>
      <c r="BX251" s="22"/>
      <c r="BY251" s="22"/>
      <c r="BZ251" s="22"/>
      <c r="CA251" s="22"/>
      <c r="CB251" s="22"/>
      <c r="CC251" s="22"/>
      <c r="CD251" s="22"/>
      <c r="CE251" s="22"/>
      <c r="CF251" s="22"/>
      <c r="CG251" s="22"/>
      <c r="CH251" s="22"/>
      <c r="CI251" s="22"/>
      <c r="CJ251" s="22"/>
      <c r="CK251" s="22"/>
      <c r="CL251" s="22"/>
      <c r="CM251" s="22"/>
      <c r="CN251" s="22"/>
      <c r="CO251" s="22"/>
      <c r="CP251" s="22"/>
      <c r="CQ251" s="22"/>
      <c r="CR251" s="22"/>
      <c r="CS251" s="22"/>
      <c r="CT251" s="22"/>
      <c r="CU251" s="22"/>
    </row>
    <row r="252" spans="1:99" s="31" customFormat="1">
      <c r="A252" s="22"/>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c r="BH252" s="22"/>
      <c r="BI252" s="22"/>
      <c r="BJ252" s="22"/>
      <c r="BK252" s="22"/>
      <c r="BL252" s="22"/>
      <c r="BM252" s="22"/>
      <c r="BN252" s="22"/>
      <c r="BO252" s="22"/>
      <c r="BP252" s="22"/>
      <c r="BQ252" s="22"/>
      <c r="BR252" s="22"/>
      <c r="BS252" s="22"/>
      <c r="BT252" s="22"/>
      <c r="BU252" s="22"/>
      <c r="BV252" s="22"/>
      <c r="BW252" s="22"/>
      <c r="BX252" s="22"/>
      <c r="BY252" s="22"/>
      <c r="BZ252" s="22"/>
      <c r="CA252" s="22"/>
      <c r="CB252" s="22"/>
      <c r="CC252" s="22"/>
      <c r="CD252" s="22"/>
      <c r="CE252" s="22"/>
      <c r="CF252" s="22"/>
      <c r="CG252" s="22"/>
      <c r="CH252" s="22"/>
      <c r="CI252" s="22"/>
      <c r="CJ252" s="22"/>
      <c r="CK252" s="22"/>
      <c r="CL252" s="22"/>
      <c r="CM252" s="22"/>
      <c r="CN252" s="22"/>
      <c r="CO252" s="22"/>
      <c r="CP252" s="22"/>
      <c r="CQ252" s="22"/>
      <c r="CR252" s="22"/>
      <c r="CS252" s="22"/>
      <c r="CT252" s="22"/>
      <c r="CU252" s="22"/>
    </row>
    <row r="253" spans="1:99" s="31" customFormat="1">
      <c r="A253" s="22"/>
      <c r="B253" s="22"/>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2"/>
      <c r="AP253" s="22"/>
      <c r="AQ253" s="22"/>
      <c r="AR253" s="22"/>
      <c r="AS253" s="22"/>
      <c r="AT253" s="22"/>
      <c r="AU253" s="22"/>
      <c r="AV253" s="22"/>
      <c r="AW253" s="22"/>
      <c r="AX253" s="22"/>
      <c r="AY253" s="22"/>
      <c r="AZ253" s="22"/>
      <c r="BA253" s="22"/>
      <c r="BB253" s="22"/>
      <c r="BC253" s="22"/>
      <c r="BD253" s="22"/>
      <c r="BE253" s="22"/>
      <c r="BF253" s="22"/>
      <c r="BG253" s="22"/>
      <c r="BH253" s="22"/>
      <c r="BI253" s="22"/>
      <c r="BJ253" s="22"/>
      <c r="BK253" s="22"/>
      <c r="BL253" s="22"/>
      <c r="BM253" s="22"/>
      <c r="BN253" s="22"/>
      <c r="BO253" s="22"/>
      <c r="BP253" s="22"/>
      <c r="BQ253" s="22"/>
      <c r="BR253" s="22"/>
      <c r="BS253" s="22"/>
      <c r="BT253" s="22"/>
      <c r="BU253" s="22"/>
      <c r="BV253" s="22"/>
      <c r="BW253" s="22"/>
      <c r="BX253" s="22"/>
      <c r="BY253" s="22"/>
      <c r="BZ253" s="22"/>
      <c r="CA253" s="22"/>
      <c r="CB253" s="22"/>
      <c r="CC253" s="22"/>
      <c r="CD253" s="22"/>
      <c r="CE253" s="22"/>
      <c r="CF253" s="22"/>
      <c r="CG253" s="22"/>
      <c r="CH253" s="22"/>
      <c r="CI253" s="22"/>
      <c r="CJ253" s="22"/>
      <c r="CK253" s="22"/>
      <c r="CL253" s="22"/>
      <c r="CM253" s="22"/>
      <c r="CN253" s="22"/>
      <c r="CO253" s="22"/>
      <c r="CP253" s="22"/>
      <c r="CQ253" s="22"/>
      <c r="CR253" s="22"/>
      <c r="CS253" s="22"/>
      <c r="CT253" s="22"/>
      <c r="CU253" s="22"/>
    </row>
    <row r="254" spans="1:99" s="31" customFormat="1">
      <c r="A254" s="22"/>
      <c r="B254" s="22"/>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c r="AP254" s="22"/>
      <c r="AQ254" s="22"/>
      <c r="AR254" s="22"/>
      <c r="AS254" s="22"/>
      <c r="AT254" s="22"/>
      <c r="AU254" s="22"/>
      <c r="AV254" s="22"/>
      <c r="AW254" s="22"/>
      <c r="AX254" s="22"/>
      <c r="AY254" s="22"/>
      <c r="AZ254" s="22"/>
      <c r="BA254" s="22"/>
      <c r="BB254" s="22"/>
      <c r="BC254" s="22"/>
      <c r="BD254" s="22"/>
      <c r="BE254" s="22"/>
      <c r="BF254" s="22"/>
      <c r="BG254" s="22"/>
      <c r="BH254" s="22"/>
      <c r="BI254" s="22"/>
      <c r="BJ254" s="22"/>
      <c r="BK254" s="22"/>
      <c r="BL254" s="22"/>
      <c r="BM254" s="22"/>
      <c r="BN254" s="22"/>
      <c r="BO254" s="22"/>
      <c r="BP254" s="22"/>
      <c r="BQ254" s="22"/>
      <c r="BR254" s="22"/>
      <c r="BS254" s="22"/>
      <c r="BT254" s="22"/>
      <c r="BU254" s="22"/>
      <c r="BV254" s="22"/>
      <c r="BW254" s="22"/>
      <c r="BX254" s="22"/>
      <c r="BY254" s="22"/>
      <c r="BZ254" s="22"/>
      <c r="CA254" s="22"/>
      <c r="CB254" s="22"/>
      <c r="CC254" s="22"/>
      <c r="CD254" s="22"/>
      <c r="CE254" s="22"/>
      <c r="CF254" s="22"/>
      <c r="CG254" s="22"/>
      <c r="CH254" s="22"/>
      <c r="CI254" s="22"/>
      <c r="CJ254" s="22"/>
      <c r="CK254" s="22"/>
      <c r="CL254" s="22"/>
      <c r="CM254" s="22"/>
      <c r="CN254" s="22"/>
      <c r="CO254" s="22"/>
      <c r="CP254" s="22"/>
      <c r="CQ254" s="22"/>
      <c r="CR254" s="22"/>
      <c r="CS254" s="22"/>
      <c r="CT254" s="22"/>
      <c r="CU254" s="22"/>
    </row>
    <row r="255" spans="1:99" s="31" customFormat="1">
      <c r="A255" s="22"/>
      <c r="B255" s="22"/>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c r="AZ255" s="22"/>
      <c r="BA255" s="22"/>
      <c r="BB255" s="22"/>
      <c r="BC255" s="22"/>
      <c r="BD255" s="22"/>
      <c r="BE255" s="22"/>
      <c r="BF255" s="22"/>
      <c r="BG255" s="22"/>
      <c r="BH255" s="22"/>
      <c r="BI255" s="22"/>
      <c r="BJ255" s="22"/>
      <c r="BK255" s="22"/>
      <c r="BL255" s="22"/>
      <c r="BM255" s="22"/>
      <c r="BN255" s="22"/>
      <c r="BO255" s="22"/>
      <c r="BP255" s="22"/>
      <c r="BQ255" s="22"/>
      <c r="BR255" s="22"/>
      <c r="BS255" s="22"/>
      <c r="BT255" s="22"/>
      <c r="BU255" s="22"/>
      <c r="BV255" s="22"/>
      <c r="BW255" s="22"/>
      <c r="BX255" s="22"/>
      <c r="BY255" s="22"/>
      <c r="BZ255" s="22"/>
      <c r="CA255" s="22"/>
      <c r="CB255" s="22"/>
      <c r="CC255" s="22"/>
      <c r="CD255" s="22"/>
      <c r="CE255" s="22"/>
      <c r="CF255" s="22"/>
      <c r="CG255" s="22"/>
      <c r="CH255" s="22"/>
      <c r="CI255" s="22"/>
      <c r="CJ255" s="22"/>
      <c r="CK255" s="22"/>
      <c r="CL255" s="22"/>
      <c r="CM255" s="22"/>
      <c r="CN255" s="22"/>
      <c r="CO255" s="22"/>
      <c r="CP255" s="22"/>
      <c r="CQ255" s="22"/>
      <c r="CR255" s="22"/>
      <c r="CS255" s="22"/>
      <c r="CT255" s="22"/>
      <c r="CU255" s="22"/>
    </row>
    <row r="256" spans="1:99" s="31" customFormat="1">
      <c r="A256" s="22"/>
      <c r="B256" s="22"/>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c r="AZ256" s="22"/>
      <c r="BA256" s="22"/>
      <c r="BB256" s="22"/>
      <c r="BC256" s="22"/>
      <c r="BD256" s="22"/>
      <c r="BE256" s="22"/>
      <c r="BF256" s="22"/>
      <c r="BG256" s="22"/>
      <c r="BH256" s="22"/>
      <c r="BI256" s="22"/>
      <c r="BJ256" s="22"/>
      <c r="BK256" s="22"/>
      <c r="BL256" s="22"/>
      <c r="BM256" s="22"/>
      <c r="BN256" s="22"/>
      <c r="BO256" s="22"/>
      <c r="BP256" s="22"/>
      <c r="BQ256" s="22"/>
      <c r="BR256" s="22"/>
      <c r="BS256" s="22"/>
      <c r="BT256" s="22"/>
      <c r="BU256" s="22"/>
      <c r="BV256" s="22"/>
      <c r="BW256" s="22"/>
      <c r="BX256" s="22"/>
      <c r="BY256" s="22"/>
      <c r="BZ256" s="22"/>
      <c r="CA256" s="22"/>
      <c r="CB256" s="22"/>
      <c r="CC256" s="22"/>
      <c r="CD256" s="22"/>
      <c r="CE256" s="22"/>
      <c r="CF256" s="22"/>
      <c r="CG256" s="22"/>
      <c r="CH256" s="22"/>
      <c r="CI256" s="22"/>
      <c r="CJ256" s="22"/>
      <c r="CK256" s="22"/>
      <c r="CL256" s="22"/>
      <c r="CM256" s="22"/>
      <c r="CN256" s="22"/>
      <c r="CO256" s="22"/>
      <c r="CP256" s="22"/>
      <c r="CQ256" s="22"/>
      <c r="CR256" s="22"/>
      <c r="CS256" s="22"/>
      <c r="CT256" s="22"/>
      <c r="CU256" s="22"/>
    </row>
    <row r="257" spans="1:99" s="31" customFormat="1">
      <c r="A257" s="22"/>
      <c r="B257" s="22"/>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c r="AZ257" s="22"/>
      <c r="BA257" s="22"/>
      <c r="BB257" s="22"/>
      <c r="BC257" s="22"/>
      <c r="BD257" s="22"/>
      <c r="BE257" s="22"/>
      <c r="BF257" s="22"/>
      <c r="BG257" s="22"/>
      <c r="BH257" s="22"/>
      <c r="BI257" s="22"/>
      <c r="BJ257" s="22"/>
      <c r="BK257" s="22"/>
      <c r="BL257" s="22"/>
      <c r="BM257" s="22"/>
      <c r="BN257" s="22"/>
      <c r="BO257" s="22"/>
      <c r="BP257" s="22"/>
      <c r="BQ257" s="22"/>
      <c r="BR257" s="22"/>
      <c r="BS257" s="22"/>
      <c r="BT257" s="22"/>
      <c r="BU257" s="22"/>
      <c r="BV257" s="22"/>
      <c r="BW257" s="22"/>
      <c r="BX257" s="22"/>
      <c r="BY257" s="22"/>
      <c r="BZ257" s="22"/>
      <c r="CA257" s="22"/>
      <c r="CB257" s="22"/>
      <c r="CC257" s="22"/>
      <c r="CD257" s="22"/>
      <c r="CE257" s="22"/>
      <c r="CF257" s="22"/>
      <c r="CG257" s="22"/>
      <c r="CH257" s="22"/>
      <c r="CI257" s="22"/>
      <c r="CJ257" s="22"/>
      <c r="CK257" s="22"/>
      <c r="CL257" s="22"/>
      <c r="CM257" s="22"/>
      <c r="CN257" s="22"/>
      <c r="CO257" s="22"/>
      <c r="CP257" s="22"/>
      <c r="CQ257" s="22"/>
      <c r="CR257" s="22"/>
      <c r="CS257" s="22"/>
      <c r="CT257" s="22"/>
      <c r="CU257" s="22"/>
    </row>
    <row r="258" spans="1:99" s="31" customFormat="1">
      <c r="A258" s="22"/>
      <c r="B258" s="22"/>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c r="AZ258" s="22"/>
      <c r="BA258" s="22"/>
      <c r="BB258" s="22"/>
      <c r="BC258" s="22"/>
      <c r="BD258" s="22"/>
      <c r="BE258" s="22"/>
      <c r="BF258" s="22"/>
      <c r="BG258" s="22"/>
      <c r="BH258" s="22"/>
      <c r="BI258" s="22"/>
      <c r="BJ258" s="22"/>
      <c r="BK258" s="22"/>
      <c r="BL258" s="22"/>
      <c r="BM258" s="22"/>
      <c r="BN258" s="22"/>
      <c r="BO258" s="22"/>
      <c r="BP258" s="22"/>
      <c r="BQ258" s="22"/>
      <c r="BR258" s="22"/>
      <c r="BS258" s="22"/>
      <c r="BT258" s="22"/>
      <c r="BU258" s="22"/>
      <c r="BV258" s="22"/>
      <c r="BW258" s="22"/>
      <c r="BX258" s="22"/>
      <c r="BY258" s="22"/>
      <c r="BZ258" s="22"/>
      <c r="CA258" s="22"/>
      <c r="CB258" s="22"/>
      <c r="CC258" s="22"/>
      <c r="CD258" s="22"/>
      <c r="CE258" s="22"/>
      <c r="CF258" s="22"/>
      <c r="CG258" s="22"/>
      <c r="CH258" s="22"/>
      <c r="CI258" s="22"/>
      <c r="CJ258" s="22"/>
      <c r="CK258" s="22"/>
      <c r="CL258" s="22"/>
      <c r="CM258" s="22"/>
      <c r="CN258" s="22"/>
      <c r="CO258" s="22"/>
      <c r="CP258" s="22"/>
      <c r="CQ258" s="22"/>
      <c r="CR258" s="22"/>
      <c r="CS258" s="22"/>
      <c r="CT258" s="22"/>
      <c r="CU258" s="22"/>
    </row>
    <row r="259" spans="1:99" s="31" customFormat="1">
      <c r="A259" s="22"/>
      <c r="B259" s="22"/>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c r="AZ259" s="22"/>
      <c r="BA259" s="22"/>
      <c r="BB259" s="22"/>
      <c r="BC259" s="22"/>
      <c r="BD259" s="22"/>
      <c r="BE259" s="22"/>
      <c r="BF259" s="22"/>
      <c r="BG259" s="22"/>
      <c r="BH259" s="22"/>
      <c r="BI259" s="22"/>
      <c r="BJ259" s="22"/>
      <c r="BK259" s="22"/>
      <c r="BL259" s="22"/>
      <c r="BM259" s="22"/>
      <c r="BN259" s="22"/>
      <c r="BO259" s="22"/>
      <c r="BP259" s="22"/>
      <c r="BQ259" s="22"/>
      <c r="BR259" s="22"/>
      <c r="BS259" s="22"/>
      <c r="BT259" s="22"/>
      <c r="BU259" s="22"/>
      <c r="BV259" s="22"/>
      <c r="BW259" s="22"/>
      <c r="BX259" s="22"/>
      <c r="BY259" s="22"/>
      <c r="BZ259" s="22"/>
      <c r="CA259" s="22"/>
      <c r="CB259" s="22"/>
      <c r="CC259" s="22"/>
      <c r="CD259" s="22"/>
      <c r="CE259" s="22"/>
      <c r="CF259" s="22"/>
      <c r="CG259" s="22"/>
      <c r="CH259" s="22"/>
      <c r="CI259" s="22"/>
      <c r="CJ259" s="22"/>
      <c r="CK259" s="22"/>
      <c r="CL259" s="22"/>
      <c r="CM259" s="22"/>
      <c r="CN259" s="22"/>
      <c r="CO259" s="22"/>
      <c r="CP259" s="22"/>
      <c r="CQ259" s="22"/>
      <c r="CR259" s="22"/>
      <c r="CS259" s="22"/>
      <c r="CT259" s="22"/>
      <c r="CU259" s="22"/>
    </row>
    <row r="260" spans="1:99" s="31" customFormat="1">
      <c r="A260" s="22"/>
      <c r="B260" s="22"/>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c r="AZ260" s="22"/>
      <c r="BA260" s="22"/>
      <c r="BB260" s="22"/>
      <c r="BC260" s="22"/>
      <c r="BD260" s="22"/>
      <c r="BE260" s="22"/>
      <c r="BF260" s="22"/>
      <c r="BG260" s="22"/>
      <c r="BH260" s="22"/>
      <c r="BI260" s="22"/>
      <c r="BJ260" s="22"/>
      <c r="BK260" s="22"/>
      <c r="BL260" s="22"/>
      <c r="BM260" s="22"/>
      <c r="BN260" s="22"/>
      <c r="BO260" s="22"/>
      <c r="BP260" s="22"/>
      <c r="BQ260" s="22"/>
      <c r="BR260" s="22"/>
      <c r="BS260" s="22"/>
      <c r="BT260" s="22"/>
      <c r="BU260" s="22"/>
      <c r="BV260" s="22"/>
      <c r="BW260" s="22"/>
      <c r="BX260" s="22"/>
      <c r="BY260" s="22"/>
      <c r="BZ260" s="22"/>
      <c r="CA260" s="22"/>
      <c r="CB260" s="22"/>
      <c r="CC260" s="22"/>
      <c r="CD260" s="22"/>
      <c r="CE260" s="22"/>
      <c r="CF260" s="22"/>
      <c r="CG260" s="22"/>
      <c r="CH260" s="22"/>
      <c r="CI260" s="22"/>
      <c r="CJ260" s="22"/>
      <c r="CK260" s="22"/>
      <c r="CL260" s="22"/>
      <c r="CM260" s="22"/>
      <c r="CN260" s="22"/>
      <c r="CO260" s="22"/>
      <c r="CP260" s="22"/>
      <c r="CQ260" s="22"/>
      <c r="CR260" s="22"/>
      <c r="CS260" s="22"/>
      <c r="CT260" s="22"/>
      <c r="CU260" s="22"/>
    </row>
    <row r="261" spans="1:99" s="31" customFormat="1">
      <c r="A261" s="22"/>
      <c r="B261" s="22"/>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c r="AI261" s="22"/>
      <c r="AJ261" s="22"/>
      <c r="AK261" s="22"/>
      <c r="AL261" s="22"/>
      <c r="AM261" s="22"/>
      <c r="AN261" s="22"/>
      <c r="AO261" s="22"/>
      <c r="AP261" s="22"/>
      <c r="AQ261" s="22"/>
      <c r="AR261" s="22"/>
      <c r="AS261" s="22"/>
      <c r="AT261" s="22"/>
      <c r="AU261" s="22"/>
      <c r="AV261" s="22"/>
      <c r="AW261" s="22"/>
      <c r="AX261" s="22"/>
      <c r="AY261" s="22"/>
      <c r="AZ261" s="22"/>
      <c r="BA261" s="22"/>
      <c r="BB261" s="22"/>
      <c r="BC261" s="22"/>
      <c r="BD261" s="22"/>
      <c r="BE261" s="22"/>
      <c r="BF261" s="22"/>
      <c r="BG261" s="22"/>
      <c r="BH261" s="22"/>
      <c r="BI261" s="22"/>
      <c r="BJ261" s="22"/>
      <c r="BK261" s="22"/>
      <c r="BL261" s="22"/>
      <c r="BM261" s="22"/>
      <c r="BN261" s="22"/>
      <c r="BO261" s="22"/>
      <c r="BP261" s="22"/>
      <c r="BQ261" s="22"/>
      <c r="BR261" s="22"/>
      <c r="BS261" s="22"/>
      <c r="BT261" s="22"/>
      <c r="BU261" s="22"/>
      <c r="BV261" s="22"/>
      <c r="BW261" s="22"/>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row>
    <row r="262" spans="1:99" s="31" customFormat="1">
      <c r="A262" s="22"/>
      <c r="B262" s="22"/>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c r="AI262" s="22"/>
      <c r="AJ262" s="22"/>
      <c r="AK262" s="22"/>
      <c r="AL262" s="22"/>
      <c r="AM262" s="22"/>
      <c r="AN262" s="22"/>
      <c r="AO262" s="22"/>
      <c r="AP262" s="22"/>
      <c r="AQ262" s="22"/>
      <c r="AR262" s="22"/>
      <c r="AS262" s="22"/>
      <c r="AT262" s="22"/>
      <c r="AU262" s="22"/>
      <c r="AV262" s="22"/>
      <c r="AW262" s="22"/>
      <c r="AX262" s="22"/>
      <c r="AY262" s="22"/>
      <c r="AZ262" s="22"/>
      <c r="BA262" s="22"/>
      <c r="BB262" s="22"/>
      <c r="BC262" s="22"/>
      <c r="BD262" s="22"/>
      <c r="BE262" s="22"/>
      <c r="BF262" s="22"/>
      <c r="BG262" s="22"/>
      <c r="BH262" s="22"/>
      <c r="BI262" s="22"/>
      <c r="BJ262" s="22"/>
      <c r="BK262" s="22"/>
      <c r="BL262" s="22"/>
      <c r="BM262" s="22"/>
      <c r="BN262" s="22"/>
      <c r="BO262" s="22"/>
      <c r="BP262" s="22"/>
      <c r="BQ262" s="22"/>
      <c r="BR262" s="22"/>
      <c r="BS262" s="22"/>
      <c r="BT262" s="22"/>
      <c r="BU262" s="22"/>
      <c r="BV262" s="22"/>
      <c r="BW262" s="22"/>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row>
    <row r="263" spans="1:99" s="31" customFormat="1">
      <c r="A263" s="22"/>
      <c r="B263" s="22"/>
      <c r="C263" s="22"/>
      <c r="D263" s="22"/>
      <c r="E263" s="22"/>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c r="AI263" s="22"/>
      <c r="AJ263" s="22"/>
      <c r="AK263" s="22"/>
      <c r="AL263" s="22"/>
      <c r="AM263" s="22"/>
      <c r="AN263" s="22"/>
      <c r="AO263" s="22"/>
      <c r="AP263" s="22"/>
      <c r="AQ263" s="22"/>
      <c r="AR263" s="22"/>
      <c r="AS263" s="22"/>
      <c r="AT263" s="22"/>
      <c r="AU263" s="22"/>
      <c r="AV263" s="22"/>
      <c r="AW263" s="22"/>
      <c r="AX263" s="22"/>
      <c r="AY263" s="22"/>
      <c r="AZ263" s="22"/>
      <c r="BA263" s="22"/>
      <c r="BB263" s="22"/>
      <c r="BC263" s="22"/>
      <c r="BD263" s="22"/>
      <c r="BE263" s="22"/>
      <c r="BF263" s="22"/>
      <c r="BG263" s="22"/>
      <c r="BH263" s="22"/>
      <c r="BI263" s="22"/>
      <c r="BJ263" s="22"/>
      <c r="BK263" s="22"/>
      <c r="BL263" s="22"/>
      <c r="BM263" s="22"/>
      <c r="BN263" s="22"/>
      <c r="BO263" s="22"/>
      <c r="BP263" s="22"/>
      <c r="BQ263" s="22"/>
      <c r="BR263" s="22"/>
      <c r="BS263" s="22"/>
      <c r="BT263" s="22"/>
      <c r="BU263" s="22"/>
      <c r="BV263" s="22"/>
      <c r="BW263" s="22"/>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row>
    <row r="264" spans="1:99" s="31" customFormat="1">
      <c r="A264" s="22"/>
      <c r="B264" s="22"/>
      <c r="C264" s="22"/>
      <c r="D264" s="22"/>
      <c r="E264" s="22"/>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c r="AZ264" s="22"/>
      <c r="BA264" s="22"/>
      <c r="BB264" s="22"/>
      <c r="BC264" s="22"/>
      <c r="BD264" s="22"/>
      <c r="BE264" s="22"/>
      <c r="BF264" s="22"/>
      <c r="BG264" s="22"/>
      <c r="BH264" s="22"/>
      <c r="BI264" s="22"/>
      <c r="BJ264" s="22"/>
      <c r="BK264" s="22"/>
      <c r="BL264" s="22"/>
      <c r="BM264" s="22"/>
      <c r="BN264" s="22"/>
      <c r="BO264" s="22"/>
      <c r="BP264" s="22"/>
      <c r="BQ264" s="22"/>
      <c r="BR264" s="22"/>
      <c r="BS264" s="22"/>
      <c r="BT264" s="22"/>
      <c r="BU264" s="22"/>
      <c r="BV264" s="22"/>
      <c r="BW264" s="22"/>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row>
    <row r="265" spans="1:99" s="31" customFormat="1">
      <c r="A265" s="22"/>
      <c r="B265" s="22"/>
      <c r="C265" s="22"/>
      <c r="D265" s="22"/>
      <c r="E265" s="22"/>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c r="AI265" s="22"/>
      <c r="AJ265" s="22"/>
      <c r="AK265" s="22"/>
      <c r="AL265" s="22"/>
      <c r="AM265" s="22"/>
      <c r="AN265" s="22"/>
      <c r="AO265" s="22"/>
      <c r="AP265" s="22"/>
      <c r="AQ265" s="22"/>
      <c r="AR265" s="22"/>
      <c r="AS265" s="22"/>
      <c r="AT265" s="22"/>
      <c r="AU265" s="22"/>
      <c r="AV265" s="22"/>
      <c r="AW265" s="22"/>
      <c r="AX265" s="22"/>
      <c r="AY265" s="22"/>
      <c r="AZ265" s="22"/>
      <c r="BA265" s="22"/>
      <c r="BB265" s="22"/>
      <c r="BC265" s="22"/>
      <c r="BD265" s="22"/>
      <c r="BE265" s="22"/>
      <c r="BF265" s="22"/>
      <c r="BG265" s="22"/>
      <c r="BH265" s="22"/>
      <c r="BI265" s="22"/>
      <c r="BJ265" s="22"/>
      <c r="BK265" s="22"/>
      <c r="BL265" s="22"/>
      <c r="BM265" s="22"/>
      <c r="BN265" s="22"/>
      <c r="BO265" s="22"/>
      <c r="BP265" s="22"/>
      <c r="BQ265" s="22"/>
      <c r="BR265" s="22"/>
      <c r="BS265" s="22"/>
      <c r="BT265" s="22"/>
      <c r="BU265" s="22"/>
      <c r="BV265" s="22"/>
      <c r="BW265" s="22"/>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row>
    <row r="266" spans="1:99" s="31" customFormat="1">
      <c r="A266" s="22"/>
      <c r="B266" s="22"/>
      <c r="C266" s="22"/>
      <c r="D266" s="22"/>
      <c r="E266" s="22"/>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c r="AI266" s="22"/>
      <c r="AJ266" s="22"/>
      <c r="AK266" s="22"/>
      <c r="AL266" s="22"/>
      <c r="AM266" s="22"/>
      <c r="AN266" s="22"/>
      <c r="AO266" s="22"/>
      <c r="AP266" s="22"/>
      <c r="AQ266" s="22"/>
      <c r="AR266" s="22"/>
      <c r="AS266" s="22"/>
      <c r="AT266" s="22"/>
      <c r="AU266" s="22"/>
      <c r="AV266" s="22"/>
      <c r="AW266" s="22"/>
      <c r="AX266" s="22"/>
      <c r="AY266" s="22"/>
      <c r="AZ266" s="22"/>
      <c r="BA266" s="22"/>
      <c r="BB266" s="22"/>
      <c r="BC266" s="22"/>
      <c r="BD266" s="22"/>
      <c r="BE266" s="22"/>
      <c r="BF266" s="22"/>
      <c r="BG266" s="22"/>
      <c r="BH266" s="22"/>
      <c r="BI266" s="22"/>
      <c r="BJ266" s="22"/>
      <c r="BK266" s="22"/>
      <c r="BL266" s="22"/>
      <c r="BM266" s="22"/>
      <c r="BN266" s="22"/>
      <c r="BO266" s="22"/>
      <c r="BP266" s="22"/>
      <c r="BQ266" s="22"/>
      <c r="BR266" s="22"/>
      <c r="BS266" s="22"/>
      <c r="BT266" s="22"/>
      <c r="BU266" s="22"/>
      <c r="BV266" s="22"/>
      <c r="BW266" s="22"/>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row>
    <row r="267" spans="1:99" s="31" customFormat="1">
      <c r="A267" s="22"/>
      <c r="B267" s="22"/>
      <c r="C267" s="22"/>
      <c r="D267" s="22"/>
      <c r="E267" s="22"/>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c r="AI267" s="22"/>
      <c r="AJ267" s="22"/>
      <c r="AK267" s="22"/>
      <c r="AL267" s="22"/>
      <c r="AM267" s="22"/>
      <c r="AN267" s="22"/>
      <c r="AO267" s="22"/>
      <c r="AP267" s="22"/>
      <c r="AQ267" s="22"/>
      <c r="AR267" s="22"/>
      <c r="AS267" s="22"/>
      <c r="AT267" s="22"/>
      <c r="AU267" s="22"/>
      <c r="AV267" s="22"/>
      <c r="AW267" s="22"/>
      <c r="AX267" s="22"/>
      <c r="AY267" s="22"/>
      <c r="AZ267" s="22"/>
      <c r="BA267" s="22"/>
      <c r="BB267" s="22"/>
      <c r="BC267" s="22"/>
      <c r="BD267" s="22"/>
      <c r="BE267" s="22"/>
      <c r="BF267" s="22"/>
      <c r="BG267" s="22"/>
      <c r="BH267" s="22"/>
      <c r="BI267" s="22"/>
      <c r="BJ267" s="22"/>
      <c r="BK267" s="22"/>
      <c r="BL267" s="22"/>
      <c r="BM267" s="22"/>
      <c r="BN267" s="22"/>
      <c r="BO267" s="22"/>
      <c r="BP267" s="22"/>
      <c r="BQ267" s="22"/>
      <c r="BR267" s="22"/>
      <c r="BS267" s="22"/>
      <c r="BT267" s="22"/>
      <c r="BU267" s="22"/>
      <c r="BV267" s="22"/>
      <c r="BW267" s="22"/>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row>
    <row r="268" spans="1:99" s="31" customFormat="1">
      <c r="A268" s="22"/>
      <c r="B268" s="22"/>
      <c r="C268" s="22"/>
      <c r="D268" s="22"/>
      <c r="E268" s="22"/>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c r="AI268" s="22"/>
      <c r="AJ268" s="22"/>
      <c r="AK268" s="22"/>
      <c r="AL268" s="22"/>
      <c r="AM268" s="22"/>
      <c r="AN268" s="22"/>
      <c r="AO268" s="22"/>
      <c r="AP268" s="22"/>
      <c r="AQ268" s="22"/>
      <c r="AR268" s="22"/>
      <c r="AS268" s="22"/>
      <c r="AT268" s="22"/>
      <c r="AU268" s="22"/>
      <c r="AV268" s="22"/>
      <c r="AW268" s="22"/>
      <c r="AX268" s="22"/>
      <c r="AY268" s="22"/>
      <c r="AZ268" s="22"/>
      <c r="BA268" s="22"/>
      <c r="BB268" s="22"/>
      <c r="BC268" s="22"/>
      <c r="BD268" s="22"/>
      <c r="BE268" s="22"/>
      <c r="BF268" s="22"/>
      <c r="BG268" s="22"/>
      <c r="BH268" s="22"/>
      <c r="BI268" s="22"/>
      <c r="BJ268" s="22"/>
      <c r="BK268" s="22"/>
      <c r="BL268" s="22"/>
      <c r="BM268" s="22"/>
      <c r="BN268" s="22"/>
      <c r="BO268" s="22"/>
      <c r="BP268" s="22"/>
      <c r="BQ268" s="22"/>
      <c r="BR268" s="22"/>
      <c r="BS268" s="22"/>
      <c r="BT268" s="22"/>
      <c r="BU268" s="22"/>
      <c r="BV268" s="22"/>
      <c r="BW268" s="22"/>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row>
    <row r="269" spans="1:99" s="31" customFormat="1">
      <c r="A269" s="22"/>
      <c r="B269" s="22"/>
      <c r="C269" s="22"/>
      <c r="D269" s="22"/>
      <c r="E269" s="22"/>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c r="AI269" s="22"/>
      <c r="AJ269" s="22"/>
      <c r="AK269" s="22"/>
      <c r="AL269" s="22"/>
      <c r="AM269" s="22"/>
      <c r="AN269" s="22"/>
      <c r="AO269" s="22"/>
      <c r="AP269" s="22"/>
      <c r="AQ269" s="22"/>
      <c r="AR269" s="22"/>
      <c r="AS269" s="22"/>
      <c r="AT269" s="22"/>
      <c r="AU269" s="22"/>
      <c r="AV269" s="22"/>
      <c r="AW269" s="22"/>
      <c r="AX269" s="22"/>
      <c r="AY269" s="22"/>
      <c r="AZ269" s="22"/>
      <c r="BA269" s="22"/>
      <c r="BB269" s="22"/>
      <c r="BC269" s="22"/>
      <c r="BD269" s="22"/>
      <c r="BE269" s="22"/>
      <c r="BF269" s="22"/>
      <c r="BG269" s="22"/>
      <c r="BH269" s="22"/>
      <c r="BI269" s="22"/>
      <c r="BJ269" s="22"/>
      <c r="BK269" s="22"/>
      <c r="BL269" s="22"/>
      <c r="BM269" s="22"/>
      <c r="BN269" s="22"/>
      <c r="BO269" s="22"/>
      <c r="BP269" s="22"/>
      <c r="BQ269" s="22"/>
      <c r="BR269" s="22"/>
      <c r="BS269" s="22"/>
      <c r="BT269" s="22"/>
      <c r="BU269" s="22"/>
      <c r="BV269" s="22"/>
      <c r="BW269" s="22"/>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row>
    <row r="270" spans="1:99" s="31" customFormat="1">
      <c r="A270" s="22"/>
      <c r="B270" s="22"/>
      <c r="C270" s="22"/>
      <c r="D270" s="22"/>
      <c r="E270" s="22"/>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c r="AI270" s="22"/>
      <c r="AJ270" s="22"/>
      <c r="AK270" s="22"/>
      <c r="AL270" s="22"/>
      <c r="AM270" s="22"/>
      <c r="AN270" s="22"/>
      <c r="AO270" s="22"/>
      <c r="AP270" s="22"/>
      <c r="AQ270" s="22"/>
      <c r="AR270" s="22"/>
      <c r="AS270" s="22"/>
      <c r="AT270" s="22"/>
      <c r="AU270" s="22"/>
      <c r="AV270" s="22"/>
      <c r="AW270" s="22"/>
      <c r="AX270" s="22"/>
      <c r="AY270" s="22"/>
      <c r="AZ270" s="22"/>
      <c r="BA270" s="22"/>
      <c r="BB270" s="22"/>
      <c r="BC270" s="22"/>
      <c r="BD270" s="22"/>
      <c r="BE270" s="22"/>
      <c r="BF270" s="22"/>
      <c r="BG270" s="22"/>
      <c r="BH270" s="22"/>
      <c r="BI270" s="22"/>
      <c r="BJ270" s="22"/>
      <c r="BK270" s="22"/>
      <c r="BL270" s="22"/>
      <c r="BM270" s="22"/>
      <c r="BN270" s="22"/>
      <c r="BO270" s="22"/>
      <c r="BP270" s="22"/>
      <c r="BQ270" s="22"/>
      <c r="BR270" s="22"/>
      <c r="BS270" s="22"/>
      <c r="BT270" s="22"/>
      <c r="BU270" s="22"/>
      <c r="BV270" s="22"/>
      <c r="BW270" s="22"/>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row>
    <row r="271" spans="1:99" s="31" customFormat="1">
      <c r="A271" s="22"/>
      <c r="B271" s="22"/>
      <c r="C271" s="22"/>
      <c r="D271" s="22"/>
      <c r="E271" s="22"/>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c r="AZ271" s="22"/>
      <c r="BA271" s="22"/>
      <c r="BB271" s="22"/>
      <c r="BC271" s="22"/>
      <c r="BD271" s="22"/>
      <c r="BE271" s="22"/>
      <c r="BF271" s="22"/>
      <c r="BG271" s="22"/>
      <c r="BH271" s="22"/>
      <c r="BI271" s="22"/>
      <c r="BJ271" s="22"/>
      <c r="BK271" s="22"/>
      <c r="BL271" s="22"/>
      <c r="BM271" s="22"/>
      <c r="BN271" s="22"/>
      <c r="BO271" s="22"/>
      <c r="BP271" s="22"/>
      <c r="BQ271" s="22"/>
      <c r="BR271" s="22"/>
      <c r="BS271" s="22"/>
      <c r="BT271" s="22"/>
      <c r="BU271" s="22"/>
      <c r="BV271" s="22"/>
      <c r="BW271" s="22"/>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row>
    <row r="272" spans="1:99" s="31" customFormat="1">
      <c r="A272" s="22"/>
      <c r="B272" s="22"/>
      <c r="C272" s="22"/>
      <c r="D272" s="22"/>
      <c r="E272" s="22"/>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c r="AI272" s="22"/>
      <c r="AJ272" s="22"/>
      <c r="AK272" s="22"/>
      <c r="AL272" s="22"/>
      <c r="AM272" s="22"/>
      <c r="AN272" s="22"/>
      <c r="AO272" s="22"/>
      <c r="AP272" s="22"/>
      <c r="AQ272" s="22"/>
      <c r="AR272" s="22"/>
      <c r="AS272" s="22"/>
      <c r="AT272" s="22"/>
      <c r="AU272" s="22"/>
      <c r="AV272" s="22"/>
      <c r="AW272" s="22"/>
      <c r="AX272" s="22"/>
      <c r="AY272" s="22"/>
      <c r="AZ272" s="22"/>
      <c r="BA272" s="22"/>
      <c r="BB272" s="22"/>
      <c r="BC272" s="22"/>
      <c r="BD272" s="22"/>
      <c r="BE272" s="22"/>
      <c r="BF272" s="22"/>
      <c r="BG272" s="22"/>
      <c r="BH272" s="22"/>
      <c r="BI272" s="22"/>
      <c r="BJ272" s="22"/>
      <c r="BK272" s="22"/>
      <c r="BL272" s="22"/>
      <c r="BM272" s="22"/>
      <c r="BN272" s="22"/>
      <c r="BO272" s="22"/>
      <c r="BP272" s="22"/>
      <c r="BQ272" s="22"/>
      <c r="BR272" s="22"/>
      <c r="BS272" s="22"/>
      <c r="BT272" s="22"/>
      <c r="BU272" s="22"/>
      <c r="BV272" s="22"/>
      <c r="BW272" s="22"/>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row>
    <row r="273" spans="1:99" s="31" customFormat="1">
      <c r="A273" s="22"/>
      <c r="B273" s="22"/>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c r="AZ273" s="22"/>
      <c r="BA273" s="22"/>
      <c r="BB273" s="22"/>
      <c r="BC273" s="22"/>
      <c r="BD273" s="22"/>
      <c r="BE273" s="22"/>
      <c r="BF273" s="22"/>
      <c r="BG273" s="22"/>
      <c r="BH273" s="22"/>
      <c r="BI273" s="22"/>
      <c r="BJ273" s="22"/>
      <c r="BK273" s="22"/>
      <c r="BL273" s="22"/>
      <c r="BM273" s="22"/>
      <c r="BN273" s="22"/>
      <c r="BO273" s="22"/>
      <c r="BP273" s="22"/>
      <c r="BQ273" s="22"/>
      <c r="BR273" s="22"/>
      <c r="BS273" s="22"/>
      <c r="BT273" s="22"/>
      <c r="BU273" s="22"/>
      <c r="BV273" s="22"/>
      <c r="BW273" s="22"/>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row>
    <row r="274" spans="1:99" s="31" customFormat="1">
      <c r="A274" s="22"/>
      <c r="B274" s="22"/>
      <c r="C274" s="22"/>
      <c r="D274" s="22"/>
      <c r="E274" s="22"/>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c r="AI274" s="22"/>
      <c r="AJ274" s="22"/>
      <c r="AK274" s="22"/>
      <c r="AL274" s="22"/>
      <c r="AM274" s="22"/>
      <c r="AN274" s="22"/>
      <c r="AO274" s="22"/>
      <c r="AP274" s="22"/>
      <c r="AQ274" s="22"/>
      <c r="AR274" s="22"/>
      <c r="AS274" s="22"/>
      <c r="AT274" s="22"/>
      <c r="AU274" s="22"/>
      <c r="AV274" s="22"/>
      <c r="AW274" s="22"/>
      <c r="AX274" s="22"/>
      <c r="AY274" s="22"/>
      <c r="AZ274" s="22"/>
      <c r="BA274" s="22"/>
      <c r="BB274" s="22"/>
      <c r="BC274" s="22"/>
      <c r="BD274" s="22"/>
      <c r="BE274" s="22"/>
      <c r="BF274" s="22"/>
      <c r="BG274" s="22"/>
      <c r="BH274" s="22"/>
      <c r="BI274" s="22"/>
      <c r="BJ274" s="22"/>
      <c r="BK274" s="22"/>
      <c r="BL274" s="22"/>
      <c r="BM274" s="22"/>
      <c r="BN274" s="22"/>
      <c r="BO274" s="22"/>
      <c r="BP274" s="22"/>
      <c r="BQ274" s="22"/>
      <c r="BR274" s="22"/>
      <c r="BS274" s="22"/>
      <c r="BT274" s="22"/>
      <c r="BU274" s="22"/>
      <c r="BV274" s="22"/>
      <c r="BW274" s="22"/>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row>
    <row r="275" spans="1:99" s="31" customFormat="1">
      <c r="A275" s="22"/>
      <c r="B275" s="22"/>
      <c r="C275" s="22"/>
      <c r="D275" s="22"/>
      <c r="E275" s="22"/>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c r="AI275" s="22"/>
      <c r="AJ275" s="22"/>
      <c r="AK275" s="22"/>
      <c r="AL275" s="22"/>
      <c r="AM275" s="22"/>
      <c r="AN275" s="22"/>
      <c r="AO275" s="22"/>
      <c r="AP275" s="22"/>
      <c r="AQ275" s="22"/>
      <c r="AR275" s="22"/>
      <c r="AS275" s="22"/>
      <c r="AT275" s="22"/>
      <c r="AU275" s="22"/>
      <c r="AV275" s="22"/>
      <c r="AW275" s="22"/>
      <c r="AX275" s="22"/>
      <c r="AY275" s="22"/>
      <c r="AZ275" s="22"/>
      <c r="BA275" s="22"/>
      <c r="BB275" s="22"/>
      <c r="BC275" s="22"/>
      <c r="BD275" s="22"/>
      <c r="BE275" s="22"/>
      <c r="BF275" s="22"/>
      <c r="BG275" s="22"/>
      <c r="BH275" s="22"/>
      <c r="BI275" s="22"/>
      <c r="BJ275" s="22"/>
      <c r="BK275" s="22"/>
      <c r="BL275" s="22"/>
      <c r="BM275" s="22"/>
      <c r="BN275" s="22"/>
      <c r="BO275" s="22"/>
      <c r="BP275" s="22"/>
      <c r="BQ275" s="22"/>
      <c r="BR275" s="22"/>
      <c r="BS275" s="22"/>
      <c r="BT275" s="22"/>
      <c r="BU275" s="22"/>
      <c r="BV275" s="22"/>
      <c r="BW275" s="22"/>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row>
    <row r="276" spans="1:99" s="31" customFormat="1">
      <c r="A276" s="22"/>
      <c r="B276" s="22"/>
      <c r="C276" s="22"/>
      <c r="D276" s="22"/>
      <c r="E276" s="22"/>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c r="AI276" s="22"/>
      <c r="AJ276" s="22"/>
      <c r="AK276" s="22"/>
      <c r="AL276" s="22"/>
      <c r="AM276" s="22"/>
      <c r="AN276" s="22"/>
      <c r="AO276" s="22"/>
      <c r="AP276" s="22"/>
      <c r="AQ276" s="22"/>
      <c r="AR276" s="22"/>
      <c r="AS276" s="22"/>
      <c r="AT276" s="22"/>
      <c r="AU276" s="22"/>
      <c r="AV276" s="22"/>
      <c r="AW276" s="22"/>
      <c r="AX276" s="22"/>
      <c r="AY276" s="22"/>
      <c r="AZ276" s="22"/>
      <c r="BA276" s="22"/>
      <c r="BB276" s="22"/>
      <c r="BC276" s="22"/>
      <c r="BD276" s="22"/>
      <c r="BE276" s="22"/>
      <c r="BF276" s="22"/>
      <c r="BG276" s="22"/>
      <c r="BH276" s="22"/>
      <c r="BI276" s="22"/>
      <c r="BJ276" s="22"/>
      <c r="BK276" s="22"/>
      <c r="BL276" s="22"/>
      <c r="BM276" s="22"/>
      <c r="BN276" s="22"/>
      <c r="BO276" s="22"/>
      <c r="BP276" s="22"/>
      <c r="BQ276" s="22"/>
      <c r="BR276" s="22"/>
      <c r="BS276" s="22"/>
      <c r="BT276" s="22"/>
      <c r="BU276" s="22"/>
      <c r="BV276" s="22"/>
      <c r="BW276" s="22"/>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row>
    <row r="277" spans="1:99" s="31" customFormat="1">
      <c r="A277" s="22"/>
      <c r="B277" s="22"/>
      <c r="C277" s="22"/>
      <c r="D277" s="22"/>
      <c r="E277" s="22"/>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c r="AI277" s="22"/>
      <c r="AJ277" s="22"/>
      <c r="AK277" s="22"/>
      <c r="AL277" s="22"/>
      <c r="AM277" s="22"/>
      <c r="AN277" s="22"/>
      <c r="AO277" s="22"/>
      <c r="AP277" s="22"/>
      <c r="AQ277" s="22"/>
      <c r="AR277" s="22"/>
      <c r="AS277" s="22"/>
      <c r="AT277" s="22"/>
      <c r="AU277" s="22"/>
      <c r="AV277" s="22"/>
      <c r="AW277" s="22"/>
      <c r="AX277" s="22"/>
      <c r="AY277" s="22"/>
      <c r="AZ277" s="22"/>
      <c r="BA277" s="22"/>
      <c r="BB277" s="22"/>
      <c r="BC277" s="22"/>
      <c r="BD277" s="22"/>
      <c r="BE277" s="22"/>
      <c r="BF277" s="22"/>
      <c r="BG277" s="22"/>
      <c r="BH277" s="22"/>
      <c r="BI277" s="22"/>
      <c r="BJ277" s="22"/>
      <c r="BK277" s="22"/>
      <c r="BL277" s="22"/>
      <c r="BM277" s="22"/>
      <c r="BN277" s="22"/>
      <c r="BO277" s="22"/>
      <c r="BP277" s="22"/>
      <c r="BQ277" s="22"/>
      <c r="BR277" s="22"/>
      <c r="BS277" s="22"/>
      <c r="BT277" s="22"/>
      <c r="BU277" s="22"/>
      <c r="BV277" s="22"/>
      <c r="BW277" s="22"/>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row>
    <row r="278" spans="1:99" s="31" customFormat="1">
      <c r="A278" s="22"/>
      <c r="B278" s="22"/>
      <c r="C278" s="22"/>
      <c r="D278" s="22"/>
      <c r="E278" s="22"/>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c r="AI278" s="22"/>
      <c r="AJ278" s="22"/>
      <c r="AK278" s="22"/>
      <c r="AL278" s="22"/>
      <c r="AM278" s="22"/>
      <c r="AN278" s="22"/>
      <c r="AO278" s="22"/>
      <c r="AP278" s="22"/>
      <c r="AQ278" s="22"/>
      <c r="AR278" s="22"/>
      <c r="AS278" s="22"/>
      <c r="AT278" s="22"/>
      <c r="AU278" s="22"/>
      <c r="AV278" s="22"/>
      <c r="AW278" s="22"/>
      <c r="AX278" s="22"/>
      <c r="AY278" s="22"/>
      <c r="AZ278" s="22"/>
      <c r="BA278" s="22"/>
      <c r="BB278" s="22"/>
      <c r="BC278" s="22"/>
      <c r="BD278" s="22"/>
      <c r="BE278" s="22"/>
      <c r="BF278" s="22"/>
      <c r="BG278" s="22"/>
      <c r="BH278" s="22"/>
      <c r="BI278" s="22"/>
      <c r="BJ278" s="22"/>
      <c r="BK278" s="22"/>
      <c r="BL278" s="22"/>
      <c r="BM278" s="22"/>
      <c r="BN278" s="22"/>
      <c r="BO278" s="22"/>
      <c r="BP278" s="22"/>
      <c r="BQ278" s="22"/>
      <c r="BR278" s="22"/>
      <c r="BS278" s="22"/>
      <c r="BT278" s="22"/>
      <c r="BU278" s="22"/>
      <c r="BV278" s="22"/>
      <c r="BW278" s="22"/>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row>
    <row r="279" spans="1:99" s="31" customFormat="1">
      <c r="A279" s="22"/>
      <c r="B279" s="22"/>
      <c r="C279" s="22"/>
      <c r="D279" s="22"/>
      <c r="E279" s="22"/>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c r="AZ279" s="22"/>
      <c r="BA279" s="22"/>
      <c r="BB279" s="22"/>
      <c r="BC279" s="22"/>
      <c r="BD279" s="22"/>
      <c r="BE279" s="22"/>
      <c r="BF279" s="22"/>
      <c r="BG279" s="22"/>
      <c r="BH279" s="22"/>
      <c r="BI279" s="22"/>
      <c r="BJ279" s="22"/>
      <c r="BK279" s="22"/>
      <c r="BL279" s="22"/>
      <c r="BM279" s="22"/>
      <c r="BN279" s="22"/>
      <c r="BO279" s="22"/>
      <c r="BP279" s="22"/>
      <c r="BQ279" s="22"/>
      <c r="BR279" s="22"/>
      <c r="BS279" s="22"/>
      <c r="BT279" s="22"/>
      <c r="BU279" s="22"/>
      <c r="BV279" s="22"/>
      <c r="BW279" s="22"/>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row>
    <row r="280" spans="1:99" s="31" customFormat="1">
      <c r="A280" s="22"/>
      <c r="B280" s="22"/>
      <c r="C280" s="22"/>
      <c r="D280" s="22"/>
      <c r="E280" s="22"/>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c r="AZ280" s="22"/>
      <c r="BA280" s="22"/>
      <c r="BB280" s="22"/>
      <c r="BC280" s="22"/>
      <c r="BD280" s="22"/>
      <c r="BE280" s="22"/>
      <c r="BF280" s="22"/>
      <c r="BG280" s="22"/>
      <c r="BH280" s="22"/>
      <c r="BI280" s="22"/>
      <c r="BJ280" s="22"/>
      <c r="BK280" s="22"/>
      <c r="BL280" s="22"/>
      <c r="BM280" s="22"/>
      <c r="BN280" s="22"/>
      <c r="BO280" s="22"/>
      <c r="BP280" s="22"/>
      <c r="BQ280" s="22"/>
      <c r="BR280" s="22"/>
      <c r="BS280" s="22"/>
      <c r="BT280" s="22"/>
      <c r="BU280" s="22"/>
      <c r="BV280" s="22"/>
      <c r="BW280" s="22"/>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row>
    <row r="281" spans="1:99" s="31" customFormat="1">
      <c r="A281" s="22"/>
      <c r="B281" s="22"/>
      <c r="C281" s="22"/>
      <c r="D281" s="22"/>
      <c r="E281" s="22"/>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c r="AZ281" s="22"/>
      <c r="BA281" s="22"/>
      <c r="BB281" s="22"/>
      <c r="BC281" s="22"/>
      <c r="BD281" s="22"/>
      <c r="BE281" s="22"/>
      <c r="BF281" s="22"/>
      <c r="BG281" s="22"/>
      <c r="BH281" s="22"/>
      <c r="BI281" s="22"/>
      <c r="BJ281" s="22"/>
      <c r="BK281" s="22"/>
      <c r="BL281" s="22"/>
      <c r="BM281" s="22"/>
      <c r="BN281" s="22"/>
      <c r="BO281" s="22"/>
      <c r="BP281" s="22"/>
      <c r="BQ281" s="22"/>
      <c r="BR281" s="22"/>
      <c r="BS281" s="22"/>
      <c r="BT281" s="22"/>
      <c r="BU281" s="22"/>
      <c r="BV281" s="22"/>
      <c r="BW281" s="22"/>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row>
    <row r="282" spans="1:99" s="31" customFormat="1">
      <c r="A282" s="22"/>
      <c r="B282" s="22"/>
      <c r="C282" s="22"/>
      <c r="D282" s="22"/>
      <c r="E282" s="22"/>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c r="AV282" s="22"/>
      <c r="AW282" s="22"/>
      <c r="AX282" s="22"/>
      <c r="AY282" s="22"/>
      <c r="AZ282" s="22"/>
      <c r="BA282" s="22"/>
      <c r="BB282" s="22"/>
      <c r="BC282" s="22"/>
      <c r="BD282" s="22"/>
      <c r="BE282" s="22"/>
      <c r="BF282" s="22"/>
      <c r="BG282" s="22"/>
      <c r="BH282" s="22"/>
      <c r="BI282" s="22"/>
      <c r="BJ282" s="22"/>
      <c r="BK282" s="22"/>
      <c r="BL282" s="22"/>
      <c r="BM282" s="22"/>
      <c r="BN282" s="22"/>
      <c r="BO282" s="22"/>
      <c r="BP282" s="22"/>
      <c r="BQ282" s="22"/>
      <c r="BR282" s="22"/>
      <c r="BS282" s="22"/>
      <c r="BT282" s="22"/>
      <c r="BU282" s="22"/>
      <c r="BV282" s="22"/>
      <c r="BW282" s="22"/>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row>
    <row r="283" spans="1:99" s="31" customFormat="1">
      <c r="A283" s="22"/>
      <c r="B283" s="22"/>
      <c r="C283" s="22"/>
      <c r="D283" s="22"/>
      <c r="E283" s="22"/>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c r="AI283" s="22"/>
      <c r="AJ283" s="22"/>
      <c r="AK283" s="22"/>
      <c r="AL283" s="22"/>
      <c r="AM283" s="22"/>
      <c r="AN283" s="22"/>
      <c r="AO283" s="22"/>
      <c r="AP283" s="22"/>
      <c r="AQ283" s="22"/>
      <c r="AR283" s="22"/>
      <c r="AS283" s="22"/>
      <c r="AT283" s="22"/>
      <c r="AU283" s="22"/>
      <c r="AV283" s="22"/>
      <c r="AW283" s="22"/>
      <c r="AX283" s="22"/>
      <c r="AY283" s="22"/>
      <c r="AZ283" s="22"/>
      <c r="BA283" s="22"/>
      <c r="BB283" s="22"/>
      <c r="BC283" s="22"/>
      <c r="BD283" s="22"/>
      <c r="BE283" s="22"/>
      <c r="BF283" s="22"/>
      <c r="BG283" s="22"/>
      <c r="BH283" s="22"/>
      <c r="BI283" s="22"/>
      <c r="BJ283" s="22"/>
      <c r="BK283" s="22"/>
      <c r="BL283" s="22"/>
      <c r="BM283" s="22"/>
      <c r="BN283" s="22"/>
      <c r="BO283" s="22"/>
      <c r="BP283" s="22"/>
      <c r="BQ283" s="22"/>
      <c r="BR283" s="22"/>
      <c r="BS283" s="22"/>
      <c r="BT283" s="22"/>
      <c r="BU283" s="22"/>
      <c r="BV283" s="22"/>
      <c r="BW283" s="22"/>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row>
    <row r="284" spans="1:99" s="31" customFormat="1">
      <c r="A284" s="22"/>
      <c r="B284" s="22"/>
      <c r="C284" s="22"/>
      <c r="D284" s="22"/>
      <c r="E284" s="22"/>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c r="AI284" s="22"/>
      <c r="AJ284" s="22"/>
      <c r="AK284" s="22"/>
      <c r="AL284" s="22"/>
      <c r="AM284" s="22"/>
      <c r="AN284" s="22"/>
      <c r="AO284" s="22"/>
      <c r="AP284" s="22"/>
      <c r="AQ284" s="22"/>
      <c r="AR284" s="22"/>
      <c r="AS284" s="22"/>
      <c r="AT284" s="22"/>
      <c r="AU284" s="22"/>
      <c r="AV284" s="22"/>
      <c r="AW284" s="22"/>
      <c r="AX284" s="22"/>
      <c r="AY284" s="22"/>
      <c r="AZ284" s="22"/>
      <c r="BA284" s="22"/>
      <c r="BB284" s="22"/>
      <c r="BC284" s="22"/>
      <c r="BD284" s="22"/>
      <c r="BE284" s="22"/>
      <c r="BF284" s="22"/>
      <c r="BG284" s="22"/>
      <c r="BH284" s="22"/>
      <c r="BI284" s="22"/>
      <c r="BJ284" s="22"/>
      <c r="BK284" s="22"/>
      <c r="BL284" s="22"/>
      <c r="BM284" s="22"/>
      <c r="BN284" s="22"/>
      <c r="BO284" s="22"/>
      <c r="BP284" s="22"/>
      <c r="BQ284" s="22"/>
      <c r="BR284" s="22"/>
      <c r="BS284" s="22"/>
      <c r="BT284" s="22"/>
      <c r="BU284" s="22"/>
      <c r="BV284" s="22"/>
      <c r="BW284" s="22"/>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row>
    <row r="285" spans="1:99" s="31" customFormat="1">
      <c r="A285" s="22"/>
      <c r="B285" s="22"/>
      <c r="C285" s="22"/>
      <c r="D285" s="22"/>
      <c r="E285" s="22"/>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c r="AI285" s="22"/>
      <c r="AJ285" s="22"/>
      <c r="AK285" s="22"/>
      <c r="AL285" s="22"/>
      <c r="AM285" s="22"/>
      <c r="AN285" s="22"/>
      <c r="AO285" s="22"/>
      <c r="AP285" s="22"/>
      <c r="AQ285" s="22"/>
      <c r="AR285" s="22"/>
      <c r="AS285" s="22"/>
      <c r="AT285" s="22"/>
      <c r="AU285" s="22"/>
      <c r="AV285" s="22"/>
      <c r="AW285" s="22"/>
      <c r="AX285" s="22"/>
      <c r="AY285" s="22"/>
      <c r="AZ285" s="22"/>
      <c r="BA285" s="22"/>
      <c r="BB285" s="22"/>
      <c r="BC285" s="22"/>
      <c r="BD285" s="22"/>
      <c r="BE285" s="22"/>
      <c r="BF285" s="22"/>
      <c r="BG285" s="22"/>
      <c r="BH285" s="22"/>
      <c r="BI285" s="22"/>
      <c r="BJ285" s="22"/>
      <c r="BK285" s="22"/>
      <c r="BL285" s="22"/>
      <c r="BM285" s="22"/>
      <c r="BN285" s="22"/>
      <c r="BO285" s="22"/>
      <c r="BP285" s="22"/>
      <c r="BQ285" s="22"/>
      <c r="BR285" s="22"/>
      <c r="BS285" s="22"/>
      <c r="BT285" s="22"/>
      <c r="BU285" s="22"/>
      <c r="BV285" s="22"/>
      <c r="BW285" s="22"/>
      <c r="BX285" s="22"/>
      <c r="BY285" s="22"/>
      <c r="BZ285" s="22"/>
      <c r="CA285" s="22"/>
      <c r="CB285" s="22"/>
      <c r="CC285" s="22"/>
      <c r="CD285" s="22"/>
      <c r="CE285" s="22"/>
      <c r="CF285" s="22"/>
      <c r="CG285" s="22"/>
      <c r="CH285" s="22"/>
      <c r="CI285" s="22"/>
      <c r="CJ285" s="22"/>
      <c r="CK285" s="22"/>
      <c r="CL285" s="22"/>
      <c r="CM285" s="22"/>
      <c r="CN285" s="22"/>
      <c r="CO285" s="22"/>
      <c r="CP285" s="22"/>
      <c r="CQ285" s="22"/>
      <c r="CR285" s="22"/>
      <c r="CS285" s="22"/>
      <c r="CT285" s="22"/>
      <c r="CU285" s="22"/>
    </row>
    <row r="286" spans="1:99" s="31" customFormat="1">
      <c r="A286" s="22"/>
      <c r="B286" s="22"/>
      <c r="C286" s="22"/>
      <c r="D286" s="22"/>
      <c r="E286" s="22"/>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c r="AI286" s="22"/>
      <c r="AJ286" s="22"/>
      <c r="AK286" s="22"/>
      <c r="AL286" s="22"/>
      <c r="AM286" s="22"/>
      <c r="AN286" s="22"/>
      <c r="AO286" s="22"/>
      <c r="AP286" s="22"/>
      <c r="AQ286" s="22"/>
      <c r="AR286" s="22"/>
      <c r="AS286" s="22"/>
      <c r="AT286" s="22"/>
      <c r="AU286" s="22"/>
      <c r="AV286" s="22"/>
      <c r="AW286" s="22"/>
      <c r="AX286" s="22"/>
      <c r="AY286" s="22"/>
      <c r="AZ286" s="22"/>
      <c r="BA286" s="22"/>
      <c r="BB286" s="22"/>
      <c r="BC286" s="22"/>
      <c r="BD286" s="22"/>
      <c r="BE286" s="22"/>
      <c r="BF286" s="22"/>
      <c r="BG286" s="22"/>
      <c r="BH286" s="22"/>
      <c r="BI286" s="22"/>
      <c r="BJ286" s="22"/>
      <c r="BK286" s="22"/>
      <c r="BL286" s="22"/>
      <c r="BM286" s="22"/>
      <c r="BN286" s="22"/>
      <c r="BO286" s="22"/>
      <c r="BP286" s="22"/>
      <c r="BQ286" s="22"/>
      <c r="BR286" s="22"/>
      <c r="BS286" s="22"/>
      <c r="BT286" s="22"/>
      <c r="BU286" s="22"/>
      <c r="BV286" s="22"/>
      <c r="BW286" s="22"/>
      <c r="BX286" s="22"/>
      <c r="BY286" s="22"/>
      <c r="BZ286" s="22"/>
      <c r="CA286" s="22"/>
      <c r="CB286" s="22"/>
      <c r="CC286" s="22"/>
      <c r="CD286" s="22"/>
      <c r="CE286" s="22"/>
      <c r="CF286" s="22"/>
      <c r="CG286" s="22"/>
      <c r="CH286" s="22"/>
      <c r="CI286" s="22"/>
      <c r="CJ286" s="22"/>
      <c r="CK286" s="22"/>
      <c r="CL286" s="22"/>
      <c r="CM286" s="22"/>
      <c r="CN286" s="22"/>
      <c r="CO286" s="22"/>
      <c r="CP286" s="22"/>
      <c r="CQ286" s="22"/>
      <c r="CR286" s="22"/>
      <c r="CS286" s="22"/>
      <c r="CT286" s="22"/>
      <c r="CU286" s="22"/>
    </row>
    <row r="287" spans="1:99" s="31" customFormat="1">
      <c r="A287" s="22"/>
      <c r="B287" s="22"/>
      <c r="C287" s="22"/>
      <c r="D287" s="22"/>
      <c r="E287" s="22"/>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2"/>
      <c r="AP287" s="22"/>
      <c r="AQ287" s="22"/>
      <c r="AR287" s="22"/>
      <c r="AS287" s="22"/>
      <c r="AT287" s="22"/>
      <c r="AU287" s="22"/>
      <c r="AV287" s="22"/>
      <c r="AW287" s="22"/>
      <c r="AX287" s="22"/>
      <c r="AY287" s="22"/>
      <c r="AZ287" s="22"/>
      <c r="BA287" s="22"/>
      <c r="BB287" s="22"/>
      <c r="BC287" s="22"/>
      <c r="BD287" s="22"/>
      <c r="BE287" s="22"/>
      <c r="BF287" s="22"/>
      <c r="BG287" s="22"/>
      <c r="BH287" s="22"/>
      <c r="BI287" s="22"/>
      <c r="BJ287" s="22"/>
      <c r="BK287" s="22"/>
      <c r="BL287" s="22"/>
      <c r="BM287" s="22"/>
      <c r="BN287" s="22"/>
      <c r="BO287" s="22"/>
      <c r="BP287" s="22"/>
      <c r="BQ287" s="22"/>
      <c r="BR287" s="22"/>
      <c r="BS287" s="22"/>
      <c r="BT287" s="22"/>
      <c r="BU287" s="22"/>
      <c r="BV287" s="22"/>
      <c r="BW287" s="22"/>
      <c r="BX287" s="22"/>
      <c r="BY287" s="22"/>
      <c r="BZ287" s="22"/>
      <c r="CA287" s="22"/>
      <c r="CB287" s="22"/>
      <c r="CC287" s="22"/>
      <c r="CD287" s="22"/>
      <c r="CE287" s="22"/>
      <c r="CF287" s="22"/>
      <c r="CG287" s="22"/>
      <c r="CH287" s="22"/>
      <c r="CI287" s="22"/>
      <c r="CJ287" s="22"/>
      <c r="CK287" s="22"/>
      <c r="CL287" s="22"/>
      <c r="CM287" s="22"/>
      <c r="CN287" s="22"/>
      <c r="CO287" s="22"/>
      <c r="CP287" s="22"/>
      <c r="CQ287" s="22"/>
      <c r="CR287" s="22"/>
      <c r="CS287" s="22"/>
      <c r="CT287" s="22"/>
      <c r="CU287" s="22"/>
    </row>
    <row r="288" spans="1:99" s="31" customFormat="1">
      <c r="A288" s="22"/>
      <c r="B288" s="22"/>
      <c r="C288" s="22"/>
      <c r="D288" s="22"/>
      <c r="E288" s="22"/>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2"/>
      <c r="AP288" s="22"/>
      <c r="AQ288" s="22"/>
      <c r="AR288" s="22"/>
      <c r="AS288" s="22"/>
      <c r="AT288" s="22"/>
      <c r="AU288" s="22"/>
      <c r="AV288" s="22"/>
      <c r="AW288" s="22"/>
      <c r="AX288" s="22"/>
      <c r="AY288" s="22"/>
      <c r="AZ288" s="22"/>
      <c r="BA288" s="22"/>
      <c r="BB288" s="22"/>
      <c r="BC288" s="22"/>
      <c r="BD288" s="22"/>
      <c r="BE288" s="22"/>
      <c r="BF288" s="22"/>
      <c r="BG288" s="22"/>
      <c r="BH288" s="22"/>
      <c r="BI288" s="22"/>
      <c r="BJ288" s="22"/>
      <c r="BK288" s="22"/>
      <c r="BL288" s="22"/>
      <c r="BM288" s="22"/>
      <c r="BN288" s="22"/>
      <c r="BO288" s="22"/>
      <c r="BP288" s="22"/>
      <c r="BQ288" s="22"/>
      <c r="BR288" s="22"/>
      <c r="BS288" s="22"/>
      <c r="BT288" s="22"/>
      <c r="BU288" s="22"/>
      <c r="BV288" s="22"/>
      <c r="BW288" s="22"/>
      <c r="BX288" s="22"/>
      <c r="BY288" s="22"/>
      <c r="BZ288" s="22"/>
      <c r="CA288" s="22"/>
      <c r="CB288" s="22"/>
      <c r="CC288" s="22"/>
      <c r="CD288" s="22"/>
      <c r="CE288" s="22"/>
      <c r="CF288" s="22"/>
      <c r="CG288" s="22"/>
      <c r="CH288" s="22"/>
      <c r="CI288" s="22"/>
      <c r="CJ288" s="22"/>
      <c r="CK288" s="22"/>
      <c r="CL288" s="22"/>
      <c r="CM288" s="22"/>
      <c r="CN288" s="22"/>
      <c r="CO288" s="22"/>
      <c r="CP288" s="22"/>
      <c r="CQ288" s="22"/>
      <c r="CR288" s="22"/>
      <c r="CS288" s="22"/>
      <c r="CT288" s="22"/>
      <c r="CU288" s="22"/>
    </row>
    <row r="289" spans="1:99" s="31" customFormat="1">
      <c r="A289" s="22"/>
      <c r="B289" s="22"/>
      <c r="C289" s="22"/>
      <c r="D289" s="22"/>
      <c r="E289" s="22"/>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2"/>
      <c r="AP289" s="22"/>
      <c r="AQ289" s="22"/>
      <c r="AR289" s="22"/>
      <c r="AS289" s="22"/>
      <c r="AT289" s="22"/>
      <c r="AU289" s="22"/>
      <c r="AV289" s="22"/>
      <c r="AW289" s="22"/>
      <c r="AX289" s="22"/>
      <c r="AY289" s="22"/>
      <c r="AZ289" s="22"/>
      <c r="BA289" s="22"/>
      <c r="BB289" s="22"/>
      <c r="BC289" s="22"/>
      <c r="BD289" s="22"/>
      <c r="BE289" s="22"/>
      <c r="BF289" s="22"/>
      <c r="BG289" s="22"/>
      <c r="BH289" s="22"/>
      <c r="BI289" s="22"/>
      <c r="BJ289" s="22"/>
      <c r="BK289" s="22"/>
      <c r="BL289" s="22"/>
      <c r="BM289" s="22"/>
      <c r="BN289" s="22"/>
      <c r="BO289" s="22"/>
      <c r="BP289" s="22"/>
      <c r="BQ289" s="22"/>
      <c r="BR289" s="22"/>
      <c r="BS289" s="22"/>
      <c r="BT289" s="22"/>
      <c r="BU289" s="22"/>
      <c r="BV289" s="22"/>
      <c r="BW289" s="22"/>
      <c r="BX289" s="22"/>
      <c r="BY289" s="22"/>
      <c r="BZ289" s="22"/>
      <c r="CA289" s="22"/>
      <c r="CB289" s="22"/>
      <c r="CC289" s="22"/>
      <c r="CD289" s="22"/>
      <c r="CE289" s="22"/>
      <c r="CF289" s="22"/>
      <c r="CG289" s="22"/>
      <c r="CH289" s="22"/>
      <c r="CI289" s="22"/>
      <c r="CJ289" s="22"/>
      <c r="CK289" s="22"/>
      <c r="CL289" s="22"/>
      <c r="CM289" s="22"/>
      <c r="CN289" s="22"/>
      <c r="CO289" s="22"/>
      <c r="CP289" s="22"/>
      <c r="CQ289" s="22"/>
      <c r="CR289" s="22"/>
      <c r="CS289" s="22"/>
      <c r="CT289" s="22"/>
      <c r="CU289" s="22"/>
    </row>
    <row r="290" spans="1:99" s="31" customFormat="1">
      <c r="A290" s="22"/>
      <c r="B290" s="22"/>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2"/>
      <c r="AU290" s="22"/>
      <c r="AV290" s="22"/>
      <c r="AW290" s="22"/>
      <c r="AX290" s="22"/>
      <c r="AY290" s="22"/>
      <c r="AZ290" s="22"/>
      <c r="BA290" s="22"/>
      <c r="BB290" s="22"/>
      <c r="BC290" s="22"/>
      <c r="BD290" s="22"/>
      <c r="BE290" s="22"/>
      <c r="BF290" s="22"/>
      <c r="BG290" s="22"/>
      <c r="BH290" s="22"/>
      <c r="BI290" s="22"/>
      <c r="BJ290" s="22"/>
      <c r="BK290" s="22"/>
      <c r="BL290" s="22"/>
      <c r="BM290" s="22"/>
      <c r="BN290" s="22"/>
      <c r="BO290" s="22"/>
      <c r="BP290" s="22"/>
      <c r="BQ290" s="22"/>
      <c r="BR290" s="22"/>
      <c r="BS290" s="22"/>
      <c r="BT290" s="22"/>
      <c r="BU290" s="22"/>
      <c r="BV290" s="22"/>
      <c r="BW290" s="22"/>
      <c r="BX290" s="22"/>
      <c r="BY290" s="22"/>
      <c r="BZ290" s="22"/>
      <c r="CA290" s="22"/>
      <c r="CB290" s="22"/>
      <c r="CC290" s="22"/>
      <c r="CD290" s="22"/>
      <c r="CE290" s="22"/>
      <c r="CF290" s="22"/>
      <c r="CG290" s="22"/>
      <c r="CH290" s="22"/>
      <c r="CI290" s="22"/>
      <c r="CJ290" s="22"/>
      <c r="CK290" s="22"/>
      <c r="CL290" s="22"/>
      <c r="CM290" s="22"/>
      <c r="CN290" s="22"/>
      <c r="CO290" s="22"/>
      <c r="CP290" s="22"/>
      <c r="CQ290" s="22"/>
      <c r="CR290" s="22"/>
      <c r="CS290" s="22"/>
      <c r="CT290" s="22"/>
      <c r="CU290" s="22"/>
    </row>
    <row r="291" spans="1:99" s="31" customFormat="1">
      <c r="A291" s="22"/>
      <c r="B291" s="22"/>
      <c r="C291" s="22"/>
      <c r="D291" s="22"/>
      <c r="E291" s="22"/>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2"/>
      <c r="AP291" s="22"/>
      <c r="AQ291" s="22"/>
      <c r="AR291" s="22"/>
      <c r="AS291" s="22"/>
      <c r="AT291" s="22"/>
      <c r="AU291" s="22"/>
      <c r="AV291" s="22"/>
      <c r="AW291" s="22"/>
      <c r="AX291" s="22"/>
      <c r="AY291" s="22"/>
      <c r="AZ291" s="22"/>
      <c r="BA291" s="22"/>
      <c r="BB291" s="22"/>
      <c r="BC291" s="22"/>
      <c r="BD291" s="22"/>
      <c r="BE291" s="22"/>
      <c r="BF291" s="22"/>
      <c r="BG291" s="22"/>
      <c r="BH291" s="22"/>
      <c r="BI291" s="22"/>
      <c r="BJ291" s="22"/>
      <c r="BK291" s="22"/>
      <c r="BL291" s="22"/>
      <c r="BM291" s="22"/>
      <c r="BN291" s="22"/>
      <c r="BO291" s="22"/>
      <c r="BP291" s="22"/>
      <c r="BQ291" s="22"/>
      <c r="BR291" s="22"/>
      <c r="BS291" s="22"/>
      <c r="BT291" s="22"/>
      <c r="BU291" s="22"/>
      <c r="BV291" s="22"/>
      <c r="BW291" s="22"/>
      <c r="BX291" s="22"/>
      <c r="BY291" s="22"/>
      <c r="BZ291" s="22"/>
      <c r="CA291" s="22"/>
      <c r="CB291" s="22"/>
      <c r="CC291" s="22"/>
      <c r="CD291" s="22"/>
      <c r="CE291" s="22"/>
      <c r="CF291" s="22"/>
      <c r="CG291" s="22"/>
      <c r="CH291" s="22"/>
      <c r="CI291" s="22"/>
      <c r="CJ291" s="22"/>
      <c r="CK291" s="22"/>
      <c r="CL291" s="22"/>
      <c r="CM291" s="22"/>
      <c r="CN291" s="22"/>
      <c r="CO291" s="22"/>
      <c r="CP291" s="22"/>
      <c r="CQ291" s="22"/>
      <c r="CR291" s="22"/>
      <c r="CS291" s="22"/>
      <c r="CT291" s="22"/>
      <c r="CU291" s="22"/>
    </row>
    <row r="292" spans="1:99" s="31" customFormat="1">
      <c r="A292" s="22"/>
      <c r="B292" s="22"/>
      <c r="C292" s="22"/>
      <c r="D292" s="22"/>
      <c r="E292" s="22"/>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c r="AI292" s="22"/>
      <c r="AJ292" s="22"/>
      <c r="AK292" s="22"/>
      <c r="AL292" s="22"/>
      <c r="AM292" s="22"/>
      <c r="AN292" s="22"/>
      <c r="AO292" s="22"/>
      <c r="AP292" s="22"/>
      <c r="AQ292" s="22"/>
      <c r="AR292" s="22"/>
      <c r="AS292" s="22"/>
      <c r="AT292" s="22"/>
      <c r="AU292" s="22"/>
      <c r="AV292" s="22"/>
      <c r="AW292" s="22"/>
      <c r="AX292" s="22"/>
      <c r="AY292" s="22"/>
      <c r="AZ292" s="22"/>
      <c r="BA292" s="22"/>
      <c r="BB292" s="22"/>
      <c r="BC292" s="22"/>
      <c r="BD292" s="22"/>
      <c r="BE292" s="22"/>
      <c r="BF292" s="22"/>
      <c r="BG292" s="22"/>
      <c r="BH292" s="22"/>
      <c r="BI292" s="22"/>
      <c r="BJ292" s="22"/>
      <c r="BK292" s="22"/>
      <c r="BL292" s="22"/>
      <c r="BM292" s="22"/>
      <c r="BN292" s="22"/>
      <c r="BO292" s="22"/>
      <c r="BP292" s="22"/>
      <c r="BQ292" s="22"/>
      <c r="BR292" s="22"/>
      <c r="BS292" s="22"/>
      <c r="BT292" s="22"/>
      <c r="BU292" s="22"/>
      <c r="BV292" s="22"/>
      <c r="BW292" s="22"/>
      <c r="BX292" s="22"/>
      <c r="BY292" s="22"/>
      <c r="BZ292" s="22"/>
      <c r="CA292" s="22"/>
      <c r="CB292" s="22"/>
      <c r="CC292" s="22"/>
      <c r="CD292" s="22"/>
      <c r="CE292" s="22"/>
      <c r="CF292" s="22"/>
      <c r="CG292" s="22"/>
      <c r="CH292" s="22"/>
      <c r="CI292" s="22"/>
      <c r="CJ292" s="22"/>
      <c r="CK292" s="22"/>
      <c r="CL292" s="22"/>
      <c r="CM292" s="22"/>
      <c r="CN292" s="22"/>
      <c r="CO292" s="22"/>
      <c r="CP292" s="22"/>
      <c r="CQ292" s="22"/>
      <c r="CR292" s="22"/>
      <c r="CS292" s="22"/>
      <c r="CT292" s="22"/>
      <c r="CU292" s="22"/>
    </row>
    <row r="293" spans="1:99" s="31" customFormat="1">
      <c r="A293" s="22"/>
      <c r="B293" s="22"/>
      <c r="C293" s="22"/>
      <c r="D293" s="22"/>
      <c r="E293" s="22"/>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c r="AI293" s="22"/>
      <c r="AJ293" s="22"/>
      <c r="AK293" s="22"/>
      <c r="AL293" s="22"/>
      <c r="AM293" s="22"/>
      <c r="AN293" s="22"/>
      <c r="AO293" s="22"/>
      <c r="AP293" s="22"/>
      <c r="AQ293" s="22"/>
      <c r="AR293" s="22"/>
      <c r="AS293" s="22"/>
      <c r="AT293" s="22"/>
      <c r="AU293" s="22"/>
      <c r="AV293" s="22"/>
      <c r="AW293" s="22"/>
      <c r="AX293" s="22"/>
      <c r="AY293" s="22"/>
      <c r="AZ293" s="22"/>
      <c r="BA293" s="22"/>
      <c r="BB293" s="22"/>
      <c r="BC293" s="22"/>
      <c r="BD293" s="22"/>
      <c r="BE293" s="22"/>
      <c r="BF293" s="22"/>
      <c r="BG293" s="22"/>
      <c r="BH293" s="22"/>
      <c r="BI293" s="22"/>
      <c r="BJ293" s="22"/>
      <c r="BK293" s="22"/>
      <c r="BL293" s="22"/>
      <c r="BM293" s="22"/>
      <c r="BN293" s="22"/>
      <c r="BO293" s="22"/>
      <c r="BP293" s="22"/>
      <c r="BQ293" s="22"/>
      <c r="BR293" s="22"/>
      <c r="BS293" s="22"/>
      <c r="BT293" s="22"/>
      <c r="BU293" s="22"/>
      <c r="BV293" s="22"/>
      <c r="BW293" s="22"/>
      <c r="BX293" s="22"/>
      <c r="BY293" s="22"/>
      <c r="BZ293" s="22"/>
      <c r="CA293" s="22"/>
      <c r="CB293" s="22"/>
      <c r="CC293" s="22"/>
      <c r="CD293" s="22"/>
      <c r="CE293" s="22"/>
      <c r="CF293" s="22"/>
      <c r="CG293" s="22"/>
      <c r="CH293" s="22"/>
      <c r="CI293" s="22"/>
      <c r="CJ293" s="22"/>
      <c r="CK293" s="22"/>
      <c r="CL293" s="22"/>
      <c r="CM293" s="22"/>
      <c r="CN293" s="22"/>
      <c r="CO293" s="22"/>
      <c r="CP293" s="22"/>
      <c r="CQ293" s="22"/>
      <c r="CR293" s="22"/>
      <c r="CS293" s="22"/>
      <c r="CT293" s="22"/>
      <c r="CU293" s="22"/>
    </row>
    <row r="294" spans="1:99" s="31" customFormat="1">
      <c r="A294" s="22"/>
      <c r="B294" s="22"/>
      <c r="C294" s="22"/>
      <c r="D294" s="22"/>
      <c r="E294" s="22"/>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c r="AI294" s="22"/>
      <c r="AJ294" s="22"/>
      <c r="AK294" s="22"/>
      <c r="AL294" s="22"/>
      <c r="AM294" s="22"/>
      <c r="AN294" s="22"/>
      <c r="AO294" s="22"/>
      <c r="AP294" s="22"/>
      <c r="AQ294" s="22"/>
      <c r="AR294" s="22"/>
      <c r="AS294" s="22"/>
      <c r="AT294" s="22"/>
      <c r="AU294" s="22"/>
      <c r="AV294" s="22"/>
      <c r="AW294" s="22"/>
      <c r="AX294" s="22"/>
      <c r="AY294" s="22"/>
      <c r="AZ294" s="22"/>
      <c r="BA294" s="22"/>
      <c r="BB294" s="22"/>
      <c r="BC294" s="22"/>
      <c r="BD294" s="22"/>
      <c r="BE294" s="22"/>
      <c r="BF294" s="22"/>
      <c r="BG294" s="22"/>
      <c r="BH294" s="22"/>
      <c r="BI294" s="22"/>
      <c r="BJ294" s="22"/>
      <c r="BK294" s="22"/>
      <c r="BL294" s="22"/>
      <c r="BM294" s="22"/>
      <c r="BN294" s="22"/>
      <c r="BO294" s="22"/>
      <c r="BP294" s="22"/>
      <c r="BQ294" s="22"/>
      <c r="BR294" s="22"/>
      <c r="BS294" s="22"/>
      <c r="BT294" s="22"/>
      <c r="BU294" s="22"/>
      <c r="BV294" s="22"/>
      <c r="BW294" s="22"/>
      <c r="BX294" s="22"/>
      <c r="BY294" s="22"/>
      <c r="BZ294" s="22"/>
      <c r="CA294" s="22"/>
      <c r="CB294" s="22"/>
      <c r="CC294" s="22"/>
      <c r="CD294" s="22"/>
      <c r="CE294" s="22"/>
      <c r="CF294" s="22"/>
      <c r="CG294" s="22"/>
      <c r="CH294" s="22"/>
      <c r="CI294" s="22"/>
      <c r="CJ294" s="22"/>
      <c r="CK294" s="22"/>
      <c r="CL294" s="22"/>
      <c r="CM294" s="22"/>
      <c r="CN294" s="22"/>
      <c r="CO294" s="22"/>
      <c r="CP294" s="22"/>
      <c r="CQ294" s="22"/>
      <c r="CR294" s="22"/>
      <c r="CS294" s="22"/>
      <c r="CT294" s="22"/>
      <c r="CU294" s="22"/>
    </row>
    <row r="295" spans="1:99" s="31" customFormat="1">
      <c r="A295" s="22"/>
      <c r="B295" s="22"/>
      <c r="C295" s="22"/>
      <c r="D295" s="22"/>
      <c r="E295" s="22"/>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c r="AI295" s="22"/>
      <c r="AJ295" s="22"/>
      <c r="AK295" s="22"/>
      <c r="AL295" s="22"/>
      <c r="AM295" s="22"/>
      <c r="AN295" s="22"/>
      <c r="AO295" s="22"/>
      <c r="AP295" s="22"/>
      <c r="AQ295" s="22"/>
      <c r="AR295" s="22"/>
      <c r="AS295" s="22"/>
      <c r="AT295" s="22"/>
      <c r="AU295" s="22"/>
      <c r="AV295" s="22"/>
      <c r="AW295" s="22"/>
      <c r="AX295" s="22"/>
      <c r="AY295" s="22"/>
      <c r="AZ295" s="22"/>
      <c r="BA295" s="22"/>
      <c r="BB295" s="22"/>
      <c r="BC295" s="22"/>
      <c r="BD295" s="22"/>
      <c r="BE295" s="22"/>
      <c r="BF295" s="22"/>
      <c r="BG295" s="22"/>
      <c r="BH295" s="22"/>
      <c r="BI295" s="22"/>
      <c r="BJ295" s="22"/>
      <c r="BK295" s="22"/>
      <c r="BL295" s="22"/>
      <c r="BM295" s="22"/>
      <c r="BN295" s="22"/>
      <c r="BO295" s="22"/>
      <c r="BP295" s="22"/>
      <c r="BQ295" s="22"/>
      <c r="BR295" s="22"/>
      <c r="BS295" s="22"/>
      <c r="BT295" s="22"/>
      <c r="BU295" s="22"/>
      <c r="BV295" s="22"/>
      <c r="BW295" s="22"/>
      <c r="BX295" s="22"/>
      <c r="BY295" s="22"/>
      <c r="BZ295" s="22"/>
      <c r="CA295" s="22"/>
      <c r="CB295" s="22"/>
      <c r="CC295" s="22"/>
      <c r="CD295" s="22"/>
      <c r="CE295" s="22"/>
      <c r="CF295" s="22"/>
      <c r="CG295" s="22"/>
      <c r="CH295" s="22"/>
      <c r="CI295" s="22"/>
      <c r="CJ295" s="22"/>
      <c r="CK295" s="22"/>
      <c r="CL295" s="22"/>
      <c r="CM295" s="22"/>
      <c r="CN295" s="22"/>
      <c r="CO295" s="22"/>
      <c r="CP295" s="22"/>
      <c r="CQ295" s="22"/>
      <c r="CR295" s="22"/>
      <c r="CS295" s="22"/>
      <c r="CT295" s="22"/>
      <c r="CU295" s="22"/>
    </row>
    <row r="296" spans="1:99" s="31" customFormat="1">
      <c r="A296" s="22"/>
      <c r="B296" s="22"/>
      <c r="C296" s="22"/>
      <c r="D296" s="22"/>
      <c r="E296" s="22"/>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c r="AI296" s="22"/>
      <c r="AJ296" s="22"/>
      <c r="AK296" s="22"/>
      <c r="AL296" s="22"/>
      <c r="AM296" s="22"/>
      <c r="AN296" s="22"/>
      <c r="AO296" s="22"/>
      <c r="AP296" s="22"/>
      <c r="AQ296" s="22"/>
      <c r="AR296" s="22"/>
      <c r="AS296" s="22"/>
      <c r="AT296" s="22"/>
      <c r="AU296" s="22"/>
      <c r="AV296" s="22"/>
      <c r="AW296" s="22"/>
      <c r="AX296" s="22"/>
      <c r="AY296" s="22"/>
      <c r="AZ296" s="22"/>
      <c r="BA296" s="22"/>
      <c r="BB296" s="22"/>
      <c r="BC296" s="22"/>
      <c r="BD296" s="22"/>
      <c r="BE296" s="22"/>
      <c r="BF296" s="22"/>
      <c r="BG296" s="22"/>
      <c r="BH296" s="22"/>
      <c r="BI296" s="22"/>
      <c r="BJ296" s="22"/>
      <c r="BK296" s="22"/>
      <c r="BL296" s="22"/>
      <c r="BM296" s="22"/>
      <c r="BN296" s="22"/>
      <c r="BO296" s="22"/>
      <c r="BP296" s="22"/>
      <c r="BQ296" s="22"/>
      <c r="BR296" s="22"/>
      <c r="BS296" s="22"/>
      <c r="BT296" s="22"/>
      <c r="BU296" s="22"/>
      <c r="BV296" s="22"/>
      <c r="BW296" s="22"/>
      <c r="BX296" s="22"/>
      <c r="BY296" s="22"/>
      <c r="BZ296" s="22"/>
      <c r="CA296" s="22"/>
      <c r="CB296" s="22"/>
      <c r="CC296" s="22"/>
      <c r="CD296" s="22"/>
      <c r="CE296" s="22"/>
      <c r="CF296" s="22"/>
      <c r="CG296" s="22"/>
      <c r="CH296" s="22"/>
      <c r="CI296" s="22"/>
      <c r="CJ296" s="22"/>
      <c r="CK296" s="22"/>
      <c r="CL296" s="22"/>
      <c r="CM296" s="22"/>
      <c r="CN296" s="22"/>
      <c r="CO296" s="22"/>
      <c r="CP296" s="22"/>
      <c r="CQ296" s="22"/>
      <c r="CR296" s="22"/>
      <c r="CS296" s="22"/>
      <c r="CT296" s="22"/>
      <c r="CU296" s="22"/>
    </row>
    <row r="297" spans="1:99" s="31" customFormat="1">
      <c r="A297" s="22"/>
      <c r="B297" s="22"/>
      <c r="C297" s="22"/>
      <c r="D297" s="22"/>
      <c r="E297" s="22"/>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c r="AI297" s="22"/>
      <c r="AJ297" s="22"/>
      <c r="AK297" s="22"/>
      <c r="AL297" s="22"/>
      <c r="AM297" s="22"/>
      <c r="AN297" s="22"/>
      <c r="AO297" s="22"/>
      <c r="AP297" s="22"/>
      <c r="AQ297" s="22"/>
      <c r="AR297" s="22"/>
      <c r="AS297" s="22"/>
      <c r="AT297" s="22"/>
      <c r="AU297" s="22"/>
      <c r="AV297" s="22"/>
      <c r="AW297" s="22"/>
      <c r="AX297" s="22"/>
      <c r="AY297" s="22"/>
      <c r="AZ297" s="22"/>
      <c r="BA297" s="22"/>
      <c r="BB297" s="22"/>
      <c r="BC297" s="22"/>
      <c r="BD297" s="22"/>
      <c r="BE297" s="22"/>
      <c r="BF297" s="22"/>
      <c r="BG297" s="22"/>
      <c r="BH297" s="22"/>
      <c r="BI297" s="22"/>
      <c r="BJ297" s="22"/>
      <c r="BK297" s="22"/>
      <c r="BL297" s="22"/>
      <c r="BM297" s="22"/>
      <c r="BN297" s="22"/>
      <c r="BO297" s="22"/>
      <c r="BP297" s="22"/>
      <c r="BQ297" s="22"/>
      <c r="BR297" s="22"/>
      <c r="BS297" s="22"/>
      <c r="BT297" s="22"/>
      <c r="BU297" s="22"/>
      <c r="BV297" s="22"/>
      <c r="BW297" s="22"/>
      <c r="BX297" s="22"/>
      <c r="BY297" s="22"/>
      <c r="BZ297" s="22"/>
      <c r="CA297" s="22"/>
      <c r="CB297" s="22"/>
      <c r="CC297" s="22"/>
      <c r="CD297" s="22"/>
      <c r="CE297" s="22"/>
      <c r="CF297" s="22"/>
      <c r="CG297" s="22"/>
      <c r="CH297" s="22"/>
      <c r="CI297" s="22"/>
      <c r="CJ297" s="22"/>
      <c r="CK297" s="22"/>
      <c r="CL297" s="22"/>
      <c r="CM297" s="22"/>
      <c r="CN297" s="22"/>
      <c r="CO297" s="22"/>
      <c r="CP297" s="22"/>
      <c r="CQ297" s="22"/>
      <c r="CR297" s="22"/>
      <c r="CS297" s="22"/>
      <c r="CT297" s="22"/>
      <c r="CU297" s="22"/>
    </row>
    <row r="298" spans="1:99" s="31" customFormat="1">
      <c r="A298" s="22"/>
      <c r="B298" s="22"/>
      <c r="C298" s="22"/>
      <c r="D298" s="22"/>
      <c r="E298" s="22"/>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c r="AI298" s="22"/>
      <c r="AJ298" s="22"/>
      <c r="AK298" s="22"/>
      <c r="AL298" s="22"/>
      <c r="AM298" s="22"/>
      <c r="AN298" s="22"/>
      <c r="AO298" s="22"/>
      <c r="AP298" s="22"/>
      <c r="AQ298" s="22"/>
      <c r="AR298" s="22"/>
      <c r="AS298" s="22"/>
      <c r="AT298" s="22"/>
      <c r="AU298" s="22"/>
      <c r="AV298" s="22"/>
      <c r="AW298" s="22"/>
      <c r="AX298" s="22"/>
      <c r="AY298" s="22"/>
      <c r="AZ298" s="22"/>
      <c r="BA298" s="22"/>
      <c r="BB298" s="22"/>
      <c r="BC298" s="22"/>
      <c r="BD298" s="22"/>
      <c r="BE298" s="22"/>
      <c r="BF298" s="22"/>
      <c r="BG298" s="22"/>
      <c r="BH298" s="22"/>
      <c r="BI298" s="22"/>
      <c r="BJ298" s="22"/>
      <c r="BK298" s="22"/>
      <c r="BL298" s="22"/>
      <c r="BM298" s="22"/>
      <c r="BN298" s="22"/>
      <c r="BO298" s="22"/>
      <c r="BP298" s="22"/>
      <c r="BQ298" s="22"/>
      <c r="BR298" s="22"/>
      <c r="BS298" s="22"/>
      <c r="BT298" s="22"/>
      <c r="BU298" s="22"/>
      <c r="BV298" s="22"/>
      <c r="BW298" s="22"/>
      <c r="BX298" s="22"/>
      <c r="BY298" s="22"/>
      <c r="BZ298" s="22"/>
      <c r="CA298" s="22"/>
      <c r="CB298" s="22"/>
      <c r="CC298" s="22"/>
      <c r="CD298" s="22"/>
      <c r="CE298" s="22"/>
      <c r="CF298" s="22"/>
      <c r="CG298" s="22"/>
      <c r="CH298" s="22"/>
      <c r="CI298" s="22"/>
      <c r="CJ298" s="22"/>
      <c r="CK298" s="22"/>
      <c r="CL298" s="22"/>
      <c r="CM298" s="22"/>
      <c r="CN298" s="22"/>
      <c r="CO298" s="22"/>
      <c r="CP298" s="22"/>
      <c r="CQ298" s="22"/>
      <c r="CR298" s="22"/>
      <c r="CS298" s="22"/>
      <c r="CT298" s="22"/>
      <c r="CU298" s="22"/>
    </row>
    <row r="299" spans="1:99" s="31" customFormat="1">
      <c r="A299" s="22"/>
      <c r="B299" s="22"/>
      <c r="C299" s="22"/>
      <c r="D299" s="22"/>
      <c r="E299" s="22"/>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c r="AV299" s="22"/>
      <c r="AW299" s="22"/>
      <c r="AX299" s="22"/>
      <c r="AY299" s="22"/>
      <c r="AZ299" s="22"/>
      <c r="BA299" s="22"/>
      <c r="BB299" s="22"/>
      <c r="BC299" s="22"/>
      <c r="BD299" s="22"/>
      <c r="BE299" s="22"/>
      <c r="BF299" s="22"/>
      <c r="BG299" s="22"/>
      <c r="BH299" s="22"/>
      <c r="BI299" s="22"/>
      <c r="BJ299" s="22"/>
      <c r="BK299" s="22"/>
      <c r="BL299" s="22"/>
      <c r="BM299" s="22"/>
      <c r="BN299" s="22"/>
      <c r="BO299" s="22"/>
      <c r="BP299" s="22"/>
      <c r="BQ299" s="22"/>
      <c r="BR299" s="22"/>
      <c r="BS299" s="22"/>
      <c r="BT299" s="22"/>
      <c r="BU299" s="22"/>
      <c r="BV299" s="22"/>
      <c r="BW299" s="22"/>
      <c r="BX299" s="22"/>
      <c r="BY299" s="22"/>
      <c r="BZ299" s="22"/>
      <c r="CA299" s="22"/>
      <c r="CB299" s="22"/>
      <c r="CC299" s="22"/>
      <c r="CD299" s="22"/>
      <c r="CE299" s="22"/>
      <c r="CF299" s="22"/>
      <c r="CG299" s="22"/>
      <c r="CH299" s="22"/>
      <c r="CI299" s="22"/>
      <c r="CJ299" s="22"/>
      <c r="CK299" s="22"/>
      <c r="CL299" s="22"/>
      <c r="CM299" s="22"/>
      <c r="CN299" s="22"/>
      <c r="CO299" s="22"/>
      <c r="CP299" s="22"/>
      <c r="CQ299" s="22"/>
      <c r="CR299" s="22"/>
      <c r="CS299" s="22"/>
      <c r="CT299" s="22"/>
      <c r="CU299" s="22"/>
    </row>
    <row r="300" spans="1:99" s="31" customFormat="1">
      <c r="A300" s="22"/>
      <c r="B300" s="22"/>
      <c r="C300" s="22"/>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row>
    <row r="301" spans="1:99" s="31" customFormat="1">
      <c r="A301" s="22"/>
      <c r="B301" s="22"/>
      <c r="C301" s="22"/>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row>
    <row r="302" spans="1:99" s="31" customFormat="1">
      <c r="A302" s="22"/>
      <c r="B302" s="22"/>
      <c r="C302" s="22"/>
      <c r="D302" s="22"/>
      <c r="E302" s="22"/>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c r="AI302" s="22"/>
      <c r="AJ302" s="22"/>
      <c r="AK302" s="22"/>
      <c r="AL302" s="22"/>
      <c r="AM302" s="22"/>
      <c r="AN302" s="22"/>
      <c r="AO302" s="22"/>
      <c r="AP302" s="22"/>
      <c r="AQ302" s="22"/>
      <c r="AR302" s="22"/>
      <c r="AS302" s="22"/>
      <c r="AT302" s="22"/>
      <c r="AU302" s="22"/>
      <c r="AV302" s="22"/>
      <c r="AW302" s="22"/>
      <c r="AX302" s="22"/>
      <c r="AY302" s="22"/>
      <c r="AZ302" s="22"/>
      <c r="BA302" s="22"/>
      <c r="BB302" s="22"/>
      <c r="BC302" s="22"/>
      <c r="BD302" s="22"/>
      <c r="BE302" s="22"/>
      <c r="BF302" s="22"/>
      <c r="BG302" s="22"/>
      <c r="BH302" s="22"/>
      <c r="BI302" s="22"/>
      <c r="BJ302" s="22"/>
      <c r="BK302" s="22"/>
      <c r="BL302" s="22"/>
      <c r="BM302" s="22"/>
      <c r="BN302" s="22"/>
      <c r="BO302" s="22"/>
      <c r="BP302" s="22"/>
      <c r="BQ302" s="22"/>
      <c r="BR302" s="22"/>
      <c r="BS302" s="22"/>
      <c r="BT302" s="22"/>
      <c r="BU302" s="22"/>
      <c r="BV302" s="22"/>
      <c r="BW302" s="22"/>
      <c r="BX302" s="22"/>
      <c r="BY302" s="22"/>
      <c r="BZ302" s="22"/>
      <c r="CA302" s="22"/>
      <c r="CB302" s="22"/>
      <c r="CC302" s="22"/>
      <c r="CD302" s="22"/>
      <c r="CE302" s="22"/>
      <c r="CF302" s="22"/>
      <c r="CG302" s="22"/>
      <c r="CH302" s="22"/>
      <c r="CI302" s="22"/>
      <c r="CJ302" s="22"/>
      <c r="CK302" s="22"/>
      <c r="CL302" s="22"/>
      <c r="CM302" s="22"/>
      <c r="CN302" s="22"/>
      <c r="CO302" s="22"/>
      <c r="CP302" s="22"/>
      <c r="CQ302" s="22"/>
      <c r="CR302" s="22"/>
      <c r="CS302" s="22"/>
      <c r="CT302" s="22"/>
      <c r="CU302" s="22"/>
    </row>
    <row r="303" spans="1:99" s="31" customFormat="1">
      <c r="A303" s="22"/>
      <c r="B303" s="22"/>
      <c r="C303" s="22"/>
      <c r="D303" s="22"/>
      <c r="E303" s="22"/>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c r="AI303" s="22"/>
      <c r="AJ303" s="22"/>
      <c r="AK303" s="22"/>
      <c r="AL303" s="22"/>
      <c r="AM303" s="22"/>
      <c r="AN303" s="22"/>
      <c r="AO303" s="22"/>
      <c r="AP303" s="22"/>
      <c r="AQ303" s="22"/>
      <c r="AR303" s="22"/>
      <c r="AS303" s="22"/>
      <c r="AT303" s="22"/>
      <c r="AU303" s="22"/>
      <c r="AV303" s="22"/>
      <c r="AW303" s="22"/>
      <c r="AX303" s="22"/>
      <c r="AY303" s="22"/>
      <c r="AZ303" s="22"/>
      <c r="BA303" s="22"/>
      <c r="BB303" s="22"/>
      <c r="BC303" s="22"/>
      <c r="BD303" s="22"/>
      <c r="BE303" s="22"/>
      <c r="BF303" s="22"/>
      <c r="BG303" s="22"/>
      <c r="BH303" s="22"/>
      <c r="BI303" s="22"/>
      <c r="BJ303" s="22"/>
      <c r="BK303" s="22"/>
      <c r="BL303" s="22"/>
      <c r="BM303" s="22"/>
      <c r="BN303" s="22"/>
      <c r="BO303" s="22"/>
      <c r="BP303" s="22"/>
      <c r="BQ303" s="22"/>
      <c r="BR303" s="22"/>
      <c r="BS303" s="22"/>
      <c r="BT303" s="22"/>
      <c r="BU303" s="22"/>
      <c r="BV303" s="22"/>
      <c r="BW303" s="22"/>
      <c r="BX303" s="22"/>
      <c r="BY303" s="22"/>
      <c r="BZ303" s="22"/>
      <c r="CA303" s="22"/>
      <c r="CB303" s="22"/>
      <c r="CC303" s="22"/>
      <c r="CD303" s="22"/>
      <c r="CE303" s="22"/>
      <c r="CF303" s="22"/>
      <c r="CG303" s="22"/>
      <c r="CH303" s="22"/>
      <c r="CI303" s="22"/>
      <c r="CJ303" s="22"/>
      <c r="CK303" s="22"/>
      <c r="CL303" s="22"/>
      <c r="CM303" s="22"/>
      <c r="CN303" s="22"/>
      <c r="CO303" s="22"/>
      <c r="CP303" s="22"/>
      <c r="CQ303" s="22"/>
      <c r="CR303" s="22"/>
      <c r="CS303" s="22"/>
      <c r="CT303" s="22"/>
      <c r="CU303" s="22"/>
    </row>
    <row r="304" spans="1:99" s="31" customFormat="1">
      <c r="A304" s="22"/>
      <c r="B304" s="22"/>
      <c r="C304" s="22"/>
      <c r="D304" s="22"/>
      <c r="E304" s="22"/>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c r="AI304" s="22"/>
      <c r="AJ304" s="22"/>
      <c r="AK304" s="22"/>
      <c r="AL304" s="22"/>
      <c r="AM304" s="22"/>
      <c r="AN304" s="22"/>
      <c r="AO304" s="22"/>
      <c r="AP304" s="22"/>
      <c r="AQ304" s="22"/>
      <c r="AR304" s="22"/>
      <c r="AS304" s="22"/>
      <c r="AT304" s="22"/>
      <c r="AU304" s="22"/>
      <c r="AV304" s="22"/>
      <c r="AW304" s="22"/>
      <c r="AX304" s="22"/>
      <c r="AY304" s="22"/>
      <c r="AZ304" s="22"/>
      <c r="BA304" s="22"/>
      <c r="BB304" s="22"/>
      <c r="BC304" s="22"/>
      <c r="BD304" s="22"/>
      <c r="BE304" s="22"/>
      <c r="BF304" s="22"/>
      <c r="BG304" s="22"/>
      <c r="BH304" s="22"/>
      <c r="BI304" s="22"/>
      <c r="BJ304" s="22"/>
      <c r="BK304" s="22"/>
      <c r="BL304" s="22"/>
      <c r="BM304" s="22"/>
      <c r="BN304" s="22"/>
      <c r="BO304" s="22"/>
      <c r="BP304" s="22"/>
      <c r="BQ304" s="22"/>
      <c r="BR304" s="22"/>
      <c r="BS304" s="22"/>
      <c r="BT304" s="22"/>
      <c r="BU304" s="22"/>
      <c r="BV304" s="22"/>
      <c r="BW304" s="22"/>
      <c r="BX304" s="22"/>
      <c r="BY304" s="22"/>
      <c r="BZ304" s="22"/>
      <c r="CA304" s="22"/>
      <c r="CB304" s="22"/>
      <c r="CC304" s="22"/>
      <c r="CD304" s="22"/>
      <c r="CE304" s="22"/>
      <c r="CF304" s="22"/>
      <c r="CG304" s="22"/>
      <c r="CH304" s="22"/>
      <c r="CI304" s="22"/>
      <c r="CJ304" s="22"/>
      <c r="CK304" s="22"/>
      <c r="CL304" s="22"/>
      <c r="CM304" s="22"/>
      <c r="CN304" s="22"/>
      <c r="CO304" s="22"/>
      <c r="CP304" s="22"/>
      <c r="CQ304" s="22"/>
      <c r="CR304" s="22"/>
      <c r="CS304" s="22"/>
      <c r="CT304" s="22"/>
      <c r="CU304" s="22"/>
    </row>
    <row r="305" spans="1:99" s="31" customFormat="1">
      <c r="A305" s="22"/>
      <c r="B305" s="22"/>
      <c r="C305" s="22"/>
      <c r="D305" s="22"/>
      <c r="E305" s="22"/>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c r="AZ305" s="22"/>
      <c r="BA305" s="22"/>
      <c r="BB305" s="22"/>
      <c r="BC305" s="22"/>
      <c r="BD305" s="22"/>
      <c r="BE305" s="22"/>
      <c r="BF305" s="22"/>
      <c r="BG305" s="22"/>
      <c r="BH305" s="22"/>
      <c r="BI305" s="22"/>
      <c r="BJ305" s="22"/>
      <c r="BK305" s="22"/>
      <c r="BL305" s="22"/>
      <c r="BM305" s="22"/>
      <c r="BN305" s="22"/>
      <c r="BO305" s="22"/>
      <c r="BP305" s="22"/>
      <c r="BQ305" s="22"/>
      <c r="BR305" s="22"/>
      <c r="BS305" s="22"/>
      <c r="BT305" s="22"/>
      <c r="BU305" s="22"/>
      <c r="BV305" s="22"/>
      <c r="BW305" s="22"/>
      <c r="BX305" s="22"/>
      <c r="BY305" s="22"/>
      <c r="BZ305" s="22"/>
      <c r="CA305" s="22"/>
      <c r="CB305" s="22"/>
      <c r="CC305" s="22"/>
      <c r="CD305" s="22"/>
      <c r="CE305" s="22"/>
      <c r="CF305" s="22"/>
      <c r="CG305" s="22"/>
      <c r="CH305" s="22"/>
      <c r="CI305" s="22"/>
      <c r="CJ305" s="22"/>
      <c r="CK305" s="22"/>
      <c r="CL305" s="22"/>
      <c r="CM305" s="22"/>
      <c r="CN305" s="22"/>
      <c r="CO305" s="22"/>
      <c r="CP305" s="22"/>
      <c r="CQ305" s="22"/>
      <c r="CR305" s="22"/>
      <c r="CS305" s="22"/>
      <c r="CT305" s="22"/>
      <c r="CU305" s="22"/>
    </row>
    <row r="306" spans="1:99" s="31" customFormat="1">
      <c r="A306" s="22"/>
      <c r="B306" s="22"/>
      <c r="C306" s="22"/>
      <c r="D306" s="22"/>
      <c r="E306" s="22"/>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c r="AI306" s="22"/>
      <c r="AJ306" s="22"/>
      <c r="AK306" s="22"/>
      <c r="AL306" s="22"/>
      <c r="AM306" s="22"/>
      <c r="AN306" s="22"/>
      <c r="AO306" s="22"/>
      <c r="AP306" s="22"/>
      <c r="AQ306" s="22"/>
      <c r="AR306" s="22"/>
      <c r="AS306" s="22"/>
      <c r="AT306" s="22"/>
      <c r="AU306" s="22"/>
      <c r="AV306" s="22"/>
      <c r="AW306" s="22"/>
      <c r="AX306" s="22"/>
      <c r="AY306" s="22"/>
      <c r="AZ306" s="22"/>
      <c r="BA306" s="22"/>
      <c r="BB306" s="22"/>
      <c r="BC306" s="22"/>
      <c r="BD306" s="22"/>
      <c r="BE306" s="22"/>
      <c r="BF306" s="22"/>
      <c r="BG306" s="22"/>
      <c r="BH306" s="22"/>
      <c r="BI306" s="22"/>
      <c r="BJ306" s="22"/>
      <c r="BK306" s="22"/>
      <c r="BL306" s="22"/>
      <c r="BM306" s="22"/>
      <c r="BN306" s="22"/>
      <c r="BO306" s="22"/>
      <c r="BP306" s="22"/>
      <c r="BQ306" s="22"/>
      <c r="BR306" s="22"/>
      <c r="BS306" s="22"/>
      <c r="BT306" s="22"/>
      <c r="BU306" s="22"/>
      <c r="BV306" s="22"/>
      <c r="BW306" s="22"/>
      <c r="BX306" s="22"/>
      <c r="BY306" s="22"/>
      <c r="BZ306" s="22"/>
      <c r="CA306" s="22"/>
      <c r="CB306" s="22"/>
      <c r="CC306" s="22"/>
      <c r="CD306" s="22"/>
      <c r="CE306" s="22"/>
      <c r="CF306" s="22"/>
      <c r="CG306" s="22"/>
      <c r="CH306" s="22"/>
      <c r="CI306" s="22"/>
      <c r="CJ306" s="22"/>
      <c r="CK306" s="22"/>
      <c r="CL306" s="22"/>
      <c r="CM306" s="22"/>
      <c r="CN306" s="22"/>
      <c r="CO306" s="22"/>
      <c r="CP306" s="22"/>
      <c r="CQ306" s="22"/>
      <c r="CR306" s="22"/>
      <c r="CS306" s="22"/>
      <c r="CT306" s="22"/>
      <c r="CU306" s="22"/>
    </row>
    <row r="307" spans="1:99" s="31" customFormat="1">
      <c r="A307" s="22"/>
      <c r="B307" s="22"/>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2"/>
      <c r="AU307" s="22"/>
      <c r="AV307" s="22"/>
      <c r="AW307" s="22"/>
      <c r="AX307" s="22"/>
      <c r="AY307" s="22"/>
      <c r="AZ307" s="22"/>
      <c r="BA307" s="22"/>
      <c r="BB307" s="22"/>
      <c r="BC307" s="22"/>
      <c r="BD307" s="22"/>
      <c r="BE307" s="22"/>
      <c r="BF307" s="22"/>
      <c r="BG307" s="22"/>
      <c r="BH307" s="22"/>
      <c r="BI307" s="22"/>
      <c r="BJ307" s="22"/>
      <c r="BK307" s="22"/>
      <c r="BL307" s="22"/>
      <c r="BM307" s="22"/>
      <c r="BN307" s="22"/>
      <c r="BO307" s="22"/>
      <c r="BP307" s="22"/>
      <c r="BQ307" s="22"/>
      <c r="BR307" s="22"/>
      <c r="BS307" s="22"/>
      <c r="BT307" s="22"/>
      <c r="BU307" s="22"/>
      <c r="BV307" s="22"/>
      <c r="BW307" s="22"/>
      <c r="BX307" s="22"/>
      <c r="BY307" s="22"/>
      <c r="BZ307" s="22"/>
      <c r="CA307" s="22"/>
      <c r="CB307" s="22"/>
      <c r="CC307" s="22"/>
      <c r="CD307" s="22"/>
      <c r="CE307" s="22"/>
      <c r="CF307" s="22"/>
      <c r="CG307" s="22"/>
      <c r="CH307" s="22"/>
      <c r="CI307" s="22"/>
      <c r="CJ307" s="22"/>
      <c r="CK307" s="22"/>
      <c r="CL307" s="22"/>
      <c r="CM307" s="22"/>
      <c r="CN307" s="22"/>
      <c r="CO307" s="22"/>
      <c r="CP307" s="22"/>
      <c r="CQ307" s="22"/>
      <c r="CR307" s="22"/>
      <c r="CS307" s="22"/>
      <c r="CT307" s="22"/>
      <c r="CU307" s="22"/>
    </row>
    <row r="308" spans="1:99" s="31" customFormat="1">
      <c r="A308" s="22"/>
      <c r="B308" s="22"/>
      <c r="C308" s="22"/>
      <c r="D308" s="22"/>
      <c r="E308" s="22"/>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c r="AI308" s="22"/>
      <c r="AJ308" s="22"/>
      <c r="AK308" s="22"/>
      <c r="AL308" s="22"/>
      <c r="AM308" s="22"/>
      <c r="AN308" s="22"/>
      <c r="AO308" s="22"/>
      <c r="AP308" s="22"/>
      <c r="AQ308" s="22"/>
      <c r="AR308" s="22"/>
      <c r="AS308" s="22"/>
      <c r="AT308" s="22"/>
      <c r="AU308" s="22"/>
      <c r="AV308" s="22"/>
      <c r="AW308" s="22"/>
      <c r="AX308" s="22"/>
      <c r="AY308" s="22"/>
      <c r="AZ308" s="22"/>
      <c r="BA308" s="22"/>
      <c r="BB308" s="22"/>
      <c r="BC308" s="22"/>
      <c r="BD308" s="22"/>
      <c r="BE308" s="22"/>
      <c r="BF308" s="22"/>
      <c r="BG308" s="22"/>
      <c r="BH308" s="22"/>
      <c r="BI308" s="22"/>
      <c r="BJ308" s="22"/>
      <c r="BK308" s="22"/>
      <c r="BL308" s="22"/>
      <c r="BM308" s="22"/>
      <c r="BN308" s="22"/>
      <c r="BO308" s="22"/>
      <c r="BP308" s="22"/>
      <c r="BQ308" s="22"/>
      <c r="BR308" s="22"/>
      <c r="BS308" s="22"/>
      <c r="BT308" s="22"/>
      <c r="BU308" s="22"/>
      <c r="BV308" s="22"/>
      <c r="BW308" s="22"/>
      <c r="BX308" s="22"/>
      <c r="BY308" s="22"/>
      <c r="BZ308" s="22"/>
      <c r="CA308" s="22"/>
      <c r="CB308" s="22"/>
      <c r="CC308" s="22"/>
      <c r="CD308" s="22"/>
      <c r="CE308" s="22"/>
      <c r="CF308" s="22"/>
      <c r="CG308" s="22"/>
      <c r="CH308" s="22"/>
      <c r="CI308" s="22"/>
      <c r="CJ308" s="22"/>
      <c r="CK308" s="22"/>
      <c r="CL308" s="22"/>
      <c r="CM308" s="22"/>
      <c r="CN308" s="22"/>
      <c r="CO308" s="22"/>
      <c r="CP308" s="22"/>
      <c r="CQ308" s="22"/>
      <c r="CR308" s="22"/>
      <c r="CS308" s="22"/>
      <c r="CT308" s="22"/>
      <c r="CU308" s="22"/>
    </row>
    <row r="309" spans="1:99" s="31" customFormat="1">
      <c r="A309" s="22"/>
      <c r="B309" s="22"/>
      <c r="C309" s="22"/>
      <c r="D309" s="22"/>
      <c r="E309" s="22"/>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c r="AI309" s="22"/>
      <c r="AJ309" s="22"/>
      <c r="AK309" s="22"/>
      <c r="AL309" s="22"/>
      <c r="AM309" s="22"/>
      <c r="AN309" s="22"/>
      <c r="AO309" s="22"/>
      <c r="AP309" s="22"/>
      <c r="AQ309" s="22"/>
      <c r="AR309" s="22"/>
      <c r="AS309" s="22"/>
      <c r="AT309" s="22"/>
      <c r="AU309" s="22"/>
      <c r="AV309" s="22"/>
      <c r="AW309" s="22"/>
      <c r="AX309" s="22"/>
      <c r="AY309" s="22"/>
      <c r="AZ309" s="22"/>
      <c r="BA309" s="22"/>
      <c r="BB309" s="22"/>
      <c r="BC309" s="22"/>
      <c r="BD309" s="22"/>
      <c r="BE309" s="22"/>
      <c r="BF309" s="22"/>
      <c r="BG309" s="22"/>
      <c r="BH309" s="22"/>
      <c r="BI309" s="22"/>
      <c r="BJ309" s="22"/>
      <c r="BK309" s="22"/>
      <c r="BL309" s="22"/>
      <c r="BM309" s="22"/>
      <c r="BN309" s="22"/>
      <c r="BO309" s="22"/>
      <c r="BP309" s="22"/>
      <c r="BQ309" s="22"/>
      <c r="BR309" s="22"/>
      <c r="BS309" s="22"/>
      <c r="BT309" s="22"/>
      <c r="BU309" s="22"/>
      <c r="BV309" s="22"/>
      <c r="BW309" s="22"/>
      <c r="BX309" s="22"/>
      <c r="BY309" s="22"/>
      <c r="BZ309" s="22"/>
      <c r="CA309" s="22"/>
      <c r="CB309" s="22"/>
      <c r="CC309" s="22"/>
      <c r="CD309" s="22"/>
      <c r="CE309" s="22"/>
      <c r="CF309" s="22"/>
      <c r="CG309" s="22"/>
      <c r="CH309" s="22"/>
      <c r="CI309" s="22"/>
      <c r="CJ309" s="22"/>
      <c r="CK309" s="22"/>
      <c r="CL309" s="22"/>
      <c r="CM309" s="22"/>
      <c r="CN309" s="22"/>
      <c r="CO309" s="22"/>
      <c r="CP309" s="22"/>
      <c r="CQ309" s="22"/>
      <c r="CR309" s="22"/>
      <c r="CS309" s="22"/>
      <c r="CT309" s="22"/>
      <c r="CU309" s="22"/>
    </row>
    <row r="310" spans="1:99" s="31" customFormat="1">
      <c r="A310" s="22"/>
      <c r="B310" s="22"/>
      <c r="C310" s="22"/>
      <c r="D310" s="22"/>
      <c r="E310" s="22"/>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c r="AI310" s="22"/>
      <c r="AJ310" s="22"/>
      <c r="AK310" s="22"/>
      <c r="AL310" s="22"/>
      <c r="AM310" s="22"/>
      <c r="AN310" s="22"/>
      <c r="AO310" s="22"/>
      <c r="AP310" s="22"/>
      <c r="AQ310" s="22"/>
      <c r="AR310" s="22"/>
      <c r="AS310" s="22"/>
      <c r="AT310" s="22"/>
      <c r="AU310" s="22"/>
      <c r="AV310" s="22"/>
      <c r="AW310" s="22"/>
      <c r="AX310" s="22"/>
      <c r="AY310" s="22"/>
      <c r="AZ310" s="22"/>
      <c r="BA310" s="22"/>
      <c r="BB310" s="22"/>
      <c r="BC310" s="22"/>
      <c r="BD310" s="22"/>
      <c r="BE310" s="22"/>
      <c r="BF310" s="22"/>
      <c r="BG310" s="22"/>
      <c r="BH310" s="22"/>
      <c r="BI310" s="22"/>
      <c r="BJ310" s="22"/>
      <c r="BK310" s="22"/>
      <c r="BL310" s="22"/>
      <c r="BM310" s="22"/>
      <c r="BN310" s="22"/>
      <c r="BO310" s="22"/>
      <c r="BP310" s="22"/>
      <c r="BQ310" s="22"/>
      <c r="BR310" s="22"/>
      <c r="BS310" s="22"/>
      <c r="BT310" s="22"/>
      <c r="BU310" s="22"/>
      <c r="BV310" s="22"/>
      <c r="BW310" s="22"/>
      <c r="BX310" s="22"/>
      <c r="BY310" s="22"/>
      <c r="BZ310" s="22"/>
      <c r="CA310" s="22"/>
      <c r="CB310" s="22"/>
      <c r="CC310" s="22"/>
      <c r="CD310" s="22"/>
      <c r="CE310" s="22"/>
      <c r="CF310" s="22"/>
      <c r="CG310" s="22"/>
      <c r="CH310" s="22"/>
      <c r="CI310" s="22"/>
      <c r="CJ310" s="22"/>
      <c r="CK310" s="22"/>
      <c r="CL310" s="22"/>
      <c r="CM310" s="22"/>
      <c r="CN310" s="22"/>
      <c r="CO310" s="22"/>
      <c r="CP310" s="22"/>
      <c r="CQ310" s="22"/>
      <c r="CR310" s="22"/>
      <c r="CS310" s="22"/>
      <c r="CT310" s="22"/>
      <c r="CU310" s="22"/>
    </row>
    <row r="311" spans="1:99" s="31" customFormat="1">
      <c r="A311" s="22"/>
      <c r="B311" s="22"/>
      <c r="C311" s="22"/>
      <c r="D311" s="22"/>
      <c r="E311" s="22"/>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c r="AI311" s="22"/>
      <c r="AJ311" s="22"/>
      <c r="AK311" s="22"/>
      <c r="AL311" s="22"/>
      <c r="AM311" s="22"/>
      <c r="AN311" s="22"/>
      <c r="AO311" s="22"/>
      <c r="AP311" s="22"/>
      <c r="AQ311" s="22"/>
      <c r="AR311" s="22"/>
      <c r="AS311" s="22"/>
      <c r="AT311" s="22"/>
      <c r="AU311" s="22"/>
      <c r="AV311" s="22"/>
      <c r="AW311" s="22"/>
      <c r="AX311" s="22"/>
      <c r="AY311" s="22"/>
      <c r="AZ311" s="22"/>
      <c r="BA311" s="22"/>
      <c r="BB311" s="22"/>
      <c r="BC311" s="22"/>
      <c r="BD311" s="22"/>
      <c r="BE311" s="22"/>
      <c r="BF311" s="22"/>
      <c r="BG311" s="22"/>
      <c r="BH311" s="22"/>
      <c r="BI311" s="22"/>
      <c r="BJ311" s="22"/>
      <c r="BK311" s="22"/>
      <c r="BL311" s="22"/>
      <c r="BM311" s="22"/>
      <c r="BN311" s="22"/>
      <c r="BO311" s="22"/>
      <c r="BP311" s="22"/>
      <c r="BQ311" s="22"/>
      <c r="BR311" s="22"/>
      <c r="BS311" s="22"/>
      <c r="BT311" s="22"/>
      <c r="BU311" s="22"/>
      <c r="BV311" s="22"/>
      <c r="BW311" s="22"/>
      <c r="BX311" s="22"/>
      <c r="BY311" s="22"/>
      <c r="BZ311" s="22"/>
      <c r="CA311" s="22"/>
      <c r="CB311" s="22"/>
      <c r="CC311" s="22"/>
      <c r="CD311" s="22"/>
      <c r="CE311" s="22"/>
      <c r="CF311" s="22"/>
      <c r="CG311" s="22"/>
      <c r="CH311" s="22"/>
      <c r="CI311" s="22"/>
      <c r="CJ311" s="22"/>
      <c r="CK311" s="22"/>
      <c r="CL311" s="22"/>
      <c r="CM311" s="22"/>
      <c r="CN311" s="22"/>
      <c r="CO311" s="22"/>
      <c r="CP311" s="22"/>
      <c r="CQ311" s="22"/>
      <c r="CR311" s="22"/>
      <c r="CS311" s="22"/>
      <c r="CT311" s="22"/>
      <c r="CU311" s="22"/>
    </row>
    <row r="312" spans="1:99" s="31" customFormat="1">
      <c r="A312" s="22"/>
      <c r="B312" s="22"/>
      <c r="C312" s="22"/>
      <c r="D312" s="22"/>
      <c r="E312" s="22"/>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c r="AI312" s="22"/>
      <c r="AJ312" s="22"/>
      <c r="AK312" s="22"/>
      <c r="AL312" s="22"/>
      <c r="AM312" s="22"/>
      <c r="AN312" s="22"/>
      <c r="AO312" s="22"/>
      <c r="AP312" s="22"/>
      <c r="AQ312" s="22"/>
      <c r="AR312" s="22"/>
      <c r="AS312" s="22"/>
      <c r="AT312" s="22"/>
      <c r="AU312" s="22"/>
      <c r="AV312" s="22"/>
      <c r="AW312" s="22"/>
      <c r="AX312" s="22"/>
      <c r="AY312" s="22"/>
      <c r="AZ312" s="22"/>
      <c r="BA312" s="22"/>
      <c r="BB312" s="22"/>
      <c r="BC312" s="22"/>
      <c r="BD312" s="22"/>
      <c r="BE312" s="22"/>
      <c r="BF312" s="22"/>
      <c r="BG312" s="22"/>
      <c r="BH312" s="22"/>
      <c r="BI312" s="22"/>
      <c r="BJ312" s="22"/>
      <c r="BK312" s="22"/>
      <c r="BL312" s="22"/>
      <c r="BM312" s="22"/>
      <c r="BN312" s="22"/>
      <c r="BO312" s="22"/>
      <c r="BP312" s="22"/>
      <c r="BQ312" s="22"/>
      <c r="BR312" s="22"/>
      <c r="BS312" s="22"/>
      <c r="BT312" s="22"/>
      <c r="BU312" s="22"/>
      <c r="BV312" s="22"/>
      <c r="BW312" s="22"/>
      <c r="BX312" s="22"/>
      <c r="BY312" s="22"/>
      <c r="BZ312" s="22"/>
      <c r="CA312" s="22"/>
      <c r="CB312" s="22"/>
      <c r="CC312" s="22"/>
      <c r="CD312" s="22"/>
      <c r="CE312" s="22"/>
      <c r="CF312" s="22"/>
      <c r="CG312" s="22"/>
      <c r="CH312" s="22"/>
      <c r="CI312" s="22"/>
      <c r="CJ312" s="22"/>
      <c r="CK312" s="22"/>
      <c r="CL312" s="22"/>
      <c r="CM312" s="22"/>
      <c r="CN312" s="22"/>
      <c r="CO312" s="22"/>
      <c r="CP312" s="22"/>
      <c r="CQ312" s="22"/>
      <c r="CR312" s="22"/>
      <c r="CS312" s="22"/>
      <c r="CT312" s="22"/>
      <c r="CU312" s="22"/>
    </row>
    <row r="313" spans="1:99" s="31" customFormat="1">
      <c r="A313" s="22"/>
      <c r="B313" s="22"/>
      <c r="C313" s="22"/>
      <c r="D313" s="22"/>
      <c r="E313" s="22"/>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c r="AI313" s="22"/>
      <c r="AJ313" s="22"/>
      <c r="AK313" s="22"/>
      <c r="AL313" s="22"/>
      <c r="AM313" s="22"/>
      <c r="AN313" s="22"/>
      <c r="AO313" s="22"/>
      <c r="AP313" s="22"/>
      <c r="AQ313" s="22"/>
      <c r="AR313" s="22"/>
      <c r="AS313" s="22"/>
      <c r="AT313" s="22"/>
      <c r="AU313" s="22"/>
      <c r="AV313" s="22"/>
      <c r="AW313" s="22"/>
      <c r="AX313" s="22"/>
      <c r="AY313" s="22"/>
      <c r="AZ313" s="22"/>
      <c r="BA313" s="22"/>
      <c r="BB313" s="22"/>
      <c r="BC313" s="22"/>
      <c r="BD313" s="22"/>
      <c r="BE313" s="22"/>
      <c r="BF313" s="22"/>
      <c r="BG313" s="22"/>
      <c r="BH313" s="22"/>
      <c r="BI313" s="22"/>
      <c r="BJ313" s="22"/>
      <c r="BK313" s="22"/>
      <c r="BL313" s="22"/>
      <c r="BM313" s="22"/>
      <c r="BN313" s="22"/>
      <c r="BO313" s="22"/>
      <c r="BP313" s="22"/>
      <c r="BQ313" s="22"/>
      <c r="BR313" s="22"/>
      <c r="BS313" s="22"/>
      <c r="BT313" s="22"/>
      <c r="BU313" s="22"/>
      <c r="BV313" s="22"/>
      <c r="BW313" s="22"/>
      <c r="BX313" s="22"/>
      <c r="BY313" s="22"/>
      <c r="BZ313" s="22"/>
      <c r="CA313" s="22"/>
      <c r="CB313" s="22"/>
      <c r="CC313" s="22"/>
      <c r="CD313" s="22"/>
      <c r="CE313" s="22"/>
      <c r="CF313" s="22"/>
      <c r="CG313" s="22"/>
      <c r="CH313" s="22"/>
      <c r="CI313" s="22"/>
      <c r="CJ313" s="22"/>
      <c r="CK313" s="22"/>
      <c r="CL313" s="22"/>
      <c r="CM313" s="22"/>
      <c r="CN313" s="22"/>
      <c r="CO313" s="22"/>
      <c r="CP313" s="22"/>
      <c r="CQ313" s="22"/>
      <c r="CR313" s="22"/>
      <c r="CS313" s="22"/>
      <c r="CT313" s="22"/>
      <c r="CU313" s="22"/>
    </row>
    <row r="314" spans="1:99" s="31" customFormat="1">
      <c r="A314" s="22"/>
      <c r="B314" s="22"/>
      <c r="C314" s="22"/>
      <c r="D314" s="22"/>
      <c r="E314" s="22"/>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c r="AZ314" s="22"/>
      <c r="BA314" s="22"/>
      <c r="BB314" s="22"/>
      <c r="BC314" s="22"/>
      <c r="BD314" s="22"/>
      <c r="BE314" s="22"/>
      <c r="BF314" s="22"/>
      <c r="BG314" s="22"/>
      <c r="BH314" s="22"/>
      <c r="BI314" s="22"/>
      <c r="BJ314" s="22"/>
      <c r="BK314" s="22"/>
      <c r="BL314" s="22"/>
      <c r="BM314" s="22"/>
      <c r="BN314" s="22"/>
      <c r="BO314" s="22"/>
      <c r="BP314" s="22"/>
      <c r="BQ314" s="22"/>
      <c r="BR314" s="22"/>
      <c r="BS314" s="22"/>
      <c r="BT314" s="22"/>
      <c r="BU314" s="22"/>
      <c r="BV314" s="22"/>
      <c r="BW314" s="22"/>
      <c r="BX314" s="22"/>
      <c r="BY314" s="22"/>
      <c r="BZ314" s="22"/>
      <c r="CA314" s="22"/>
      <c r="CB314" s="22"/>
      <c r="CC314" s="22"/>
      <c r="CD314" s="22"/>
      <c r="CE314" s="22"/>
      <c r="CF314" s="22"/>
      <c r="CG314" s="22"/>
      <c r="CH314" s="22"/>
      <c r="CI314" s="22"/>
      <c r="CJ314" s="22"/>
      <c r="CK314" s="22"/>
      <c r="CL314" s="22"/>
      <c r="CM314" s="22"/>
      <c r="CN314" s="22"/>
      <c r="CO314" s="22"/>
      <c r="CP314" s="22"/>
      <c r="CQ314" s="22"/>
      <c r="CR314" s="22"/>
      <c r="CS314" s="22"/>
      <c r="CT314" s="22"/>
      <c r="CU314" s="22"/>
    </row>
    <row r="315" spans="1:99" s="31" customFormat="1">
      <c r="A315" s="22"/>
      <c r="B315" s="22"/>
      <c r="C315" s="22"/>
      <c r="D315" s="22"/>
      <c r="E315" s="22"/>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c r="AI315" s="22"/>
      <c r="AJ315" s="22"/>
      <c r="AK315" s="22"/>
      <c r="AL315" s="22"/>
      <c r="AM315" s="22"/>
      <c r="AN315" s="22"/>
      <c r="AO315" s="22"/>
      <c r="AP315" s="22"/>
      <c r="AQ315" s="22"/>
      <c r="AR315" s="22"/>
      <c r="AS315" s="22"/>
      <c r="AT315" s="22"/>
      <c r="AU315" s="22"/>
      <c r="AV315" s="22"/>
      <c r="AW315" s="22"/>
      <c r="AX315" s="22"/>
      <c r="AY315" s="22"/>
      <c r="AZ315" s="22"/>
      <c r="BA315" s="22"/>
      <c r="BB315" s="22"/>
      <c r="BC315" s="22"/>
      <c r="BD315" s="22"/>
      <c r="BE315" s="22"/>
      <c r="BF315" s="22"/>
      <c r="BG315" s="22"/>
      <c r="BH315" s="22"/>
      <c r="BI315" s="22"/>
      <c r="BJ315" s="22"/>
      <c r="BK315" s="22"/>
      <c r="BL315" s="22"/>
      <c r="BM315" s="22"/>
      <c r="BN315" s="22"/>
      <c r="BO315" s="22"/>
      <c r="BP315" s="22"/>
      <c r="BQ315" s="22"/>
      <c r="BR315" s="22"/>
      <c r="BS315" s="22"/>
      <c r="BT315" s="22"/>
      <c r="BU315" s="22"/>
      <c r="BV315" s="22"/>
      <c r="BW315" s="22"/>
      <c r="BX315" s="22"/>
      <c r="BY315" s="22"/>
      <c r="BZ315" s="22"/>
      <c r="CA315" s="22"/>
      <c r="CB315" s="22"/>
      <c r="CC315" s="22"/>
      <c r="CD315" s="22"/>
      <c r="CE315" s="22"/>
      <c r="CF315" s="22"/>
      <c r="CG315" s="22"/>
      <c r="CH315" s="22"/>
      <c r="CI315" s="22"/>
      <c r="CJ315" s="22"/>
      <c r="CK315" s="22"/>
      <c r="CL315" s="22"/>
      <c r="CM315" s="22"/>
      <c r="CN315" s="22"/>
      <c r="CO315" s="22"/>
      <c r="CP315" s="22"/>
      <c r="CQ315" s="22"/>
      <c r="CR315" s="22"/>
      <c r="CS315" s="22"/>
      <c r="CT315" s="22"/>
      <c r="CU315" s="22"/>
    </row>
    <row r="316" spans="1:99" s="31" customFormat="1">
      <c r="A316" s="22"/>
      <c r="B316" s="22"/>
      <c r="C316" s="22"/>
      <c r="D316" s="22"/>
      <c r="E316" s="22"/>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c r="AI316" s="22"/>
      <c r="AJ316" s="22"/>
      <c r="AK316" s="22"/>
      <c r="AL316" s="22"/>
      <c r="AM316" s="22"/>
      <c r="AN316" s="22"/>
      <c r="AO316" s="22"/>
      <c r="AP316" s="22"/>
      <c r="AQ316" s="22"/>
      <c r="AR316" s="22"/>
      <c r="AS316" s="22"/>
      <c r="AT316" s="22"/>
      <c r="AU316" s="22"/>
      <c r="AV316" s="22"/>
      <c r="AW316" s="22"/>
      <c r="AX316" s="22"/>
      <c r="AY316" s="22"/>
      <c r="AZ316" s="22"/>
      <c r="BA316" s="22"/>
      <c r="BB316" s="22"/>
      <c r="BC316" s="22"/>
      <c r="BD316" s="22"/>
      <c r="BE316" s="22"/>
      <c r="BF316" s="22"/>
      <c r="BG316" s="22"/>
      <c r="BH316" s="22"/>
      <c r="BI316" s="22"/>
      <c r="BJ316" s="22"/>
      <c r="BK316" s="22"/>
      <c r="BL316" s="22"/>
      <c r="BM316" s="22"/>
      <c r="BN316" s="22"/>
      <c r="BO316" s="22"/>
      <c r="BP316" s="22"/>
      <c r="BQ316" s="22"/>
      <c r="BR316" s="22"/>
      <c r="BS316" s="22"/>
      <c r="BT316" s="22"/>
      <c r="BU316" s="22"/>
      <c r="BV316" s="22"/>
      <c r="BW316" s="22"/>
      <c r="BX316" s="22"/>
      <c r="BY316" s="22"/>
      <c r="BZ316" s="22"/>
      <c r="CA316" s="22"/>
      <c r="CB316" s="22"/>
      <c r="CC316" s="22"/>
      <c r="CD316" s="22"/>
      <c r="CE316" s="22"/>
      <c r="CF316" s="22"/>
      <c r="CG316" s="22"/>
      <c r="CH316" s="22"/>
      <c r="CI316" s="22"/>
      <c r="CJ316" s="22"/>
      <c r="CK316" s="22"/>
      <c r="CL316" s="22"/>
      <c r="CM316" s="22"/>
      <c r="CN316" s="22"/>
      <c r="CO316" s="22"/>
      <c r="CP316" s="22"/>
      <c r="CQ316" s="22"/>
      <c r="CR316" s="22"/>
      <c r="CS316" s="22"/>
      <c r="CT316" s="22"/>
      <c r="CU316" s="22"/>
    </row>
    <row r="317" spans="1:99" s="31" customFormat="1">
      <c r="A317" s="22"/>
      <c r="B317" s="22"/>
      <c r="C317" s="22"/>
      <c r="D317" s="22"/>
      <c r="E317" s="22"/>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c r="AI317" s="22"/>
      <c r="AJ317" s="22"/>
      <c r="AK317" s="22"/>
      <c r="AL317" s="22"/>
      <c r="AM317" s="22"/>
      <c r="AN317" s="22"/>
      <c r="AO317" s="22"/>
      <c r="AP317" s="22"/>
      <c r="AQ317" s="22"/>
      <c r="AR317" s="22"/>
      <c r="AS317" s="22"/>
      <c r="AT317" s="22"/>
      <c r="AU317" s="22"/>
      <c r="AV317" s="22"/>
      <c r="AW317" s="22"/>
      <c r="AX317" s="22"/>
      <c r="AY317" s="22"/>
      <c r="AZ317" s="22"/>
      <c r="BA317" s="22"/>
      <c r="BB317" s="22"/>
      <c r="BC317" s="22"/>
      <c r="BD317" s="22"/>
      <c r="BE317" s="22"/>
      <c r="BF317" s="22"/>
      <c r="BG317" s="22"/>
      <c r="BH317" s="22"/>
      <c r="BI317" s="22"/>
      <c r="BJ317" s="22"/>
      <c r="BK317" s="22"/>
      <c r="BL317" s="22"/>
      <c r="BM317" s="22"/>
      <c r="BN317" s="22"/>
      <c r="BO317" s="22"/>
      <c r="BP317" s="22"/>
      <c r="BQ317" s="22"/>
      <c r="BR317" s="22"/>
      <c r="BS317" s="22"/>
      <c r="BT317" s="22"/>
      <c r="BU317" s="22"/>
      <c r="BV317" s="22"/>
      <c r="BW317" s="22"/>
      <c r="BX317" s="22"/>
      <c r="BY317" s="22"/>
      <c r="BZ317" s="22"/>
      <c r="CA317" s="22"/>
      <c r="CB317" s="22"/>
      <c r="CC317" s="22"/>
      <c r="CD317" s="22"/>
      <c r="CE317" s="22"/>
      <c r="CF317" s="22"/>
      <c r="CG317" s="22"/>
      <c r="CH317" s="22"/>
      <c r="CI317" s="22"/>
      <c r="CJ317" s="22"/>
      <c r="CK317" s="22"/>
      <c r="CL317" s="22"/>
      <c r="CM317" s="22"/>
      <c r="CN317" s="22"/>
      <c r="CO317" s="22"/>
      <c r="CP317" s="22"/>
      <c r="CQ317" s="22"/>
      <c r="CR317" s="22"/>
      <c r="CS317" s="22"/>
      <c r="CT317" s="22"/>
      <c r="CU317" s="22"/>
    </row>
    <row r="318" spans="1:99" s="31" customFormat="1">
      <c r="A318" s="22"/>
      <c r="B318" s="22"/>
      <c r="C318" s="22"/>
      <c r="D318" s="22"/>
      <c r="E318" s="22"/>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c r="AZ318" s="22"/>
      <c r="BA318" s="22"/>
      <c r="BB318" s="22"/>
      <c r="BC318" s="22"/>
      <c r="BD318" s="22"/>
      <c r="BE318" s="22"/>
      <c r="BF318" s="22"/>
      <c r="BG318" s="22"/>
      <c r="BH318" s="22"/>
      <c r="BI318" s="22"/>
      <c r="BJ318" s="22"/>
      <c r="BK318" s="22"/>
      <c r="BL318" s="22"/>
      <c r="BM318" s="22"/>
      <c r="BN318" s="22"/>
      <c r="BO318" s="22"/>
      <c r="BP318" s="22"/>
      <c r="BQ318" s="22"/>
      <c r="BR318" s="22"/>
      <c r="BS318" s="22"/>
      <c r="BT318" s="22"/>
      <c r="BU318" s="22"/>
      <c r="BV318" s="22"/>
      <c r="BW318" s="22"/>
      <c r="BX318" s="22"/>
      <c r="BY318" s="22"/>
      <c r="BZ318" s="22"/>
      <c r="CA318" s="22"/>
      <c r="CB318" s="22"/>
      <c r="CC318" s="22"/>
      <c r="CD318" s="22"/>
      <c r="CE318" s="22"/>
      <c r="CF318" s="22"/>
      <c r="CG318" s="22"/>
      <c r="CH318" s="22"/>
      <c r="CI318" s="22"/>
      <c r="CJ318" s="22"/>
      <c r="CK318" s="22"/>
      <c r="CL318" s="22"/>
      <c r="CM318" s="22"/>
      <c r="CN318" s="22"/>
      <c r="CO318" s="22"/>
      <c r="CP318" s="22"/>
      <c r="CQ318" s="22"/>
      <c r="CR318" s="22"/>
      <c r="CS318" s="22"/>
      <c r="CT318" s="22"/>
      <c r="CU318" s="22"/>
    </row>
    <row r="319" spans="1:99" s="31" customFormat="1">
      <c r="A319" s="22"/>
      <c r="B319" s="22"/>
      <c r="C319" s="22"/>
      <c r="D319" s="22"/>
      <c r="E319" s="22"/>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c r="AZ319" s="22"/>
      <c r="BA319" s="22"/>
      <c r="BB319" s="22"/>
      <c r="BC319" s="22"/>
      <c r="BD319" s="22"/>
      <c r="BE319" s="22"/>
      <c r="BF319" s="22"/>
      <c r="BG319" s="22"/>
      <c r="BH319" s="22"/>
      <c r="BI319" s="22"/>
      <c r="BJ319" s="22"/>
      <c r="BK319" s="22"/>
      <c r="BL319" s="22"/>
      <c r="BM319" s="22"/>
      <c r="BN319" s="22"/>
      <c r="BO319" s="22"/>
      <c r="BP319" s="22"/>
      <c r="BQ319" s="22"/>
      <c r="BR319" s="22"/>
      <c r="BS319" s="22"/>
      <c r="BT319" s="22"/>
      <c r="BU319" s="22"/>
      <c r="BV319" s="22"/>
      <c r="BW319" s="22"/>
      <c r="BX319" s="22"/>
      <c r="BY319" s="22"/>
      <c r="BZ319" s="22"/>
      <c r="CA319" s="22"/>
      <c r="CB319" s="22"/>
      <c r="CC319" s="22"/>
      <c r="CD319" s="22"/>
      <c r="CE319" s="22"/>
      <c r="CF319" s="22"/>
      <c r="CG319" s="22"/>
      <c r="CH319" s="22"/>
      <c r="CI319" s="22"/>
      <c r="CJ319" s="22"/>
      <c r="CK319" s="22"/>
      <c r="CL319" s="22"/>
      <c r="CM319" s="22"/>
      <c r="CN319" s="22"/>
      <c r="CO319" s="22"/>
      <c r="CP319" s="22"/>
      <c r="CQ319" s="22"/>
      <c r="CR319" s="22"/>
      <c r="CS319" s="22"/>
      <c r="CT319" s="22"/>
      <c r="CU319" s="22"/>
    </row>
    <row r="320" spans="1:99" s="31" customFormat="1">
      <c r="A320" s="22"/>
      <c r="B320" s="22"/>
      <c r="C320" s="22"/>
      <c r="D320" s="22"/>
      <c r="E320" s="22"/>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c r="AZ320" s="22"/>
      <c r="BA320" s="22"/>
      <c r="BB320" s="22"/>
      <c r="BC320" s="22"/>
      <c r="BD320" s="22"/>
      <c r="BE320" s="22"/>
      <c r="BF320" s="22"/>
      <c r="BG320" s="22"/>
      <c r="BH320" s="22"/>
      <c r="BI320" s="22"/>
      <c r="BJ320" s="22"/>
      <c r="BK320" s="22"/>
      <c r="BL320" s="22"/>
      <c r="BM320" s="22"/>
      <c r="BN320" s="22"/>
      <c r="BO320" s="22"/>
      <c r="BP320" s="22"/>
      <c r="BQ320" s="22"/>
      <c r="BR320" s="22"/>
      <c r="BS320" s="22"/>
      <c r="BT320" s="22"/>
      <c r="BU320" s="22"/>
      <c r="BV320" s="22"/>
      <c r="BW320" s="22"/>
      <c r="BX320" s="22"/>
      <c r="BY320" s="22"/>
      <c r="BZ320" s="22"/>
      <c r="CA320" s="22"/>
      <c r="CB320" s="22"/>
      <c r="CC320" s="22"/>
      <c r="CD320" s="22"/>
      <c r="CE320" s="22"/>
      <c r="CF320" s="22"/>
      <c r="CG320" s="22"/>
      <c r="CH320" s="22"/>
      <c r="CI320" s="22"/>
      <c r="CJ320" s="22"/>
      <c r="CK320" s="22"/>
      <c r="CL320" s="22"/>
      <c r="CM320" s="22"/>
      <c r="CN320" s="22"/>
      <c r="CO320" s="22"/>
      <c r="CP320" s="22"/>
      <c r="CQ320" s="22"/>
      <c r="CR320" s="22"/>
      <c r="CS320" s="22"/>
      <c r="CT320" s="22"/>
      <c r="CU320" s="22"/>
    </row>
    <row r="321" spans="1:99" s="31" customFormat="1">
      <c r="A321" s="22"/>
      <c r="B321" s="22"/>
      <c r="C321" s="22"/>
      <c r="D321" s="22"/>
      <c r="E321" s="22"/>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c r="AZ321" s="22"/>
      <c r="BA321" s="22"/>
      <c r="BB321" s="22"/>
      <c r="BC321" s="22"/>
      <c r="BD321" s="22"/>
      <c r="BE321" s="22"/>
      <c r="BF321" s="22"/>
      <c r="BG321" s="22"/>
      <c r="BH321" s="22"/>
      <c r="BI321" s="22"/>
      <c r="BJ321" s="22"/>
      <c r="BK321" s="22"/>
      <c r="BL321" s="22"/>
      <c r="BM321" s="22"/>
      <c r="BN321" s="22"/>
      <c r="BO321" s="22"/>
      <c r="BP321" s="22"/>
      <c r="BQ321" s="22"/>
      <c r="BR321" s="22"/>
      <c r="BS321" s="22"/>
      <c r="BT321" s="22"/>
      <c r="BU321" s="22"/>
      <c r="BV321" s="22"/>
      <c r="BW321" s="22"/>
      <c r="BX321" s="22"/>
      <c r="BY321" s="22"/>
      <c r="BZ321" s="22"/>
      <c r="CA321" s="22"/>
      <c r="CB321" s="22"/>
      <c r="CC321" s="22"/>
      <c r="CD321" s="22"/>
      <c r="CE321" s="22"/>
      <c r="CF321" s="22"/>
      <c r="CG321" s="22"/>
      <c r="CH321" s="22"/>
      <c r="CI321" s="22"/>
      <c r="CJ321" s="22"/>
      <c r="CK321" s="22"/>
      <c r="CL321" s="22"/>
      <c r="CM321" s="22"/>
      <c r="CN321" s="22"/>
      <c r="CO321" s="22"/>
      <c r="CP321" s="22"/>
      <c r="CQ321" s="22"/>
      <c r="CR321" s="22"/>
      <c r="CS321" s="22"/>
      <c r="CT321" s="22"/>
      <c r="CU321" s="22"/>
    </row>
    <row r="322" spans="1:99" s="31" customFormat="1">
      <c r="A322" s="22"/>
      <c r="B322" s="22"/>
      <c r="C322" s="22"/>
      <c r="D322" s="22"/>
      <c r="E322" s="22"/>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c r="AI322" s="22"/>
      <c r="AJ322" s="22"/>
      <c r="AK322" s="22"/>
      <c r="AL322" s="22"/>
      <c r="AM322" s="22"/>
      <c r="AN322" s="22"/>
      <c r="AO322" s="22"/>
      <c r="AP322" s="22"/>
      <c r="AQ322" s="22"/>
      <c r="AR322" s="22"/>
      <c r="AS322" s="22"/>
      <c r="AT322" s="22"/>
      <c r="AU322" s="22"/>
      <c r="AV322" s="22"/>
      <c r="AW322" s="22"/>
      <c r="AX322" s="22"/>
      <c r="AY322" s="22"/>
      <c r="AZ322" s="22"/>
      <c r="BA322" s="22"/>
      <c r="BB322" s="22"/>
      <c r="BC322" s="22"/>
      <c r="BD322" s="22"/>
      <c r="BE322" s="22"/>
      <c r="BF322" s="22"/>
      <c r="BG322" s="22"/>
      <c r="BH322" s="22"/>
      <c r="BI322" s="22"/>
      <c r="BJ322" s="22"/>
      <c r="BK322" s="22"/>
      <c r="BL322" s="22"/>
      <c r="BM322" s="22"/>
      <c r="BN322" s="22"/>
      <c r="BO322" s="22"/>
      <c r="BP322" s="22"/>
      <c r="BQ322" s="22"/>
      <c r="BR322" s="22"/>
      <c r="BS322" s="22"/>
      <c r="BT322" s="22"/>
      <c r="BU322" s="22"/>
      <c r="BV322" s="22"/>
      <c r="BW322" s="22"/>
      <c r="BX322" s="22"/>
      <c r="BY322" s="22"/>
      <c r="BZ322" s="22"/>
      <c r="CA322" s="22"/>
      <c r="CB322" s="22"/>
      <c r="CC322" s="22"/>
      <c r="CD322" s="22"/>
      <c r="CE322" s="22"/>
      <c r="CF322" s="22"/>
      <c r="CG322" s="22"/>
      <c r="CH322" s="22"/>
      <c r="CI322" s="22"/>
      <c r="CJ322" s="22"/>
      <c r="CK322" s="22"/>
      <c r="CL322" s="22"/>
      <c r="CM322" s="22"/>
      <c r="CN322" s="22"/>
      <c r="CO322" s="22"/>
      <c r="CP322" s="22"/>
      <c r="CQ322" s="22"/>
      <c r="CR322" s="22"/>
      <c r="CS322" s="22"/>
      <c r="CT322" s="22"/>
      <c r="CU322" s="22"/>
    </row>
    <row r="323" spans="1:99" s="31" customFormat="1">
      <c r="A323" s="22"/>
      <c r="B323" s="22"/>
      <c r="C323" s="22"/>
      <c r="D323" s="22"/>
      <c r="E323" s="22"/>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c r="AI323" s="22"/>
      <c r="AJ323" s="22"/>
      <c r="AK323" s="22"/>
      <c r="AL323" s="22"/>
      <c r="AM323" s="22"/>
      <c r="AN323" s="22"/>
      <c r="AO323" s="22"/>
      <c r="AP323" s="22"/>
      <c r="AQ323" s="22"/>
      <c r="AR323" s="22"/>
      <c r="AS323" s="22"/>
      <c r="AT323" s="22"/>
      <c r="AU323" s="22"/>
      <c r="AV323" s="22"/>
      <c r="AW323" s="22"/>
      <c r="AX323" s="22"/>
      <c r="AY323" s="22"/>
      <c r="AZ323" s="22"/>
      <c r="BA323" s="22"/>
      <c r="BB323" s="22"/>
      <c r="BC323" s="22"/>
      <c r="BD323" s="22"/>
      <c r="BE323" s="22"/>
      <c r="BF323" s="22"/>
      <c r="BG323" s="22"/>
      <c r="BH323" s="22"/>
      <c r="BI323" s="22"/>
      <c r="BJ323" s="22"/>
      <c r="BK323" s="22"/>
      <c r="BL323" s="22"/>
      <c r="BM323" s="22"/>
      <c r="BN323" s="22"/>
      <c r="BO323" s="22"/>
      <c r="BP323" s="22"/>
      <c r="BQ323" s="22"/>
      <c r="BR323" s="22"/>
      <c r="BS323" s="22"/>
      <c r="BT323" s="22"/>
      <c r="BU323" s="22"/>
      <c r="BV323" s="22"/>
      <c r="BW323" s="22"/>
      <c r="BX323" s="22"/>
      <c r="BY323" s="22"/>
      <c r="BZ323" s="22"/>
      <c r="CA323" s="22"/>
      <c r="CB323" s="22"/>
      <c r="CC323" s="22"/>
      <c r="CD323" s="22"/>
      <c r="CE323" s="22"/>
      <c r="CF323" s="22"/>
      <c r="CG323" s="22"/>
      <c r="CH323" s="22"/>
      <c r="CI323" s="22"/>
      <c r="CJ323" s="22"/>
      <c r="CK323" s="22"/>
      <c r="CL323" s="22"/>
      <c r="CM323" s="22"/>
      <c r="CN323" s="22"/>
      <c r="CO323" s="22"/>
      <c r="CP323" s="22"/>
      <c r="CQ323" s="22"/>
      <c r="CR323" s="22"/>
      <c r="CS323" s="22"/>
      <c r="CT323" s="22"/>
      <c r="CU323" s="22"/>
    </row>
    <row r="324" spans="1:99" s="31" customFormat="1">
      <c r="A324" s="22"/>
      <c r="B324" s="22"/>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2"/>
      <c r="AU324" s="22"/>
      <c r="AV324" s="22"/>
      <c r="AW324" s="22"/>
      <c r="AX324" s="22"/>
      <c r="AY324" s="22"/>
      <c r="AZ324" s="22"/>
      <c r="BA324" s="22"/>
      <c r="BB324" s="22"/>
      <c r="BC324" s="22"/>
      <c r="BD324" s="22"/>
      <c r="BE324" s="22"/>
      <c r="BF324" s="22"/>
      <c r="BG324" s="22"/>
      <c r="BH324" s="22"/>
      <c r="BI324" s="22"/>
      <c r="BJ324" s="22"/>
      <c r="BK324" s="22"/>
      <c r="BL324" s="22"/>
      <c r="BM324" s="22"/>
      <c r="BN324" s="22"/>
      <c r="BO324" s="22"/>
      <c r="BP324" s="22"/>
      <c r="BQ324" s="22"/>
      <c r="BR324" s="22"/>
      <c r="BS324" s="22"/>
      <c r="BT324" s="22"/>
      <c r="BU324" s="22"/>
      <c r="BV324" s="22"/>
      <c r="BW324" s="22"/>
      <c r="BX324" s="22"/>
      <c r="BY324" s="22"/>
      <c r="BZ324" s="22"/>
      <c r="CA324" s="22"/>
      <c r="CB324" s="22"/>
      <c r="CC324" s="22"/>
      <c r="CD324" s="22"/>
      <c r="CE324" s="22"/>
      <c r="CF324" s="22"/>
      <c r="CG324" s="22"/>
      <c r="CH324" s="22"/>
      <c r="CI324" s="22"/>
      <c r="CJ324" s="22"/>
      <c r="CK324" s="22"/>
      <c r="CL324" s="22"/>
      <c r="CM324" s="22"/>
      <c r="CN324" s="22"/>
      <c r="CO324" s="22"/>
      <c r="CP324" s="22"/>
      <c r="CQ324" s="22"/>
      <c r="CR324" s="22"/>
      <c r="CS324" s="22"/>
      <c r="CT324" s="22"/>
      <c r="CU324" s="22"/>
    </row>
    <row r="325" spans="1:99" s="31" customFormat="1">
      <c r="A325" s="22"/>
      <c r="B325" s="22"/>
      <c r="C325" s="22"/>
      <c r="D325" s="22"/>
      <c r="E325" s="22"/>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2"/>
      <c r="AI325" s="22"/>
      <c r="AJ325" s="22"/>
      <c r="AK325" s="22"/>
      <c r="AL325" s="22"/>
      <c r="AM325" s="22"/>
      <c r="AN325" s="22"/>
      <c r="AO325" s="22"/>
      <c r="AP325" s="22"/>
      <c r="AQ325" s="22"/>
      <c r="AR325" s="22"/>
      <c r="AS325" s="22"/>
      <c r="AT325" s="22"/>
      <c r="AU325" s="22"/>
      <c r="AV325" s="22"/>
      <c r="AW325" s="22"/>
      <c r="AX325" s="22"/>
      <c r="AY325" s="22"/>
      <c r="AZ325" s="22"/>
      <c r="BA325" s="22"/>
      <c r="BB325" s="22"/>
      <c r="BC325" s="22"/>
      <c r="BD325" s="22"/>
      <c r="BE325" s="22"/>
      <c r="BF325" s="22"/>
      <c r="BG325" s="22"/>
      <c r="BH325" s="22"/>
      <c r="BI325" s="22"/>
      <c r="BJ325" s="22"/>
      <c r="BK325" s="22"/>
      <c r="BL325" s="22"/>
      <c r="BM325" s="22"/>
      <c r="BN325" s="22"/>
      <c r="BO325" s="22"/>
      <c r="BP325" s="22"/>
      <c r="BQ325" s="22"/>
      <c r="BR325" s="22"/>
      <c r="BS325" s="22"/>
      <c r="BT325" s="22"/>
      <c r="BU325" s="22"/>
      <c r="BV325" s="22"/>
      <c r="BW325" s="22"/>
      <c r="BX325" s="22"/>
      <c r="BY325" s="22"/>
      <c r="BZ325" s="22"/>
      <c r="CA325" s="22"/>
      <c r="CB325" s="22"/>
      <c r="CC325" s="22"/>
      <c r="CD325" s="22"/>
      <c r="CE325" s="22"/>
      <c r="CF325" s="22"/>
      <c r="CG325" s="22"/>
      <c r="CH325" s="22"/>
      <c r="CI325" s="22"/>
      <c r="CJ325" s="22"/>
      <c r="CK325" s="22"/>
      <c r="CL325" s="22"/>
      <c r="CM325" s="22"/>
      <c r="CN325" s="22"/>
      <c r="CO325" s="22"/>
      <c r="CP325" s="22"/>
      <c r="CQ325" s="22"/>
      <c r="CR325" s="22"/>
      <c r="CS325" s="22"/>
      <c r="CT325" s="22"/>
      <c r="CU325" s="22"/>
    </row>
    <row r="326" spans="1:99" s="31" customFormat="1">
      <c r="A326" s="22"/>
      <c r="B326" s="22"/>
      <c r="C326" s="22"/>
      <c r="D326" s="22"/>
      <c r="E326" s="22"/>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c r="AI326" s="22"/>
      <c r="AJ326" s="22"/>
      <c r="AK326" s="22"/>
      <c r="AL326" s="22"/>
      <c r="AM326" s="22"/>
      <c r="AN326" s="22"/>
      <c r="AO326" s="22"/>
      <c r="AP326" s="22"/>
      <c r="AQ326" s="22"/>
      <c r="AR326" s="22"/>
      <c r="AS326" s="22"/>
      <c r="AT326" s="22"/>
      <c r="AU326" s="22"/>
      <c r="AV326" s="22"/>
      <c r="AW326" s="22"/>
      <c r="AX326" s="22"/>
      <c r="AY326" s="22"/>
      <c r="AZ326" s="22"/>
      <c r="BA326" s="22"/>
      <c r="BB326" s="22"/>
      <c r="BC326" s="22"/>
      <c r="BD326" s="22"/>
      <c r="BE326" s="22"/>
      <c r="BF326" s="22"/>
      <c r="BG326" s="22"/>
      <c r="BH326" s="22"/>
      <c r="BI326" s="22"/>
      <c r="BJ326" s="22"/>
      <c r="BK326" s="22"/>
      <c r="BL326" s="22"/>
      <c r="BM326" s="22"/>
      <c r="BN326" s="22"/>
      <c r="BO326" s="22"/>
      <c r="BP326" s="22"/>
      <c r="BQ326" s="22"/>
      <c r="BR326" s="22"/>
      <c r="BS326" s="22"/>
      <c r="BT326" s="22"/>
      <c r="BU326" s="22"/>
      <c r="BV326" s="22"/>
      <c r="BW326" s="22"/>
      <c r="BX326" s="22"/>
      <c r="BY326" s="22"/>
      <c r="BZ326" s="22"/>
      <c r="CA326" s="22"/>
      <c r="CB326" s="22"/>
      <c r="CC326" s="22"/>
      <c r="CD326" s="22"/>
      <c r="CE326" s="22"/>
      <c r="CF326" s="22"/>
      <c r="CG326" s="22"/>
      <c r="CH326" s="22"/>
      <c r="CI326" s="22"/>
      <c r="CJ326" s="22"/>
      <c r="CK326" s="22"/>
      <c r="CL326" s="22"/>
      <c r="CM326" s="22"/>
      <c r="CN326" s="22"/>
      <c r="CO326" s="22"/>
      <c r="CP326" s="22"/>
      <c r="CQ326" s="22"/>
      <c r="CR326" s="22"/>
      <c r="CS326" s="22"/>
      <c r="CT326" s="22"/>
      <c r="CU326" s="22"/>
    </row>
    <row r="327" spans="1:99" s="31" customFormat="1">
      <c r="A327" s="22"/>
      <c r="B327" s="22"/>
      <c r="C327" s="22"/>
      <c r="D327" s="22"/>
      <c r="E327" s="22"/>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c r="AD327" s="22"/>
      <c r="AE327" s="22"/>
      <c r="AF327" s="22"/>
      <c r="AG327" s="22"/>
      <c r="AH327" s="22"/>
      <c r="AI327" s="22"/>
      <c r="AJ327" s="22"/>
      <c r="AK327" s="22"/>
      <c r="AL327" s="22"/>
      <c r="AM327" s="22"/>
      <c r="AN327" s="22"/>
      <c r="AO327" s="22"/>
      <c r="AP327" s="22"/>
      <c r="AQ327" s="22"/>
      <c r="AR327" s="22"/>
      <c r="AS327" s="22"/>
      <c r="AT327" s="22"/>
      <c r="AU327" s="22"/>
      <c r="AV327" s="22"/>
      <c r="AW327" s="22"/>
      <c r="AX327" s="22"/>
      <c r="AY327" s="22"/>
      <c r="AZ327" s="22"/>
      <c r="BA327" s="22"/>
      <c r="BB327" s="22"/>
      <c r="BC327" s="22"/>
      <c r="BD327" s="22"/>
      <c r="BE327" s="22"/>
      <c r="BF327" s="22"/>
      <c r="BG327" s="22"/>
      <c r="BH327" s="22"/>
      <c r="BI327" s="22"/>
      <c r="BJ327" s="22"/>
      <c r="BK327" s="22"/>
      <c r="BL327" s="22"/>
      <c r="BM327" s="22"/>
      <c r="BN327" s="22"/>
      <c r="BO327" s="22"/>
      <c r="BP327" s="22"/>
      <c r="BQ327" s="22"/>
      <c r="BR327" s="22"/>
      <c r="BS327" s="22"/>
      <c r="BT327" s="22"/>
      <c r="BU327" s="22"/>
      <c r="BV327" s="22"/>
      <c r="BW327" s="22"/>
      <c r="BX327" s="22"/>
      <c r="BY327" s="22"/>
      <c r="BZ327" s="22"/>
      <c r="CA327" s="22"/>
      <c r="CB327" s="22"/>
      <c r="CC327" s="22"/>
      <c r="CD327" s="22"/>
      <c r="CE327" s="22"/>
      <c r="CF327" s="22"/>
      <c r="CG327" s="22"/>
      <c r="CH327" s="22"/>
      <c r="CI327" s="22"/>
      <c r="CJ327" s="22"/>
      <c r="CK327" s="22"/>
      <c r="CL327" s="22"/>
      <c r="CM327" s="22"/>
      <c r="CN327" s="22"/>
      <c r="CO327" s="22"/>
      <c r="CP327" s="22"/>
      <c r="CQ327" s="22"/>
      <c r="CR327" s="22"/>
      <c r="CS327" s="22"/>
      <c r="CT327" s="22"/>
      <c r="CU327" s="22"/>
    </row>
    <row r="328" spans="1:99" s="31" customFormat="1">
      <c r="A328" s="22"/>
      <c r="B328" s="22"/>
      <c r="C328" s="22"/>
      <c r="D328" s="22"/>
      <c r="E328" s="22"/>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c r="AZ328" s="22"/>
      <c r="BA328" s="22"/>
      <c r="BB328" s="22"/>
      <c r="BC328" s="22"/>
      <c r="BD328" s="22"/>
      <c r="BE328" s="22"/>
      <c r="BF328" s="22"/>
      <c r="BG328" s="22"/>
      <c r="BH328" s="22"/>
      <c r="BI328" s="22"/>
      <c r="BJ328" s="22"/>
      <c r="BK328" s="22"/>
      <c r="BL328" s="22"/>
      <c r="BM328" s="22"/>
      <c r="BN328" s="22"/>
      <c r="BO328" s="22"/>
      <c r="BP328" s="22"/>
      <c r="BQ328" s="22"/>
      <c r="BR328" s="22"/>
      <c r="BS328" s="22"/>
      <c r="BT328" s="22"/>
      <c r="BU328" s="22"/>
      <c r="BV328" s="22"/>
      <c r="BW328" s="22"/>
      <c r="BX328" s="22"/>
      <c r="BY328" s="22"/>
      <c r="BZ328" s="22"/>
      <c r="CA328" s="22"/>
      <c r="CB328" s="22"/>
      <c r="CC328" s="22"/>
      <c r="CD328" s="22"/>
      <c r="CE328" s="22"/>
      <c r="CF328" s="22"/>
      <c r="CG328" s="22"/>
      <c r="CH328" s="22"/>
      <c r="CI328" s="22"/>
      <c r="CJ328" s="22"/>
      <c r="CK328" s="22"/>
      <c r="CL328" s="22"/>
      <c r="CM328" s="22"/>
      <c r="CN328" s="22"/>
      <c r="CO328" s="22"/>
      <c r="CP328" s="22"/>
      <c r="CQ328" s="22"/>
      <c r="CR328" s="22"/>
      <c r="CS328" s="22"/>
      <c r="CT328" s="22"/>
      <c r="CU328" s="22"/>
    </row>
    <row r="329" spans="1:99" s="31" customFormat="1">
      <c r="A329" s="22"/>
      <c r="B329" s="22"/>
      <c r="C329" s="22"/>
      <c r="D329" s="22"/>
      <c r="E329" s="22"/>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c r="AZ329" s="22"/>
      <c r="BA329" s="22"/>
      <c r="BB329" s="22"/>
      <c r="BC329" s="22"/>
      <c r="BD329" s="22"/>
      <c r="BE329" s="22"/>
      <c r="BF329" s="22"/>
      <c r="BG329" s="22"/>
      <c r="BH329" s="22"/>
      <c r="BI329" s="22"/>
      <c r="BJ329" s="22"/>
      <c r="BK329" s="22"/>
      <c r="BL329" s="22"/>
      <c r="BM329" s="22"/>
      <c r="BN329" s="22"/>
      <c r="BO329" s="22"/>
      <c r="BP329" s="22"/>
      <c r="BQ329" s="22"/>
      <c r="BR329" s="22"/>
      <c r="BS329" s="22"/>
      <c r="BT329" s="22"/>
      <c r="BU329" s="22"/>
      <c r="BV329" s="22"/>
      <c r="BW329" s="22"/>
      <c r="BX329" s="22"/>
      <c r="BY329" s="22"/>
      <c r="BZ329" s="22"/>
      <c r="CA329" s="22"/>
      <c r="CB329" s="22"/>
      <c r="CC329" s="22"/>
      <c r="CD329" s="22"/>
      <c r="CE329" s="22"/>
      <c r="CF329" s="22"/>
      <c r="CG329" s="22"/>
      <c r="CH329" s="22"/>
      <c r="CI329" s="22"/>
      <c r="CJ329" s="22"/>
      <c r="CK329" s="22"/>
      <c r="CL329" s="22"/>
      <c r="CM329" s="22"/>
      <c r="CN329" s="22"/>
      <c r="CO329" s="22"/>
      <c r="CP329" s="22"/>
      <c r="CQ329" s="22"/>
      <c r="CR329" s="22"/>
      <c r="CS329" s="22"/>
      <c r="CT329" s="22"/>
      <c r="CU329" s="22"/>
    </row>
    <row r="330" spans="1:99" s="31" customFormat="1">
      <c r="A330" s="22"/>
      <c r="B330" s="22"/>
      <c r="C330" s="22"/>
      <c r="D330" s="22"/>
      <c r="E330" s="22"/>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c r="AZ330" s="22"/>
      <c r="BA330" s="22"/>
      <c r="BB330" s="22"/>
      <c r="BC330" s="22"/>
      <c r="BD330" s="22"/>
      <c r="BE330" s="22"/>
      <c r="BF330" s="22"/>
      <c r="BG330" s="22"/>
      <c r="BH330" s="22"/>
      <c r="BI330" s="22"/>
      <c r="BJ330" s="22"/>
      <c r="BK330" s="22"/>
      <c r="BL330" s="22"/>
      <c r="BM330" s="22"/>
      <c r="BN330" s="22"/>
      <c r="BO330" s="22"/>
      <c r="BP330" s="22"/>
      <c r="BQ330" s="22"/>
      <c r="BR330" s="22"/>
      <c r="BS330" s="22"/>
      <c r="BT330" s="22"/>
      <c r="BU330" s="22"/>
      <c r="BV330" s="22"/>
      <c r="BW330" s="22"/>
      <c r="BX330" s="22"/>
      <c r="BY330" s="22"/>
      <c r="BZ330" s="22"/>
      <c r="CA330" s="22"/>
      <c r="CB330" s="22"/>
      <c r="CC330" s="22"/>
      <c r="CD330" s="22"/>
      <c r="CE330" s="22"/>
      <c r="CF330" s="22"/>
      <c r="CG330" s="22"/>
      <c r="CH330" s="22"/>
      <c r="CI330" s="22"/>
      <c r="CJ330" s="22"/>
      <c r="CK330" s="22"/>
      <c r="CL330" s="22"/>
      <c r="CM330" s="22"/>
      <c r="CN330" s="22"/>
      <c r="CO330" s="22"/>
      <c r="CP330" s="22"/>
      <c r="CQ330" s="22"/>
      <c r="CR330" s="22"/>
      <c r="CS330" s="22"/>
      <c r="CT330" s="22"/>
      <c r="CU330" s="22"/>
    </row>
    <row r="331" spans="1:99" s="31" customFormat="1">
      <c r="A331" s="22"/>
      <c r="B331" s="22"/>
      <c r="C331" s="22"/>
      <c r="D331" s="22"/>
      <c r="E331" s="22"/>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c r="AZ331" s="22"/>
      <c r="BA331" s="22"/>
      <c r="BB331" s="22"/>
      <c r="BC331" s="22"/>
      <c r="BD331" s="22"/>
      <c r="BE331" s="22"/>
      <c r="BF331" s="22"/>
      <c r="BG331" s="22"/>
      <c r="BH331" s="22"/>
      <c r="BI331" s="22"/>
      <c r="BJ331" s="22"/>
      <c r="BK331" s="22"/>
      <c r="BL331" s="22"/>
      <c r="BM331" s="22"/>
      <c r="BN331" s="22"/>
      <c r="BO331" s="22"/>
      <c r="BP331" s="22"/>
      <c r="BQ331" s="22"/>
      <c r="BR331" s="22"/>
      <c r="BS331" s="22"/>
      <c r="BT331" s="22"/>
      <c r="BU331" s="22"/>
      <c r="BV331" s="22"/>
      <c r="BW331" s="22"/>
      <c r="BX331" s="22"/>
      <c r="BY331" s="22"/>
      <c r="BZ331" s="22"/>
      <c r="CA331" s="22"/>
      <c r="CB331" s="22"/>
      <c r="CC331" s="22"/>
      <c r="CD331" s="22"/>
      <c r="CE331" s="22"/>
      <c r="CF331" s="22"/>
      <c r="CG331" s="22"/>
      <c r="CH331" s="22"/>
      <c r="CI331" s="22"/>
      <c r="CJ331" s="22"/>
      <c r="CK331" s="22"/>
      <c r="CL331" s="22"/>
      <c r="CM331" s="22"/>
      <c r="CN331" s="22"/>
      <c r="CO331" s="22"/>
      <c r="CP331" s="22"/>
      <c r="CQ331" s="22"/>
      <c r="CR331" s="22"/>
      <c r="CS331" s="22"/>
      <c r="CT331" s="22"/>
      <c r="CU331" s="22"/>
    </row>
    <row r="332" spans="1:99" s="31" customFormat="1">
      <c r="A332" s="22"/>
      <c r="B332" s="22"/>
      <c r="C332" s="22"/>
      <c r="D332" s="22"/>
      <c r="E332" s="22"/>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c r="AD332" s="22"/>
      <c r="AE332" s="22"/>
      <c r="AF332" s="22"/>
      <c r="AG332" s="22"/>
      <c r="AH332" s="22"/>
      <c r="AI332" s="22"/>
      <c r="AJ332" s="22"/>
      <c r="AK332" s="22"/>
      <c r="AL332" s="22"/>
      <c r="AM332" s="22"/>
      <c r="AN332" s="22"/>
      <c r="AO332" s="22"/>
      <c r="AP332" s="22"/>
      <c r="AQ332" s="22"/>
      <c r="AR332" s="22"/>
      <c r="AS332" s="22"/>
      <c r="AT332" s="22"/>
      <c r="AU332" s="22"/>
      <c r="AV332" s="22"/>
      <c r="AW332" s="22"/>
      <c r="AX332" s="22"/>
      <c r="AY332" s="22"/>
      <c r="AZ332" s="22"/>
      <c r="BA332" s="22"/>
      <c r="BB332" s="22"/>
      <c r="BC332" s="22"/>
      <c r="BD332" s="22"/>
      <c r="BE332" s="22"/>
      <c r="BF332" s="22"/>
      <c r="BG332" s="22"/>
      <c r="BH332" s="22"/>
      <c r="BI332" s="22"/>
      <c r="BJ332" s="22"/>
      <c r="BK332" s="22"/>
      <c r="BL332" s="22"/>
      <c r="BM332" s="22"/>
      <c r="BN332" s="22"/>
      <c r="BO332" s="22"/>
      <c r="BP332" s="22"/>
      <c r="BQ332" s="22"/>
      <c r="BR332" s="22"/>
      <c r="BS332" s="22"/>
      <c r="BT332" s="22"/>
      <c r="BU332" s="22"/>
      <c r="BV332" s="22"/>
      <c r="BW332" s="22"/>
      <c r="BX332" s="22"/>
      <c r="BY332" s="22"/>
      <c r="BZ332" s="22"/>
      <c r="CA332" s="22"/>
      <c r="CB332" s="22"/>
      <c r="CC332" s="22"/>
      <c r="CD332" s="22"/>
      <c r="CE332" s="22"/>
      <c r="CF332" s="22"/>
      <c r="CG332" s="22"/>
      <c r="CH332" s="22"/>
      <c r="CI332" s="22"/>
      <c r="CJ332" s="22"/>
      <c r="CK332" s="22"/>
      <c r="CL332" s="22"/>
      <c r="CM332" s="22"/>
      <c r="CN332" s="22"/>
      <c r="CO332" s="22"/>
      <c r="CP332" s="22"/>
      <c r="CQ332" s="22"/>
      <c r="CR332" s="22"/>
      <c r="CS332" s="22"/>
      <c r="CT332" s="22"/>
      <c r="CU332" s="22"/>
    </row>
    <row r="333" spans="1:99" s="31" customFormat="1">
      <c r="A333" s="22"/>
      <c r="B333" s="22"/>
      <c r="C333" s="22"/>
      <c r="D333" s="22"/>
      <c r="E333" s="22"/>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c r="AD333" s="22"/>
      <c r="AE333" s="22"/>
      <c r="AF333" s="22"/>
      <c r="AG333" s="22"/>
      <c r="AH333" s="22"/>
      <c r="AI333" s="22"/>
      <c r="AJ333" s="22"/>
      <c r="AK333" s="22"/>
      <c r="AL333" s="22"/>
      <c r="AM333" s="22"/>
      <c r="AN333" s="22"/>
      <c r="AO333" s="22"/>
      <c r="AP333" s="22"/>
      <c r="AQ333" s="22"/>
      <c r="AR333" s="22"/>
      <c r="AS333" s="22"/>
      <c r="AT333" s="22"/>
      <c r="AU333" s="22"/>
      <c r="AV333" s="22"/>
      <c r="AW333" s="22"/>
      <c r="AX333" s="22"/>
      <c r="AY333" s="22"/>
      <c r="AZ333" s="22"/>
      <c r="BA333" s="22"/>
      <c r="BB333" s="22"/>
      <c r="BC333" s="22"/>
      <c r="BD333" s="22"/>
      <c r="BE333" s="22"/>
      <c r="BF333" s="22"/>
      <c r="BG333" s="22"/>
      <c r="BH333" s="22"/>
      <c r="BI333" s="22"/>
      <c r="BJ333" s="22"/>
      <c r="BK333" s="22"/>
      <c r="BL333" s="22"/>
      <c r="BM333" s="22"/>
      <c r="BN333" s="22"/>
      <c r="BO333" s="22"/>
      <c r="BP333" s="22"/>
      <c r="BQ333" s="22"/>
      <c r="BR333" s="22"/>
      <c r="BS333" s="22"/>
      <c r="BT333" s="22"/>
      <c r="BU333" s="22"/>
      <c r="BV333" s="22"/>
      <c r="BW333" s="22"/>
      <c r="BX333" s="22"/>
      <c r="BY333" s="22"/>
      <c r="BZ333" s="22"/>
      <c r="CA333" s="22"/>
      <c r="CB333" s="22"/>
      <c r="CC333" s="22"/>
      <c r="CD333" s="22"/>
      <c r="CE333" s="22"/>
      <c r="CF333" s="22"/>
      <c r="CG333" s="22"/>
      <c r="CH333" s="22"/>
      <c r="CI333" s="22"/>
      <c r="CJ333" s="22"/>
      <c r="CK333" s="22"/>
      <c r="CL333" s="22"/>
      <c r="CM333" s="22"/>
      <c r="CN333" s="22"/>
      <c r="CO333" s="22"/>
      <c r="CP333" s="22"/>
      <c r="CQ333" s="22"/>
      <c r="CR333" s="22"/>
      <c r="CS333" s="22"/>
      <c r="CT333" s="22"/>
      <c r="CU333" s="22"/>
    </row>
    <row r="334" spans="1:99" s="31" customFormat="1">
      <c r="A334" s="22"/>
      <c r="B334" s="22"/>
      <c r="C334" s="22"/>
      <c r="D334" s="22"/>
      <c r="E334" s="22"/>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c r="AD334" s="22"/>
      <c r="AE334" s="22"/>
      <c r="AF334" s="22"/>
      <c r="AG334" s="22"/>
      <c r="AH334" s="22"/>
      <c r="AI334" s="22"/>
      <c r="AJ334" s="22"/>
      <c r="AK334" s="22"/>
      <c r="AL334" s="22"/>
      <c r="AM334" s="22"/>
      <c r="AN334" s="22"/>
      <c r="AO334" s="22"/>
      <c r="AP334" s="22"/>
      <c r="AQ334" s="22"/>
      <c r="AR334" s="22"/>
      <c r="AS334" s="22"/>
      <c r="AT334" s="22"/>
      <c r="AU334" s="22"/>
      <c r="AV334" s="22"/>
      <c r="AW334" s="22"/>
      <c r="AX334" s="22"/>
      <c r="AY334" s="22"/>
      <c r="AZ334" s="22"/>
      <c r="BA334" s="22"/>
      <c r="BB334" s="22"/>
      <c r="BC334" s="22"/>
      <c r="BD334" s="22"/>
      <c r="BE334" s="22"/>
      <c r="BF334" s="22"/>
      <c r="BG334" s="22"/>
      <c r="BH334" s="22"/>
      <c r="BI334" s="22"/>
      <c r="BJ334" s="22"/>
      <c r="BK334" s="22"/>
      <c r="BL334" s="22"/>
      <c r="BM334" s="22"/>
      <c r="BN334" s="22"/>
      <c r="BO334" s="22"/>
      <c r="BP334" s="22"/>
      <c r="BQ334" s="22"/>
      <c r="BR334" s="22"/>
      <c r="BS334" s="22"/>
      <c r="BT334" s="22"/>
      <c r="BU334" s="22"/>
      <c r="BV334" s="22"/>
      <c r="BW334" s="22"/>
      <c r="BX334" s="22"/>
      <c r="BY334" s="22"/>
      <c r="BZ334" s="22"/>
      <c r="CA334" s="22"/>
      <c r="CB334" s="22"/>
      <c r="CC334" s="22"/>
      <c r="CD334" s="22"/>
      <c r="CE334" s="22"/>
      <c r="CF334" s="22"/>
      <c r="CG334" s="22"/>
      <c r="CH334" s="22"/>
      <c r="CI334" s="22"/>
      <c r="CJ334" s="22"/>
      <c r="CK334" s="22"/>
      <c r="CL334" s="22"/>
      <c r="CM334" s="22"/>
      <c r="CN334" s="22"/>
      <c r="CO334" s="22"/>
      <c r="CP334" s="22"/>
      <c r="CQ334" s="22"/>
      <c r="CR334" s="22"/>
      <c r="CS334" s="22"/>
      <c r="CT334" s="22"/>
      <c r="CU334" s="22"/>
    </row>
    <row r="335" spans="1:99">
      <c r="A335" s="19"/>
      <c r="B335" s="19"/>
      <c r="C335" s="19"/>
      <c r="D335" s="19"/>
      <c r="E335" s="19"/>
      <c r="F335" s="19"/>
      <c r="G335" s="19"/>
      <c r="H335" s="19"/>
      <c r="I335" s="19"/>
      <c r="J335" s="19"/>
    </row>
    <row r="336" spans="1:99">
      <c r="A336" s="19"/>
      <c r="B336" s="19"/>
      <c r="C336" s="19"/>
      <c r="D336" s="19"/>
      <c r="E336" s="19"/>
      <c r="F336" s="19"/>
      <c r="G336" s="19"/>
      <c r="H336" s="19"/>
      <c r="I336" s="19"/>
      <c r="J336" s="19"/>
    </row>
    <row r="337" spans="1:10">
      <c r="A337" s="19"/>
      <c r="B337" s="19"/>
      <c r="C337" s="19"/>
      <c r="D337" s="19"/>
      <c r="E337" s="19"/>
      <c r="F337" s="19"/>
      <c r="G337" s="19"/>
      <c r="H337" s="19"/>
      <c r="I337" s="19"/>
      <c r="J337" s="19"/>
    </row>
    <row r="338" spans="1:10">
      <c r="A338" s="19"/>
      <c r="B338" s="19"/>
      <c r="C338" s="19"/>
      <c r="D338" s="19"/>
      <c r="E338" s="19"/>
      <c r="F338" s="19"/>
      <c r="G338" s="19"/>
      <c r="H338" s="19"/>
      <c r="I338" s="19"/>
      <c r="J338" s="19"/>
    </row>
    <row r="339" spans="1:10">
      <c r="A339" s="19"/>
      <c r="B339" s="19"/>
      <c r="C339" s="19"/>
      <c r="D339" s="19"/>
      <c r="E339" s="19"/>
      <c r="F339" s="19"/>
      <c r="G339" s="19"/>
      <c r="H339" s="19"/>
      <c r="I339" s="19"/>
      <c r="J339" s="19"/>
    </row>
    <row r="340" spans="1:10">
      <c r="A340" s="19"/>
      <c r="B340" s="19"/>
      <c r="C340" s="19"/>
      <c r="D340" s="19"/>
      <c r="E340" s="19"/>
      <c r="F340" s="19"/>
      <c r="G340" s="19"/>
      <c r="H340" s="19"/>
      <c r="I340" s="19"/>
      <c r="J340" s="19"/>
    </row>
    <row r="341" spans="1:10">
      <c r="A341" s="19"/>
      <c r="B341" s="19"/>
      <c r="C341" s="19"/>
      <c r="D341" s="19"/>
      <c r="E341" s="19"/>
      <c r="F341" s="19"/>
      <c r="G341" s="19"/>
      <c r="H341" s="19"/>
      <c r="I341" s="19"/>
      <c r="J341" s="19"/>
    </row>
    <row r="342" spans="1:10">
      <c r="A342" s="19"/>
      <c r="B342" s="19"/>
      <c r="C342" s="19"/>
      <c r="D342" s="19"/>
      <c r="E342" s="19"/>
      <c r="F342" s="19"/>
      <c r="G342" s="19"/>
      <c r="H342" s="19"/>
      <c r="I342" s="19"/>
      <c r="J342" s="19"/>
    </row>
    <row r="343" spans="1:10">
      <c r="A343" s="19"/>
      <c r="B343" s="19"/>
      <c r="C343" s="19"/>
      <c r="D343" s="19"/>
      <c r="E343" s="19"/>
      <c r="F343" s="19"/>
      <c r="G343" s="19"/>
      <c r="H343" s="19"/>
      <c r="I343" s="19"/>
      <c r="J343" s="19"/>
    </row>
    <row r="344" spans="1:10">
      <c r="A344" s="19"/>
      <c r="B344" s="19"/>
      <c r="C344" s="19"/>
      <c r="D344" s="19"/>
      <c r="E344" s="19"/>
      <c r="F344" s="19"/>
      <c r="G344" s="19"/>
      <c r="H344" s="19"/>
      <c r="I344" s="19"/>
      <c r="J344" s="19"/>
    </row>
    <row r="345" spans="1:10">
      <c r="A345" s="19"/>
      <c r="B345" s="19"/>
      <c r="C345" s="19"/>
      <c r="D345" s="19"/>
      <c r="E345" s="19"/>
      <c r="F345" s="19"/>
      <c r="G345" s="19"/>
      <c r="H345" s="19"/>
      <c r="I345" s="19"/>
      <c r="J345" s="19"/>
    </row>
    <row r="346" spans="1:10">
      <c r="A346" s="19"/>
      <c r="B346" s="19"/>
      <c r="C346" s="19"/>
      <c r="D346" s="19"/>
      <c r="E346" s="19"/>
      <c r="F346" s="19"/>
      <c r="G346" s="19"/>
      <c r="H346" s="19"/>
      <c r="I346" s="19"/>
      <c r="J346" s="19"/>
    </row>
    <row r="347" spans="1:10">
      <c r="A347" s="19"/>
      <c r="B347" s="19"/>
      <c r="C347" s="19"/>
      <c r="D347" s="19"/>
      <c r="E347" s="19"/>
      <c r="F347" s="19"/>
      <c r="G347" s="19"/>
      <c r="H347" s="19"/>
      <c r="I347" s="19"/>
      <c r="J347" s="19"/>
    </row>
    <row r="348" spans="1:10">
      <c r="A348" s="19"/>
      <c r="B348" s="19"/>
      <c r="C348" s="19"/>
      <c r="D348" s="19"/>
      <c r="E348" s="19"/>
      <c r="F348" s="19"/>
      <c r="G348" s="19"/>
      <c r="H348" s="19"/>
      <c r="I348" s="19"/>
      <c r="J348" s="19"/>
    </row>
    <row r="349" spans="1:10">
      <c r="A349" s="19"/>
      <c r="B349" s="19"/>
      <c r="C349" s="19"/>
      <c r="D349" s="19"/>
      <c r="E349" s="19"/>
      <c r="F349" s="19"/>
      <c r="G349" s="19"/>
      <c r="H349" s="19"/>
      <c r="I349" s="19"/>
      <c r="J349" s="19"/>
    </row>
    <row r="350" spans="1:10">
      <c r="A350" s="19"/>
      <c r="B350" s="19"/>
      <c r="C350" s="19"/>
      <c r="D350" s="19"/>
      <c r="E350" s="19"/>
      <c r="F350" s="19"/>
      <c r="G350" s="19"/>
      <c r="H350" s="19"/>
      <c r="I350" s="19"/>
      <c r="J350" s="19"/>
    </row>
    <row r="351" spans="1:10">
      <c r="A351" s="19"/>
      <c r="B351" s="19"/>
      <c r="C351" s="19"/>
      <c r="D351" s="19"/>
      <c r="E351" s="19"/>
      <c r="F351" s="19"/>
      <c r="G351" s="19"/>
      <c r="H351" s="19"/>
      <c r="I351" s="19"/>
      <c r="J351" s="19"/>
    </row>
    <row r="352" spans="1:10">
      <c r="A352" s="19"/>
      <c r="B352" s="19"/>
      <c r="C352" s="19"/>
      <c r="D352" s="19"/>
      <c r="E352" s="19"/>
      <c r="F352" s="19"/>
      <c r="G352" s="19"/>
      <c r="H352" s="19"/>
      <c r="I352" s="19"/>
      <c r="J352" s="19"/>
    </row>
    <row r="353" spans="1:10">
      <c r="A353" s="19"/>
      <c r="B353" s="19"/>
      <c r="C353" s="19"/>
      <c r="D353" s="19"/>
      <c r="E353" s="19"/>
      <c r="F353" s="19"/>
      <c r="G353" s="19"/>
      <c r="H353" s="19"/>
      <c r="I353" s="19"/>
      <c r="J353" s="19"/>
    </row>
    <row r="354" spans="1:10">
      <c r="A354" s="19"/>
      <c r="B354" s="19"/>
      <c r="C354" s="19"/>
      <c r="D354" s="19"/>
      <c r="E354" s="19"/>
      <c r="F354" s="19"/>
      <c r="G354" s="19"/>
      <c r="H354" s="19"/>
      <c r="I354" s="19"/>
      <c r="J354" s="19"/>
    </row>
    <row r="355" spans="1:10">
      <c r="A355" s="19"/>
      <c r="B355" s="19"/>
      <c r="C355" s="19"/>
      <c r="D355" s="19"/>
      <c r="E355" s="19"/>
      <c r="F355" s="19"/>
      <c r="G355" s="19"/>
      <c r="H355" s="19"/>
      <c r="I355" s="19"/>
      <c r="J355" s="19"/>
    </row>
    <row r="356" spans="1:10">
      <c r="A356" s="19"/>
      <c r="B356" s="19"/>
      <c r="C356" s="19"/>
      <c r="D356" s="19"/>
      <c r="E356" s="19"/>
      <c r="F356" s="19"/>
      <c r="G356" s="19"/>
      <c r="H356" s="19"/>
      <c r="I356" s="19"/>
      <c r="J356" s="19"/>
    </row>
    <row r="357" spans="1:10">
      <c r="A357" s="19"/>
      <c r="B357" s="19"/>
      <c r="C357" s="19"/>
      <c r="D357" s="19"/>
      <c r="E357" s="19"/>
      <c r="F357" s="19"/>
      <c r="G357" s="19"/>
      <c r="H357" s="19"/>
      <c r="I357" s="19"/>
      <c r="J357" s="19"/>
    </row>
    <row r="358" spans="1:10">
      <c r="A358" s="19"/>
      <c r="B358" s="19"/>
      <c r="C358" s="19"/>
      <c r="D358" s="19"/>
      <c r="E358" s="19"/>
      <c r="F358" s="19"/>
      <c r="G358" s="19"/>
      <c r="H358" s="19"/>
      <c r="I358" s="19"/>
      <c r="J358" s="19"/>
    </row>
    <row r="359" spans="1:10">
      <c r="A359" s="19"/>
      <c r="B359" s="19"/>
      <c r="C359" s="19"/>
      <c r="D359" s="19"/>
      <c r="E359" s="19"/>
      <c r="F359" s="19"/>
      <c r="G359" s="19"/>
      <c r="H359" s="19"/>
      <c r="I359" s="19"/>
      <c r="J359" s="19"/>
    </row>
    <row r="360" spans="1:10">
      <c r="A360" s="19"/>
      <c r="B360" s="19"/>
      <c r="C360" s="19"/>
      <c r="D360" s="19"/>
      <c r="E360" s="19"/>
      <c r="F360" s="19"/>
      <c r="G360" s="19"/>
      <c r="H360" s="19"/>
      <c r="I360" s="19"/>
      <c r="J360" s="19"/>
    </row>
    <row r="361" spans="1:10">
      <c r="A361" s="19"/>
      <c r="B361" s="19"/>
      <c r="C361" s="19"/>
      <c r="D361" s="19"/>
      <c r="E361" s="19"/>
      <c r="F361" s="19"/>
      <c r="G361" s="19"/>
      <c r="H361" s="19"/>
      <c r="I361" s="19"/>
      <c r="J361" s="19"/>
    </row>
    <row r="362" spans="1:10">
      <c r="A362" s="19"/>
      <c r="B362" s="19"/>
      <c r="C362" s="19"/>
      <c r="D362" s="19"/>
      <c r="E362" s="19"/>
      <c r="F362" s="19"/>
      <c r="G362" s="19"/>
      <c r="H362" s="19"/>
      <c r="I362" s="19"/>
      <c r="J362" s="19"/>
    </row>
    <row r="363" spans="1:10">
      <c r="A363" s="19"/>
      <c r="B363" s="19"/>
      <c r="C363" s="19"/>
      <c r="D363" s="19"/>
      <c r="E363" s="19"/>
      <c r="F363" s="19"/>
      <c r="G363" s="19"/>
      <c r="H363" s="19"/>
      <c r="I363" s="19"/>
      <c r="J363" s="19"/>
    </row>
    <row r="364" spans="1:10">
      <c r="A364" s="19"/>
      <c r="B364" s="19"/>
      <c r="C364" s="19"/>
      <c r="D364" s="19"/>
      <c r="E364" s="19"/>
      <c r="F364" s="19"/>
      <c r="G364" s="19"/>
      <c r="H364" s="19"/>
      <c r="I364" s="19"/>
      <c r="J364" s="19"/>
    </row>
    <row r="365" spans="1:10">
      <c r="A365" s="19"/>
      <c r="B365" s="19"/>
      <c r="C365" s="19"/>
      <c r="D365" s="19"/>
      <c r="E365" s="19"/>
      <c r="F365" s="19"/>
      <c r="G365" s="19"/>
      <c r="H365" s="19"/>
      <c r="I365" s="19"/>
      <c r="J365" s="19"/>
    </row>
    <row r="366" spans="1:10">
      <c r="A366" s="19"/>
      <c r="B366" s="19"/>
      <c r="C366" s="19"/>
      <c r="D366" s="19"/>
      <c r="E366" s="19"/>
      <c r="F366" s="19"/>
      <c r="G366" s="19"/>
      <c r="H366" s="19"/>
      <c r="I366" s="19"/>
      <c r="J366" s="19"/>
    </row>
    <row r="367" spans="1:10">
      <c r="A367" s="19"/>
      <c r="B367" s="19"/>
      <c r="C367" s="19"/>
      <c r="D367" s="19"/>
      <c r="E367" s="19"/>
      <c r="F367" s="19"/>
      <c r="G367" s="19"/>
      <c r="H367" s="19"/>
      <c r="I367" s="19"/>
      <c r="J367" s="19"/>
    </row>
    <row r="368" spans="1:10">
      <c r="A368" s="19"/>
      <c r="B368" s="19"/>
      <c r="C368" s="19"/>
      <c r="D368" s="19"/>
      <c r="E368" s="19"/>
      <c r="F368" s="19"/>
      <c r="G368" s="19"/>
      <c r="H368" s="19"/>
      <c r="I368" s="19"/>
      <c r="J368" s="19"/>
    </row>
    <row r="369" spans="1:10">
      <c r="A369" s="19"/>
      <c r="B369" s="19"/>
      <c r="C369" s="19"/>
      <c r="D369" s="19"/>
      <c r="E369" s="19"/>
      <c r="F369" s="19"/>
      <c r="G369" s="19"/>
      <c r="H369" s="19"/>
      <c r="I369" s="19"/>
      <c r="J369" s="19"/>
    </row>
    <row r="370" spans="1:10">
      <c r="A370" s="19"/>
      <c r="B370" s="19"/>
      <c r="C370" s="19"/>
      <c r="D370" s="19"/>
      <c r="E370" s="19"/>
      <c r="F370" s="19"/>
      <c r="G370" s="19"/>
      <c r="H370" s="19"/>
      <c r="I370" s="19"/>
      <c r="J370" s="19"/>
    </row>
    <row r="371" spans="1:10">
      <c r="A371" s="19"/>
      <c r="B371" s="19"/>
      <c r="C371" s="19"/>
      <c r="D371" s="19"/>
      <c r="E371" s="19"/>
      <c r="F371" s="19"/>
      <c r="G371" s="19"/>
      <c r="H371" s="19"/>
      <c r="I371" s="19"/>
      <c r="J371" s="19"/>
    </row>
    <row r="372" spans="1:10">
      <c r="A372" s="19"/>
      <c r="B372" s="19"/>
      <c r="C372" s="19"/>
      <c r="D372" s="19"/>
      <c r="E372" s="19"/>
      <c r="F372" s="19"/>
      <c r="G372" s="19"/>
      <c r="H372" s="19"/>
      <c r="I372" s="19"/>
      <c r="J372" s="19"/>
    </row>
    <row r="373" spans="1:10">
      <c r="A373" s="19"/>
      <c r="B373" s="19"/>
      <c r="C373" s="19"/>
      <c r="D373" s="19"/>
      <c r="E373" s="19"/>
      <c r="F373" s="19"/>
      <c r="G373" s="19"/>
      <c r="H373" s="19"/>
      <c r="I373" s="19"/>
      <c r="J373" s="19"/>
    </row>
    <row r="374" spans="1:10">
      <c r="A374" s="19"/>
      <c r="B374" s="19"/>
      <c r="C374" s="19"/>
      <c r="D374" s="19"/>
      <c r="E374" s="19"/>
      <c r="F374" s="19"/>
      <c r="G374" s="19"/>
      <c r="H374" s="19"/>
      <c r="I374" s="19"/>
      <c r="J374" s="19"/>
    </row>
    <row r="375" spans="1:10">
      <c r="A375" s="19"/>
      <c r="B375" s="19"/>
      <c r="C375" s="19"/>
      <c r="D375" s="19"/>
      <c r="E375" s="19"/>
      <c r="F375" s="19"/>
      <c r="G375" s="19"/>
      <c r="H375" s="19"/>
      <c r="I375" s="19"/>
      <c r="J375" s="19"/>
    </row>
    <row r="376" spans="1:10">
      <c r="A376" s="19"/>
      <c r="B376" s="19"/>
      <c r="C376" s="19"/>
      <c r="D376" s="19"/>
      <c r="E376" s="19"/>
      <c r="F376" s="19"/>
      <c r="G376" s="19"/>
      <c r="H376" s="19"/>
      <c r="I376" s="19"/>
      <c r="J376" s="19"/>
    </row>
    <row r="377" spans="1:10">
      <c r="A377" s="19"/>
      <c r="B377" s="19"/>
      <c r="C377" s="19"/>
      <c r="D377" s="19"/>
      <c r="E377" s="19"/>
      <c r="F377" s="19"/>
      <c r="G377" s="19"/>
      <c r="H377" s="19"/>
      <c r="I377" s="19"/>
      <c r="J377" s="19"/>
    </row>
    <row r="378" spans="1:10">
      <c r="A378" s="19"/>
      <c r="B378" s="19"/>
      <c r="C378" s="19"/>
      <c r="D378" s="19"/>
      <c r="E378" s="19"/>
      <c r="F378" s="19"/>
      <c r="G378" s="19"/>
      <c r="H378" s="19"/>
      <c r="I378" s="19"/>
      <c r="J378" s="19"/>
    </row>
    <row r="379" spans="1:10">
      <c r="A379" s="19"/>
      <c r="B379" s="19"/>
      <c r="C379" s="19"/>
      <c r="D379" s="19"/>
      <c r="E379" s="19"/>
      <c r="F379" s="19"/>
      <c r="G379" s="19"/>
      <c r="H379" s="19"/>
      <c r="I379" s="19"/>
      <c r="J379" s="19"/>
    </row>
    <row r="380" spans="1:10">
      <c r="A380" s="19"/>
      <c r="B380" s="19"/>
      <c r="C380" s="19"/>
      <c r="D380" s="19"/>
      <c r="E380" s="19"/>
      <c r="F380" s="19"/>
      <c r="G380" s="19"/>
      <c r="H380" s="19"/>
      <c r="I380" s="19"/>
      <c r="J380" s="19"/>
    </row>
    <row r="381" spans="1:10">
      <c r="A381" s="19"/>
      <c r="B381" s="19"/>
      <c r="C381" s="19"/>
      <c r="D381" s="19"/>
      <c r="E381" s="19"/>
      <c r="F381" s="19"/>
      <c r="G381" s="19"/>
      <c r="H381" s="19"/>
      <c r="I381" s="19"/>
      <c r="J381" s="19"/>
    </row>
    <row r="382" spans="1:10">
      <c r="A382" s="19"/>
      <c r="B382" s="19"/>
      <c r="C382" s="19"/>
      <c r="D382" s="19"/>
      <c r="E382" s="19"/>
      <c r="F382" s="19"/>
      <c r="G382" s="19"/>
      <c r="H382" s="19"/>
      <c r="I382" s="19"/>
      <c r="J382" s="19"/>
    </row>
    <row r="383" spans="1:10">
      <c r="A383" s="19"/>
      <c r="B383" s="19"/>
      <c r="C383" s="19"/>
      <c r="D383" s="19"/>
      <c r="E383" s="19"/>
      <c r="F383" s="19"/>
      <c r="G383" s="19"/>
      <c r="H383" s="19"/>
      <c r="I383" s="19"/>
      <c r="J383" s="19"/>
    </row>
    <row r="384" spans="1:10">
      <c r="A384" s="19"/>
      <c r="B384" s="19"/>
      <c r="C384" s="19"/>
      <c r="D384" s="19"/>
      <c r="E384" s="19"/>
      <c r="F384" s="19"/>
      <c r="G384" s="19"/>
      <c r="H384" s="19"/>
      <c r="I384" s="19"/>
      <c r="J384" s="19"/>
    </row>
    <row r="385" spans="1:10">
      <c r="A385" s="19"/>
      <c r="B385" s="19"/>
      <c r="C385" s="19"/>
      <c r="D385" s="19"/>
      <c r="E385" s="19"/>
      <c r="F385" s="19"/>
      <c r="G385" s="19"/>
      <c r="H385" s="19"/>
      <c r="I385" s="19"/>
      <c r="J385" s="19"/>
    </row>
    <row r="386" spans="1:10">
      <c r="A386" s="19"/>
      <c r="B386" s="19"/>
      <c r="C386" s="19"/>
      <c r="D386" s="19"/>
      <c r="E386" s="19"/>
      <c r="F386" s="19"/>
      <c r="G386" s="19"/>
      <c r="H386" s="19"/>
      <c r="I386" s="19"/>
      <c r="J386" s="19"/>
    </row>
    <row r="387" spans="1:10">
      <c r="A387" s="19"/>
      <c r="B387" s="19"/>
      <c r="C387" s="19"/>
      <c r="D387" s="19"/>
      <c r="E387" s="19"/>
      <c r="F387" s="19"/>
      <c r="G387" s="19"/>
      <c r="H387" s="19"/>
      <c r="I387" s="19"/>
      <c r="J387" s="19"/>
    </row>
    <row r="388" spans="1:10">
      <c r="A388" s="19"/>
      <c r="B388" s="19"/>
      <c r="C388" s="19"/>
      <c r="D388" s="19"/>
      <c r="E388" s="19"/>
      <c r="F388" s="19"/>
      <c r="G388" s="19"/>
      <c r="H388" s="19"/>
      <c r="I388" s="19"/>
      <c r="J388" s="19"/>
    </row>
    <row r="389" spans="1:10">
      <c r="A389" s="19"/>
      <c r="B389" s="19"/>
      <c r="C389" s="19"/>
      <c r="D389" s="19"/>
      <c r="E389" s="19"/>
      <c r="F389" s="19"/>
      <c r="G389" s="19"/>
      <c r="H389" s="19"/>
      <c r="I389" s="19"/>
      <c r="J389" s="19"/>
    </row>
    <row r="390" spans="1:10">
      <c r="A390" s="19"/>
      <c r="B390" s="19"/>
      <c r="C390" s="19"/>
      <c r="D390" s="19"/>
      <c r="E390" s="19"/>
      <c r="F390" s="19"/>
      <c r="G390" s="19"/>
      <c r="H390" s="19"/>
      <c r="I390" s="19"/>
      <c r="J390" s="19"/>
    </row>
    <row r="391" spans="1:10">
      <c r="A391" s="19"/>
      <c r="B391" s="19"/>
      <c r="C391" s="19"/>
      <c r="D391" s="19"/>
      <c r="E391" s="19"/>
      <c r="F391" s="19"/>
      <c r="G391" s="19"/>
      <c r="H391" s="19"/>
      <c r="I391" s="19"/>
      <c r="J391" s="19"/>
    </row>
    <row r="392" spans="1:10">
      <c r="A392" s="19"/>
      <c r="B392" s="19"/>
      <c r="C392" s="19"/>
      <c r="D392" s="19"/>
      <c r="E392" s="19"/>
      <c r="F392" s="19"/>
      <c r="G392" s="19"/>
      <c r="H392" s="19"/>
      <c r="I392" s="19"/>
      <c r="J392" s="19"/>
    </row>
    <row r="393" spans="1:10">
      <c r="A393" s="19"/>
      <c r="B393" s="19"/>
      <c r="C393" s="19"/>
      <c r="D393" s="19"/>
      <c r="E393" s="19"/>
      <c r="F393" s="19"/>
      <c r="G393" s="19"/>
      <c r="H393" s="19"/>
      <c r="I393" s="19"/>
      <c r="J393" s="19"/>
    </row>
    <row r="394" spans="1:10">
      <c r="A394" s="19"/>
      <c r="B394" s="19"/>
      <c r="C394" s="19"/>
      <c r="D394" s="19"/>
      <c r="E394" s="19"/>
      <c r="F394" s="19"/>
      <c r="G394" s="19"/>
      <c r="H394" s="19"/>
      <c r="I394" s="19"/>
      <c r="J394" s="19"/>
    </row>
    <row r="395" spans="1:10">
      <c r="A395" s="19"/>
      <c r="B395" s="19"/>
      <c r="C395" s="19"/>
      <c r="D395" s="19"/>
      <c r="E395" s="19"/>
      <c r="F395" s="19"/>
      <c r="G395" s="19"/>
      <c r="H395" s="19"/>
      <c r="I395" s="19"/>
      <c r="J395" s="19"/>
    </row>
    <row r="396" spans="1:10">
      <c r="A396" s="19"/>
      <c r="B396" s="19"/>
      <c r="C396" s="19"/>
      <c r="D396" s="19"/>
      <c r="E396" s="19"/>
      <c r="F396" s="19"/>
      <c r="G396" s="19"/>
      <c r="H396" s="19"/>
      <c r="I396" s="19"/>
      <c r="J396" s="19"/>
    </row>
    <row r="397" spans="1:10">
      <c r="A397" s="19"/>
      <c r="B397" s="19"/>
      <c r="C397" s="19"/>
      <c r="D397" s="19"/>
      <c r="E397" s="19"/>
      <c r="F397" s="19"/>
      <c r="G397" s="19"/>
      <c r="H397" s="19"/>
      <c r="I397" s="19"/>
      <c r="J397" s="19"/>
    </row>
    <row r="398" spans="1:10">
      <c r="A398" s="19"/>
      <c r="B398" s="19"/>
      <c r="C398" s="19"/>
      <c r="D398" s="19"/>
      <c r="E398" s="19"/>
      <c r="F398" s="19"/>
      <c r="G398" s="19"/>
      <c r="H398" s="19"/>
      <c r="I398" s="19"/>
      <c r="J398" s="19"/>
    </row>
    <row r="399" spans="1:10">
      <c r="A399" s="19"/>
      <c r="B399" s="19"/>
      <c r="C399" s="19"/>
      <c r="D399" s="19"/>
      <c r="E399" s="19"/>
      <c r="F399" s="19"/>
      <c r="G399" s="19"/>
      <c r="H399" s="19"/>
      <c r="I399" s="19"/>
      <c r="J399" s="19"/>
    </row>
    <row r="400" spans="1:10">
      <c r="A400" s="19"/>
      <c r="B400" s="19"/>
      <c r="C400" s="19"/>
      <c r="D400" s="19"/>
      <c r="E400" s="19"/>
      <c r="F400" s="19"/>
      <c r="G400" s="19"/>
      <c r="H400" s="19"/>
      <c r="I400" s="19"/>
      <c r="J400" s="19"/>
    </row>
    <row r="401" spans="1:10">
      <c r="A401" s="19"/>
      <c r="B401" s="19"/>
      <c r="C401" s="19"/>
      <c r="D401" s="19"/>
      <c r="E401" s="19"/>
      <c r="F401" s="19"/>
      <c r="G401" s="19"/>
      <c r="H401" s="19"/>
      <c r="I401" s="19"/>
      <c r="J401" s="19"/>
    </row>
    <row r="402" spans="1:10">
      <c r="A402" s="19"/>
      <c r="B402" s="19"/>
      <c r="C402" s="19"/>
      <c r="D402" s="19"/>
      <c r="E402" s="19"/>
      <c r="F402" s="19"/>
      <c r="G402" s="19"/>
      <c r="H402" s="19"/>
      <c r="I402" s="19"/>
      <c r="J402" s="19"/>
    </row>
    <row r="403" spans="1:10">
      <c r="A403" s="19"/>
      <c r="B403" s="19"/>
      <c r="C403" s="19"/>
      <c r="D403" s="19"/>
      <c r="E403" s="19"/>
      <c r="F403" s="19"/>
      <c r="G403" s="19"/>
      <c r="H403" s="19"/>
      <c r="I403" s="19"/>
      <c r="J403" s="19"/>
    </row>
    <row r="404" spans="1:10">
      <c r="A404" s="19"/>
      <c r="B404" s="19"/>
      <c r="C404" s="19"/>
      <c r="D404" s="19"/>
      <c r="E404" s="19"/>
      <c r="F404" s="19"/>
      <c r="G404" s="19"/>
      <c r="H404" s="19"/>
      <c r="I404" s="19"/>
      <c r="J404" s="19"/>
    </row>
    <row r="405" spans="1:10">
      <c r="A405" s="19"/>
      <c r="B405" s="19"/>
      <c r="C405" s="19"/>
      <c r="D405" s="19"/>
      <c r="E405" s="19"/>
      <c r="F405" s="19"/>
      <c r="G405" s="19"/>
      <c r="H405" s="19"/>
      <c r="I405" s="19"/>
      <c r="J405" s="19"/>
    </row>
    <row r="406" spans="1:10">
      <c r="A406" s="19"/>
      <c r="B406" s="19"/>
      <c r="C406" s="19"/>
      <c r="D406" s="19"/>
      <c r="E406" s="19"/>
      <c r="F406" s="19"/>
      <c r="G406" s="19"/>
      <c r="H406" s="19"/>
      <c r="I406" s="19"/>
      <c r="J406" s="19"/>
    </row>
    <row r="407" spans="1:10">
      <c r="A407" s="19"/>
      <c r="B407" s="19"/>
      <c r="C407" s="19"/>
      <c r="D407" s="19"/>
      <c r="E407" s="19"/>
      <c r="F407" s="19"/>
      <c r="G407" s="19"/>
      <c r="H407" s="19"/>
      <c r="I407" s="19"/>
      <c r="J407" s="19"/>
    </row>
    <row r="408" spans="1:10">
      <c r="A408" s="19"/>
      <c r="B408" s="19"/>
      <c r="C408" s="19"/>
      <c r="D408" s="19"/>
      <c r="E408" s="19"/>
      <c r="F408" s="19"/>
      <c r="G408" s="19"/>
      <c r="H408" s="19"/>
      <c r="I408" s="19"/>
      <c r="J408" s="19"/>
    </row>
    <row r="409" spans="1:10">
      <c r="A409" s="19"/>
      <c r="B409" s="19"/>
      <c r="C409" s="19"/>
      <c r="D409" s="19"/>
      <c r="E409" s="19"/>
      <c r="F409" s="19"/>
      <c r="G409" s="19"/>
      <c r="H409" s="19"/>
      <c r="I409" s="19"/>
      <c r="J409" s="19"/>
    </row>
    <row r="410" spans="1:10">
      <c r="A410" s="19"/>
      <c r="B410" s="19"/>
      <c r="C410" s="19"/>
      <c r="D410" s="19"/>
      <c r="E410" s="19"/>
      <c r="F410" s="19"/>
      <c r="G410" s="19"/>
      <c r="H410" s="19"/>
      <c r="I410" s="19"/>
      <c r="J410" s="19"/>
    </row>
    <row r="411" spans="1:10">
      <c r="A411" s="19"/>
      <c r="B411" s="19"/>
      <c r="C411" s="19"/>
      <c r="D411" s="19"/>
      <c r="E411" s="19"/>
      <c r="F411" s="19"/>
      <c r="G411" s="19"/>
      <c r="H411" s="19"/>
      <c r="I411" s="19"/>
      <c r="J411" s="19"/>
    </row>
    <row r="412" spans="1:10">
      <c r="A412" s="19"/>
      <c r="B412" s="19"/>
      <c r="C412" s="19"/>
      <c r="D412" s="19"/>
      <c r="E412" s="19"/>
      <c r="F412" s="19"/>
      <c r="G412" s="19"/>
      <c r="H412" s="19"/>
      <c r="I412" s="19"/>
      <c r="J412" s="19"/>
    </row>
    <row r="413" spans="1:10">
      <c r="A413" s="19"/>
      <c r="B413" s="19"/>
      <c r="C413" s="19"/>
      <c r="D413" s="19"/>
      <c r="E413" s="19"/>
      <c r="F413" s="19"/>
      <c r="G413" s="19"/>
      <c r="H413" s="19"/>
      <c r="I413" s="19"/>
      <c r="J413" s="19"/>
    </row>
    <row r="414" spans="1:10">
      <c r="A414" s="19"/>
      <c r="B414" s="19"/>
      <c r="C414" s="19"/>
      <c r="D414" s="19"/>
      <c r="E414" s="19"/>
      <c r="F414" s="19"/>
      <c r="G414" s="19"/>
      <c r="H414" s="19"/>
      <c r="I414" s="19"/>
      <c r="J414" s="19"/>
    </row>
    <row r="415" spans="1:10">
      <c r="A415" s="19"/>
      <c r="B415" s="19"/>
      <c r="C415" s="19"/>
      <c r="D415" s="19"/>
      <c r="E415" s="19"/>
      <c r="F415" s="19"/>
      <c r="G415" s="19"/>
      <c r="H415" s="19"/>
      <c r="I415" s="19"/>
      <c r="J415" s="19"/>
    </row>
    <row r="416" spans="1:10">
      <c r="A416" s="19"/>
      <c r="B416" s="19"/>
      <c r="C416" s="19"/>
      <c r="D416" s="19"/>
      <c r="E416" s="19"/>
      <c r="F416" s="19"/>
      <c r="G416" s="19"/>
      <c r="H416" s="19"/>
      <c r="I416" s="19"/>
      <c r="J416" s="19"/>
    </row>
    <row r="417" spans="1:10">
      <c r="A417" s="19"/>
      <c r="B417" s="19"/>
      <c r="C417" s="19"/>
      <c r="D417" s="19"/>
      <c r="E417" s="19"/>
      <c r="F417" s="19"/>
      <c r="G417" s="19"/>
      <c r="H417" s="19"/>
      <c r="I417" s="19"/>
      <c r="J417" s="19"/>
    </row>
    <row r="418" spans="1:10">
      <c r="A418" s="19"/>
      <c r="B418" s="19"/>
      <c r="C418" s="19"/>
      <c r="D418" s="19"/>
      <c r="E418" s="19"/>
      <c r="F418" s="19"/>
      <c r="G418" s="19"/>
      <c r="H418" s="19"/>
      <c r="I418" s="19"/>
      <c r="J418" s="19"/>
    </row>
    <row r="419" spans="1:10">
      <c r="A419" s="19"/>
      <c r="B419" s="19"/>
      <c r="C419" s="19"/>
      <c r="D419" s="19"/>
      <c r="E419" s="19"/>
      <c r="F419" s="19"/>
      <c r="G419" s="19"/>
      <c r="H419" s="19"/>
      <c r="I419" s="19"/>
      <c r="J419" s="19"/>
    </row>
    <row r="420" spans="1:10">
      <c r="A420" s="19"/>
      <c r="B420" s="19"/>
      <c r="C420" s="19"/>
      <c r="D420" s="19"/>
      <c r="E420" s="19"/>
      <c r="F420" s="19"/>
      <c r="G420" s="19"/>
      <c r="H420" s="19"/>
      <c r="I420" s="19"/>
      <c r="J420" s="19"/>
    </row>
    <row r="421" spans="1:10">
      <c r="A421" s="19"/>
      <c r="B421" s="19"/>
      <c r="C421" s="19"/>
      <c r="D421" s="19"/>
      <c r="E421" s="19"/>
      <c r="F421" s="19"/>
      <c r="G421" s="19"/>
      <c r="H421" s="19"/>
      <c r="I421" s="19"/>
      <c r="J421" s="19"/>
    </row>
    <row r="422" spans="1:10">
      <c r="A422" s="19"/>
      <c r="B422" s="19"/>
      <c r="C422" s="19"/>
      <c r="D422" s="19"/>
      <c r="E422" s="19"/>
      <c r="F422" s="19"/>
      <c r="G422" s="19"/>
      <c r="H422" s="19"/>
      <c r="I422" s="19"/>
      <c r="J422" s="19"/>
    </row>
    <row r="423" spans="1:10">
      <c r="A423" s="19"/>
      <c r="B423" s="19"/>
      <c r="C423" s="19"/>
      <c r="D423" s="19"/>
      <c r="E423" s="19"/>
      <c r="F423" s="19"/>
      <c r="G423" s="19"/>
      <c r="H423" s="19"/>
      <c r="I423" s="19"/>
      <c r="J423" s="19"/>
    </row>
    <row r="424" spans="1:10">
      <c r="A424" s="19"/>
      <c r="B424" s="19"/>
      <c r="C424" s="19"/>
      <c r="D424" s="19"/>
      <c r="E424" s="19"/>
      <c r="F424" s="19"/>
      <c r="G424" s="19"/>
      <c r="H424" s="19"/>
      <c r="I424" s="19"/>
      <c r="J424" s="19"/>
    </row>
    <row r="425" spans="1:10">
      <c r="A425" s="19"/>
      <c r="B425" s="19"/>
      <c r="C425" s="19"/>
      <c r="D425" s="19"/>
      <c r="E425" s="19"/>
      <c r="F425" s="19"/>
      <c r="G425" s="19"/>
      <c r="H425" s="19"/>
      <c r="I425" s="19"/>
      <c r="J425" s="19"/>
    </row>
    <row r="426" spans="1:10">
      <c r="A426" s="19"/>
      <c r="B426" s="19"/>
      <c r="C426" s="19"/>
      <c r="D426" s="19"/>
      <c r="E426" s="19"/>
      <c r="F426" s="19"/>
      <c r="G426" s="19"/>
      <c r="H426" s="19"/>
      <c r="I426" s="19"/>
      <c r="J426" s="19"/>
    </row>
    <row r="427" spans="1:10">
      <c r="A427" s="19"/>
      <c r="B427" s="19"/>
      <c r="C427" s="19"/>
      <c r="D427" s="19"/>
      <c r="E427" s="19"/>
      <c r="F427" s="19"/>
      <c r="G427" s="19"/>
      <c r="H427" s="19"/>
      <c r="I427" s="19"/>
      <c r="J427" s="19"/>
    </row>
    <row r="428" spans="1:10">
      <c r="A428" s="19"/>
      <c r="B428" s="19"/>
      <c r="C428" s="19"/>
      <c r="D428" s="19"/>
      <c r="E428" s="19"/>
      <c r="F428" s="19"/>
      <c r="G428" s="19"/>
      <c r="H428" s="19"/>
      <c r="I428" s="19"/>
      <c r="J428" s="19"/>
    </row>
    <row r="429" spans="1:10">
      <c r="A429" s="19"/>
      <c r="B429" s="19"/>
      <c r="C429" s="19"/>
      <c r="D429" s="19"/>
      <c r="E429" s="19"/>
      <c r="F429" s="19"/>
      <c r="G429" s="19"/>
      <c r="H429" s="19"/>
      <c r="I429" s="19"/>
      <c r="J429" s="19"/>
    </row>
    <row r="430" spans="1:10">
      <c r="A430" s="19"/>
      <c r="B430" s="19"/>
      <c r="C430" s="19"/>
      <c r="D430" s="19"/>
      <c r="E430" s="19"/>
      <c r="F430" s="19"/>
      <c r="G430" s="19"/>
      <c r="H430" s="19"/>
      <c r="I430" s="19"/>
      <c r="J430" s="19"/>
    </row>
    <row r="431" spans="1:10">
      <c r="A431" s="19"/>
      <c r="B431" s="19"/>
      <c r="C431" s="19"/>
      <c r="D431" s="19"/>
      <c r="E431" s="19"/>
      <c r="F431" s="19"/>
      <c r="G431" s="19"/>
      <c r="H431" s="19"/>
      <c r="I431" s="19"/>
      <c r="J431" s="19"/>
    </row>
    <row r="432" spans="1:10">
      <c r="A432" s="19"/>
      <c r="B432" s="19"/>
      <c r="C432" s="19"/>
      <c r="D432" s="19"/>
      <c r="E432" s="19"/>
      <c r="F432" s="19"/>
      <c r="G432" s="19"/>
      <c r="H432" s="19"/>
      <c r="I432" s="19"/>
      <c r="J432" s="19"/>
    </row>
    <row r="433" spans="1:10">
      <c r="A433" s="19"/>
      <c r="B433" s="19"/>
      <c r="C433" s="19"/>
      <c r="D433" s="19"/>
      <c r="E433" s="19"/>
      <c r="F433" s="19"/>
      <c r="G433" s="19"/>
      <c r="H433" s="19"/>
      <c r="I433" s="19"/>
      <c r="J433" s="19"/>
    </row>
    <row r="434" spans="1:10">
      <c r="A434" s="19"/>
      <c r="B434" s="19"/>
      <c r="C434" s="19"/>
      <c r="D434" s="19"/>
      <c r="E434" s="19"/>
      <c r="F434" s="19"/>
      <c r="G434" s="19"/>
      <c r="H434" s="19"/>
      <c r="I434" s="19"/>
      <c r="J434" s="19"/>
    </row>
    <row r="435" spans="1:10">
      <c r="A435" s="19"/>
      <c r="B435" s="19"/>
      <c r="C435" s="19"/>
      <c r="D435" s="19"/>
      <c r="E435" s="19"/>
      <c r="F435" s="19"/>
      <c r="G435" s="19"/>
      <c r="H435" s="19"/>
      <c r="I435" s="19"/>
      <c r="J435" s="19"/>
    </row>
    <row r="436" spans="1:10">
      <c r="A436" s="19"/>
      <c r="B436" s="19"/>
      <c r="C436" s="19"/>
      <c r="D436" s="19"/>
      <c r="E436" s="19"/>
      <c r="F436" s="19"/>
      <c r="G436" s="19"/>
      <c r="H436" s="19"/>
      <c r="I436" s="19"/>
      <c r="J436" s="19"/>
    </row>
    <row r="437" spans="1:10">
      <c r="A437" s="19"/>
      <c r="B437" s="19"/>
      <c r="C437" s="19"/>
      <c r="D437" s="19"/>
      <c r="E437" s="19"/>
      <c r="F437" s="19"/>
      <c r="G437" s="19"/>
      <c r="H437" s="19"/>
      <c r="I437" s="19"/>
      <c r="J437" s="19"/>
    </row>
    <row r="438" spans="1:10">
      <c r="A438" s="19"/>
      <c r="B438" s="19"/>
      <c r="C438" s="19"/>
      <c r="D438" s="19"/>
      <c r="E438" s="19"/>
      <c r="F438" s="19"/>
      <c r="G438" s="19"/>
      <c r="H438" s="19"/>
      <c r="I438" s="19"/>
      <c r="J438" s="19"/>
    </row>
    <row r="439" spans="1:10">
      <c r="A439" s="19"/>
      <c r="B439" s="19"/>
      <c r="C439" s="19"/>
      <c r="D439" s="19"/>
      <c r="E439" s="19"/>
      <c r="F439" s="19"/>
      <c r="G439" s="19"/>
      <c r="H439" s="19"/>
      <c r="I439" s="19"/>
      <c r="J439" s="19"/>
    </row>
    <row r="440" spans="1:10">
      <c r="A440" s="19"/>
      <c r="B440" s="19"/>
      <c r="C440" s="19"/>
      <c r="D440" s="19"/>
      <c r="E440" s="19"/>
      <c r="F440" s="19"/>
      <c r="G440" s="19"/>
      <c r="H440" s="19"/>
      <c r="I440" s="19"/>
      <c r="J440" s="19"/>
    </row>
    <row r="441" spans="1:10">
      <c r="A441" s="19"/>
      <c r="B441" s="19"/>
      <c r="C441" s="19"/>
      <c r="D441" s="19"/>
      <c r="E441" s="19"/>
      <c r="F441" s="19"/>
      <c r="G441" s="19"/>
      <c r="H441" s="19"/>
      <c r="I441" s="19"/>
      <c r="J441" s="19"/>
    </row>
    <row r="442" spans="1:10">
      <c r="A442" s="19"/>
      <c r="B442" s="19"/>
      <c r="C442" s="19"/>
      <c r="D442" s="19"/>
      <c r="E442" s="19"/>
      <c r="F442" s="19"/>
      <c r="G442" s="19"/>
      <c r="H442" s="19"/>
      <c r="I442" s="19"/>
      <c r="J442" s="19"/>
    </row>
    <row r="443" spans="1:10">
      <c r="A443" s="19"/>
      <c r="B443" s="19"/>
      <c r="C443" s="19"/>
      <c r="D443" s="19"/>
      <c r="E443" s="19"/>
      <c r="F443" s="19"/>
      <c r="G443" s="19"/>
      <c r="H443" s="19"/>
      <c r="I443" s="19"/>
      <c r="J443" s="19"/>
    </row>
    <row r="444" spans="1:10">
      <c r="A444" s="19"/>
      <c r="B444" s="19"/>
      <c r="C444" s="19"/>
      <c r="D444" s="19"/>
      <c r="E444" s="19"/>
      <c r="F444" s="19"/>
      <c r="G444" s="19"/>
      <c r="H444" s="19"/>
      <c r="I444" s="19"/>
      <c r="J444" s="19"/>
    </row>
    <row r="445" spans="1:10">
      <c r="A445" s="19"/>
      <c r="B445" s="19"/>
      <c r="C445" s="19"/>
      <c r="D445" s="19"/>
      <c r="E445" s="19"/>
      <c r="F445" s="19"/>
      <c r="G445" s="19"/>
      <c r="H445" s="19"/>
      <c r="I445" s="19"/>
      <c r="J445" s="19"/>
    </row>
    <row r="446" spans="1:10">
      <c r="A446" s="19"/>
      <c r="B446" s="19"/>
      <c r="C446" s="19"/>
      <c r="D446" s="19"/>
      <c r="E446" s="19"/>
      <c r="F446" s="19"/>
      <c r="G446" s="19"/>
      <c r="H446" s="19"/>
      <c r="I446" s="19"/>
      <c r="J446" s="19"/>
    </row>
    <row r="447" spans="1:10">
      <c r="A447" s="19"/>
      <c r="B447" s="19"/>
      <c r="C447" s="19"/>
      <c r="D447" s="19"/>
      <c r="E447" s="19"/>
      <c r="F447" s="19"/>
      <c r="G447" s="19"/>
      <c r="H447" s="19"/>
      <c r="I447" s="19"/>
      <c r="J447" s="19"/>
    </row>
    <row r="448" spans="1:10">
      <c r="A448" s="19"/>
      <c r="B448" s="19"/>
      <c r="C448" s="19"/>
      <c r="D448" s="19"/>
      <c r="E448" s="19"/>
      <c r="F448" s="19"/>
      <c r="G448" s="19"/>
      <c r="H448" s="19"/>
      <c r="I448" s="19"/>
      <c r="J448" s="19"/>
    </row>
    <row r="449" spans="1:10">
      <c r="A449" s="19"/>
      <c r="B449" s="19"/>
      <c r="C449" s="19"/>
      <c r="D449" s="19"/>
      <c r="E449" s="19"/>
      <c r="F449" s="19"/>
      <c r="G449" s="19"/>
      <c r="H449" s="19"/>
      <c r="I449" s="19"/>
      <c r="J449" s="19"/>
    </row>
    <row r="450" spans="1:10">
      <c r="A450" s="19"/>
      <c r="B450" s="19"/>
      <c r="C450" s="19"/>
      <c r="D450" s="19"/>
      <c r="E450" s="19"/>
      <c r="F450" s="19"/>
      <c r="G450" s="19"/>
      <c r="H450" s="19"/>
      <c r="I450" s="19"/>
      <c r="J450" s="19"/>
    </row>
    <row r="451" spans="1:10">
      <c r="A451" s="19"/>
      <c r="B451" s="19"/>
      <c r="C451" s="19"/>
      <c r="D451" s="19"/>
      <c r="E451" s="19"/>
      <c r="F451" s="19"/>
      <c r="G451" s="19"/>
      <c r="H451" s="19"/>
      <c r="I451" s="19"/>
      <c r="J451" s="19"/>
    </row>
    <row r="452" spans="1:10">
      <c r="A452" s="19"/>
      <c r="B452" s="19"/>
      <c r="C452" s="19"/>
      <c r="D452" s="19"/>
      <c r="E452" s="19"/>
      <c r="F452" s="19"/>
      <c r="G452" s="19"/>
      <c r="H452" s="19"/>
      <c r="I452" s="19"/>
      <c r="J452" s="19"/>
    </row>
    <row r="453" spans="1:10">
      <c r="A453" s="19"/>
      <c r="B453" s="19"/>
      <c r="C453" s="19"/>
      <c r="D453" s="19"/>
      <c r="E453" s="19"/>
      <c r="F453" s="19"/>
      <c r="G453" s="19"/>
      <c r="H453" s="19"/>
      <c r="I453" s="19"/>
      <c r="J453" s="19"/>
    </row>
    <row r="454" spans="1:10">
      <c r="A454" s="19"/>
      <c r="B454" s="19"/>
      <c r="C454" s="19"/>
      <c r="D454" s="19"/>
      <c r="E454" s="19"/>
      <c r="F454" s="19"/>
      <c r="G454" s="19"/>
      <c r="H454" s="19"/>
      <c r="I454" s="19"/>
      <c r="J454" s="19"/>
    </row>
    <row r="455" spans="1:10">
      <c r="A455" s="19"/>
      <c r="B455" s="19"/>
      <c r="C455" s="19"/>
      <c r="D455" s="19"/>
      <c r="E455" s="19"/>
      <c r="F455" s="19"/>
      <c r="G455" s="19"/>
      <c r="H455" s="19"/>
      <c r="I455" s="19"/>
      <c r="J455" s="19"/>
    </row>
    <row r="456" spans="1:10">
      <c r="A456" s="19"/>
      <c r="B456" s="19"/>
      <c r="C456" s="19"/>
      <c r="D456" s="19"/>
      <c r="E456" s="19"/>
      <c r="F456" s="19"/>
      <c r="G456" s="19"/>
      <c r="H456" s="19"/>
      <c r="I456" s="19"/>
      <c r="J456" s="19"/>
    </row>
    <row r="457" spans="1:10">
      <c r="A457" s="19"/>
      <c r="B457" s="19"/>
      <c r="C457" s="19"/>
      <c r="D457" s="19"/>
      <c r="E457" s="19"/>
      <c r="F457" s="19"/>
      <c r="G457" s="19"/>
      <c r="H457" s="19"/>
      <c r="I457" s="19"/>
      <c r="J457" s="19"/>
    </row>
    <row r="458" spans="1:10">
      <c r="A458" s="19"/>
      <c r="B458" s="19"/>
      <c r="C458" s="19"/>
      <c r="D458" s="19"/>
      <c r="E458" s="19"/>
      <c r="F458" s="19"/>
      <c r="G458" s="19"/>
      <c r="H458" s="19"/>
      <c r="I458" s="19"/>
      <c r="J458" s="19"/>
    </row>
    <row r="459" spans="1:10">
      <c r="A459" s="19"/>
      <c r="B459" s="19"/>
      <c r="C459" s="19"/>
      <c r="D459" s="19"/>
      <c r="E459" s="19"/>
      <c r="F459" s="19"/>
      <c r="G459" s="19"/>
      <c r="H459" s="19"/>
      <c r="I459" s="19"/>
      <c r="J459" s="19"/>
    </row>
    <row r="460" spans="1:10">
      <c r="A460" s="19"/>
      <c r="B460" s="19"/>
      <c r="C460" s="19"/>
      <c r="D460" s="19"/>
      <c r="E460" s="19"/>
      <c r="F460" s="19"/>
      <c r="G460" s="19"/>
      <c r="H460" s="19"/>
      <c r="I460" s="19"/>
      <c r="J460" s="19"/>
    </row>
    <row r="461" spans="1:10">
      <c r="A461" s="19"/>
      <c r="B461" s="19"/>
      <c r="C461" s="19"/>
      <c r="D461" s="19"/>
      <c r="E461" s="19"/>
      <c r="F461" s="19"/>
      <c r="G461" s="19"/>
      <c r="H461" s="19"/>
      <c r="I461" s="19"/>
      <c r="J461" s="19"/>
    </row>
    <row r="462" spans="1:10">
      <c r="A462" s="19"/>
      <c r="B462" s="19"/>
      <c r="C462" s="19"/>
      <c r="D462" s="19"/>
      <c r="E462" s="19"/>
      <c r="F462" s="19"/>
      <c r="G462" s="19"/>
      <c r="H462" s="19"/>
      <c r="I462" s="19"/>
      <c r="J462" s="19"/>
    </row>
    <row r="463" spans="1:10">
      <c r="A463" s="19"/>
      <c r="B463" s="19"/>
      <c r="C463" s="19"/>
      <c r="D463" s="19"/>
      <c r="E463" s="19"/>
      <c r="F463" s="19"/>
      <c r="G463" s="19"/>
      <c r="H463" s="19"/>
      <c r="I463" s="19"/>
      <c r="J463" s="19"/>
    </row>
    <row r="464" spans="1:10">
      <c r="A464" s="19"/>
      <c r="B464" s="19"/>
      <c r="C464" s="19"/>
      <c r="D464" s="19"/>
      <c r="E464" s="19"/>
      <c r="F464" s="19"/>
      <c r="G464" s="19"/>
      <c r="H464" s="19"/>
      <c r="I464" s="19"/>
      <c r="J464" s="19"/>
    </row>
    <row r="465" spans="1:10">
      <c r="A465" s="19"/>
      <c r="B465" s="19"/>
      <c r="C465" s="19"/>
      <c r="D465" s="19"/>
      <c r="E465" s="19"/>
      <c r="F465" s="19"/>
      <c r="G465" s="19"/>
      <c r="H465" s="19"/>
      <c r="I465" s="19"/>
      <c r="J465" s="19"/>
    </row>
    <row r="466" spans="1:10">
      <c r="A466" s="19"/>
      <c r="B466" s="19"/>
      <c r="C466" s="19"/>
      <c r="D466" s="19"/>
      <c r="E466" s="19"/>
      <c r="F466" s="19"/>
      <c r="G466" s="19"/>
      <c r="H466" s="19"/>
      <c r="I466" s="19"/>
      <c r="J466" s="19"/>
    </row>
    <row r="467" spans="1:10">
      <c r="A467" s="19"/>
      <c r="B467" s="19"/>
      <c r="C467" s="19"/>
      <c r="D467" s="19"/>
      <c r="E467" s="19"/>
      <c r="F467" s="19"/>
      <c r="G467" s="19"/>
      <c r="H467" s="19"/>
      <c r="I467" s="19"/>
      <c r="J467" s="19"/>
    </row>
    <row r="468" spans="1:10">
      <c r="A468" s="19"/>
      <c r="B468" s="19"/>
      <c r="C468" s="19"/>
      <c r="D468" s="19"/>
      <c r="E468" s="19"/>
      <c r="F468" s="19"/>
      <c r="G468" s="19"/>
      <c r="H468" s="19"/>
      <c r="I468" s="19"/>
      <c r="J468" s="19"/>
    </row>
    <row r="469" spans="1:10">
      <c r="A469" s="19"/>
      <c r="B469" s="19"/>
      <c r="C469" s="19"/>
      <c r="D469" s="19"/>
      <c r="E469" s="19"/>
      <c r="F469" s="19"/>
      <c r="G469" s="19"/>
      <c r="H469" s="19"/>
      <c r="I469" s="19"/>
      <c r="J469" s="19"/>
    </row>
    <row r="470" spans="1:10">
      <c r="A470" s="19"/>
      <c r="B470" s="19"/>
      <c r="C470" s="19"/>
      <c r="D470" s="19"/>
      <c r="E470" s="19"/>
      <c r="F470" s="19"/>
      <c r="G470" s="19"/>
      <c r="H470" s="19"/>
      <c r="I470" s="19"/>
      <c r="J470" s="19"/>
    </row>
    <row r="471" spans="1:10">
      <c r="A471" s="19"/>
      <c r="B471" s="19"/>
      <c r="C471" s="19"/>
      <c r="D471" s="19"/>
      <c r="E471" s="19"/>
      <c r="F471" s="19"/>
      <c r="G471" s="19"/>
      <c r="H471" s="19"/>
      <c r="I471" s="19"/>
      <c r="J471" s="19"/>
    </row>
    <row r="472" spans="1:10">
      <c r="A472" s="19"/>
      <c r="B472" s="19"/>
      <c r="C472" s="19"/>
      <c r="D472" s="19"/>
      <c r="E472" s="19"/>
      <c r="F472" s="19"/>
      <c r="G472" s="19"/>
      <c r="H472" s="19"/>
      <c r="I472" s="19"/>
      <c r="J472" s="19"/>
    </row>
    <row r="473" spans="1:10">
      <c r="A473" s="19"/>
      <c r="B473" s="19"/>
      <c r="C473" s="19"/>
      <c r="D473" s="19"/>
      <c r="E473" s="19"/>
      <c r="F473" s="19"/>
      <c r="G473" s="19"/>
      <c r="H473" s="19"/>
      <c r="I473" s="19"/>
      <c r="J473" s="19"/>
    </row>
    <row r="474" spans="1:10">
      <c r="A474" s="19"/>
      <c r="B474" s="19"/>
      <c r="C474" s="19"/>
      <c r="D474" s="19"/>
      <c r="E474" s="19"/>
      <c r="F474" s="19"/>
      <c r="G474" s="19"/>
      <c r="H474" s="19"/>
      <c r="I474" s="19"/>
      <c r="J474" s="19"/>
    </row>
    <row r="475" spans="1:10">
      <c r="A475" s="19"/>
      <c r="B475" s="19"/>
      <c r="C475" s="19"/>
      <c r="D475" s="19"/>
      <c r="E475" s="19"/>
      <c r="F475" s="19"/>
      <c r="G475" s="19"/>
      <c r="H475" s="19"/>
      <c r="I475" s="19"/>
      <c r="J475" s="19"/>
    </row>
    <row r="476" spans="1:10">
      <c r="A476" s="19"/>
      <c r="B476" s="19"/>
      <c r="C476" s="19"/>
      <c r="D476" s="19"/>
      <c r="E476" s="19"/>
      <c r="F476" s="19"/>
      <c r="G476" s="19"/>
      <c r="H476" s="19"/>
      <c r="I476" s="19"/>
      <c r="J476" s="19"/>
    </row>
    <row r="477" spans="1:10">
      <c r="A477" s="19"/>
      <c r="B477" s="19"/>
      <c r="C477" s="19"/>
      <c r="D477" s="19"/>
      <c r="E477" s="19"/>
      <c r="F477" s="19"/>
      <c r="G477" s="19"/>
      <c r="H477" s="19"/>
      <c r="I477" s="19"/>
      <c r="J477" s="19"/>
    </row>
    <row r="478" spans="1:10">
      <c r="A478" s="19"/>
      <c r="B478" s="19"/>
      <c r="C478" s="19"/>
      <c r="D478" s="19"/>
      <c r="E478" s="19"/>
      <c r="F478" s="19"/>
      <c r="G478" s="19"/>
      <c r="H478" s="19"/>
      <c r="I478" s="19"/>
      <c r="J478" s="19"/>
    </row>
    <row r="479" spans="1:10">
      <c r="A479" s="19"/>
      <c r="B479" s="19"/>
      <c r="C479" s="19"/>
      <c r="D479" s="19"/>
      <c r="E479" s="19"/>
      <c r="F479" s="19"/>
      <c r="G479" s="19"/>
      <c r="H479" s="19"/>
      <c r="I479" s="19"/>
      <c r="J479" s="19"/>
    </row>
    <row r="480" spans="1:10">
      <c r="A480" s="19"/>
      <c r="B480" s="19"/>
      <c r="C480" s="19"/>
      <c r="D480" s="19"/>
      <c r="E480" s="19"/>
      <c r="F480" s="19"/>
      <c r="G480" s="19"/>
      <c r="H480" s="19"/>
      <c r="I480" s="19"/>
      <c r="J480" s="19"/>
    </row>
    <row r="481" spans="1:10">
      <c r="A481" s="19"/>
      <c r="B481" s="19"/>
      <c r="C481" s="19"/>
      <c r="D481" s="19"/>
      <c r="E481" s="19"/>
      <c r="F481" s="19"/>
      <c r="G481" s="19"/>
      <c r="H481" s="19"/>
      <c r="I481" s="19"/>
      <c r="J481" s="19"/>
    </row>
    <row r="482" spans="1:10">
      <c r="A482" s="19"/>
      <c r="B482" s="19"/>
      <c r="C482" s="19"/>
      <c r="D482" s="19"/>
      <c r="E482" s="19"/>
      <c r="F482" s="19"/>
      <c r="G482" s="19"/>
      <c r="H482" s="19"/>
      <c r="I482" s="19"/>
      <c r="J482" s="19"/>
    </row>
    <row r="483" spans="1:10">
      <c r="A483" s="19"/>
      <c r="B483" s="19"/>
      <c r="C483" s="19"/>
      <c r="D483" s="19"/>
      <c r="E483" s="19"/>
      <c r="F483" s="19"/>
      <c r="G483" s="19"/>
      <c r="H483" s="19"/>
      <c r="I483" s="19"/>
      <c r="J483" s="19"/>
    </row>
    <row r="484" spans="1:10">
      <c r="A484" s="19"/>
      <c r="B484" s="19"/>
      <c r="C484" s="19"/>
      <c r="D484" s="19"/>
      <c r="E484" s="19"/>
      <c r="F484" s="19"/>
      <c r="G484" s="19"/>
      <c r="H484" s="19"/>
      <c r="I484" s="19"/>
      <c r="J484" s="19"/>
    </row>
    <row r="485" spans="1:10">
      <c r="A485" s="19"/>
      <c r="B485" s="19"/>
      <c r="C485" s="19"/>
      <c r="D485" s="19"/>
      <c r="E485" s="19"/>
      <c r="F485" s="19"/>
      <c r="G485" s="19"/>
      <c r="H485" s="19"/>
      <c r="I485" s="19"/>
      <c r="J485" s="19"/>
    </row>
    <row r="486" spans="1:10">
      <c r="A486" s="19"/>
      <c r="B486" s="19"/>
      <c r="C486" s="19"/>
      <c r="D486" s="19"/>
      <c r="E486" s="19"/>
      <c r="F486" s="19"/>
      <c r="G486" s="19"/>
      <c r="H486" s="19"/>
      <c r="I486" s="19"/>
      <c r="J486" s="19"/>
    </row>
    <row r="487" spans="1:10">
      <c r="A487" s="19"/>
      <c r="B487" s="19"/>
      <c r="C487" s="19"/>
      <c r="D487" s="19"/>
      <c r="E487" s="19"/>
      <c r="F487" s="19"/>
      <c r="G487" s="19"/>
      <c r="H487" s="19"/>
      <c r="I487" s="19"/>
      <c r="J487" s="19"/>
    </row>
    <row r="488" spans="1:10">
      <c r="A488" s="19"/>
      <c r="B488" s="19"/>
      <c r="C488" s="19"/>
      <c r="D488" s="19"/>
      <c r="E488" s="19"/>
      <c r="F488" s="19"/>
      <c r="G488" s="19"/>
      <c r="H488" s="19"/>
      <c r="I488" s="19"/>
      <c r="J488" s="19"/>
    </row>
    <row r="489" spans="1:10">
      <c r="A489" s="19"/>
      <c r="B489" s="19"/>
      <c r="C489" s="19"/>
      <c r="D489" s="19"/>
      <c r="E489" s="19"/>
      <c r="F489" s="19"/>
      <c r="G489" s="19"/>
      <c r="H489" s="19"/>
      <c r="I489" s="19"/>
      <c r="J489" s="19"/>
    </row>
    <row r="490" spans="1:10">
      <c r="A490" s="19"/>
      <c r="B490" s="19"/>
      <c r="C490" s="19"/>
      <c r="D490" s="19"/>
      <c r="E490" s="19"/>
      <c r="F490" s="19"/>
      <c r="G490" s="19"/>
      <c r="H490" s="19"/>
      <c r="I490" s="19"/>
      <c r="J490" s="19"/>
    </row>
    <row r="491" spans="1:10">
      <c r="A491" s="19"/>
      <c r="B491" s="19"/>
      <c r="C491" s="19"/>
      <c r="D491" s="19"/>
      <c r="E491" s="19"/>
      <c r="F491" s="19"/>
      <c r="G491" s="19"/>
      <c r="H491" s="19"/>
      <c r="I491" s="19"/>
      <c r="J491" s="19"/>
    </row>
    <row r="492" spans="1:10">
      <c r="A492" s="19"/>
      <c r="B492" s="19"/>
      <c r="C492" s="19"/>
      <c r="D492" s="19"/>
      <c r="E492" s="19"/>
      <c r="F492" s="19"/>
      <c r="G492" s="19"/>
      <c r="H492" s="19"/>
      <c r="I492" s="19"/>
      <c r="J492" s="19"/>
    </row>
    <row r="493" spans="1:10">
      <c r="A493" s="19"/>
      <c r="B493" s="19"/>
      <c r="C493" s="19"/>
      <c r="D493" s="19"/>
      <c r="E493" s="19"/>
      <c r="F493" s="19"/>
      <c r="G493" s="19"/>
      <c r="H493" s="19"/>
      <c r="I493" s="19"/>
      <c r="J493" s="19"/>
    </row>
    <row r="494" spans="1:10">
      <c r="A494" s="19"/>
      <c r="B494" s="19"/>
      <c r="C494" s="19"/>
      <c r="D494" s="19"/>
      <c r="E494" s="19"/>
      <c r="F494" s="19"/>
      <c r="G494" s="19"/>
      <c r="H494" s="19"/>
      <c r="I494" s="19"/>
      <c r="J494" s="19"/>
    </row>
    <row r="495" spans="1:10">
      <c r="A495" s="19"/>
      <c r="B495" s="19"/>
      <c r="C495" s="19"/>
      <c r="D495" s="19"/>
      <c r="E495" s="19"/>
      <c r="F495" s="19"/>
      <c r="G495" s="19"/>
      <c r="H495" s="19"/>
      <c r="I495" s="19"/>
      <c r="J495" s="19"/>
    </row>
    <row r="496" spans="1:10">
      <c r="A496" s="19"/>
      <c r="B496" s="19"/>
      <c r="C496" s="19"/>
      <c r="D496" s="19"/>
      <c r="E496" s="19"/>
      <c r="F496" s="19"/>
      <c r="G496" s="19"/>
      <c r="H496" s="19"/>
      <c r="I496" s="19"/>
      <c r="J496" s="19"/>
    </row>
    <row r="497" spans="1:10">
      <c r="A497" s="19"/>
      <c r="B497" s="19"/>
      <c r="C497" s="19"/>
      <c r="D497" s="19"/>
      <c r="E497" s="19"/>
      <c r="F497" s="19"/>
      <c r="G497" s="19"/>
      <c r="H497" s="19"/>
      <c r="I497" s="19"/>
      <c r="J497" s="19"/>
    </row>
    <row r="498" spans="1:10">
      <c r="A498" s="19"/>
      <c r="B498" s="19"/>
      <c r="C498" s="19"/>
      <c r="D498" s="19"/>
      <c r="E498" s="19"/>
      <c r="F498" s="19"/>
      <c r="G498" s="19"/>
      <c r="H498" s="19"/>
      <c r="I498" s="19"/>
      <c r="J498" s="19"/>
    </row>
    <row r="499" spans="1:10">
      <c r="A499" s="19"/>
      <c r="B499" s="19"/>
      <c r="C499" s="19"/>
      <c r="D499" s="19"/>
      <c r="E499" s="19"/>
      <c r="F499" s="19"/>
      <c r="G499" s="19"/>
      <c r="H499" s="19"/>
      <c r="I499" s="19"/>
      <c r="J499" s="19"/>
    </row>
    <row r="500" spans="1:10">
      <c r="A500" s="19"/>
      <c r="B500" s="19"/>
      <c r="C500" s="19"/>
      <c r="D500" s="19"/>
      <c r="E500" s="19"/>
      <c r="F500" s="19"/>
      <c r="G500" s="19"/>
      <c r="H500" s="19"/>
      <c r="I500" s="19"/>
      <c r="J500" s="19"/>
    </row>
    <row r="501" spans="1:10">
      <c r="A501" s="19"/>
      <c r="B501" s="19"/>
      <c r="C501" s="19"/>
      <c r="D501" s="19"/>
      <c r="E501" s="19"/>
      <c r="F501" s="19"/>
      <c r="G501" s="19"/>
      <c r="H501" s="19"/>
      <c r="I501" s="19"/>
      <c r="J501" s="19"/>
    </row>
    <row r="502" spans="1:10">
      <c r="A502" s="19"/>
      <c r="B502" s="19"/>
      <c r="C502" s="19"/>
      <c r="D502" s="19"/>
      <c r="E502" s="19"/>
      <c r="F502" s="19"/>
      <c r="G502" s="19"/>
      <c r="H502" s="19"/>
      <c r="I502" s="19"/>
      <c r="J502" s="19"/>
    </row>
    <row r="503" spans="1:10">
      <c r="A503" s="19"/>
      <c r="B503" s="19"/>
      <c r="C503" s="19"/>
      <c r="D503" s="19"/>
      <c r="E503" s="19"/>
      <c r="F503" s="19"/>
      <c r="G503" s="19"/>
      <c r="H503" s="19"/>
      <c r="I503" s="19"/>
      <c r="J503" s="19"/>
    </row>
    <row r="504" spans="1:10">
      <c r="A504" s="19"/>
      <c r="B504" s="19"/>
      <c r="C504" s="19"/>
      <c r="D504" s="19"/>
      <c r="E504" s="19"/>
      <c r="F504" s="19"/>
      <c r="G504" s="19"/>
      <c r="H504" s="19"/>
      <c r="I504" s="19"/>
      <c r="J504" s="19"/>
    </row>
    <row r="505" spans="1:10">
      <c r="A505" s="19"/>
      <c r="B505" s="19"/>
      <c r="C505" s="19"/>
      <c r="D505" s="19"/>
      <c r="E505" s="19"/>
      <c r="F505" s="19"/>
      <c r="G505" s="19"/>
      <c r="H505" s="19"/>
      <c r="I505" s="19"/>
      <c r="J505" s="19"/>
    </row>
    <row r="506" spans="1:10">
      <c r="A506" s="19"/>
      <c r="B506" s="19"/>
      <c r="C506" s="19"/>
      <c r="D506" s="19"/>
      <c r="E506" s="19"/>
      <c r="F506" s="19"/>
      <c r="G506" s="19"/>
      <c r="H506" s="19"/>
      <c r="I506" s="19"/>
      <c r="J506" s="19"/>
    </row>
    <row r="507" spans="1:10">
      <c r="A507" s="19"/>
      <c r="B507" s="19"/>
      <c r="C507" s="19"/>
      <c r="D507" s="19"/>
      <c r="E507" s="19"/>
      <c r="F507" s="19"/>
      <c r="G507" s="19"/>
      <c r="H507" s="19"/>
      <c r="I507" s="19"/>
      <c r="J507" s="19"/>
    </row>
    <row r="508" spans="1:10">
      <c r="A508" s="19"/>
      <c r="B508" s="19"/>
      <c r="C508" s="19"/>
      <c r="D508" s="19"/>
      <c r="E508" s="19"/>
      <c r="F508" s="19"/>
      <c r="G508" s="19"/>
      <c r="H508" s="19"/>
      <c r="I508" s="19"/>
      <c r="J508" s="19"/>
    </row>
    <row r="509" spans="1:10">
      <c r="A509" s="19"/>
      <c r="B509" s="19"/>
      <c r="C509" s="19"/>
      <c r="D509" s="19"/>
      <c r="E509" s="19"/>
      <c r="F509" s="19"/>
      <c r="G509" s="19"/>
      <c r="H509" s="19"/>
      <c r="I509" s="19"/>
      <c r="J509" s="19"/>
    </row>
    <row r="510" spans="1:10">
      <c r="A510" s="19"/>
      <c r="B510" s="19"/>
      <c r="C510" s="19"/>
      <c r="D510" s="19"/>
      <c r="E510" s="19"/>
      <c r="F510" s="19"/>
      <c r="G510" s="19"/>
      <c r="H510" s="19"/>
      <c r="I510" s="19"/>
      <c r="J510" s="19"/>
    </row>
    <row r="511" spans="1:10">
      <c r="A511" s="19"/>
      <c r="B511" s="19"/>
      <c r="C511" s="19"/>
      <c r="D511" s="19"/>
      <c r="E511" s="19"/>
      <c r="F511" s="19"/>
      <c r="G511" s="19"/>
      <c r="H511" s="19"/>
      <c r="I511" s="19"/>
      <c r="J511" s="19"/>
    </row>
    <row r="512" spans="1:10">
      <c r="A512" s="19"/>
      <c r="B512" s="19"/>
      <c r="C512" s="19"/>
      <c r="D512" s="19"/>
      <c r="E512" s="19"/>
      <c r="F512" s="19"/>
      <c r="G512" s="19"/>
      <c r="H512" s="19"/>
      <c r="I512" s="19"/>
      <c r="J512" s="19"/>
    </row>
    <row r="513" spans="1:10">
      <c r="A513" s="19"/>
      <c r="B513" s="19"/>
      <c r="C513" s="19"/>
      <c r="D513" s="19"/>
      <c r="E513" s="19"/>
      <c r="F513" s="19"/>
      <c r="G513" s="19"/>
      <c r="H513" s="19"/>
      <c r="I513" s="19"/>
      <c r="J513" s="19"/>
    </row>
    <row r="514" spans="1:10">
      <c r="A514" s="19"/>
      <c r="B514" s="19"/>
      <c r="C514" s="19"/>
      <c r="D514" s="19"/>
      <c r="E514" s="19"/>
      <c r="F514" s="19"/>
      <c r="G514" s="19"/>
      <c r="H514" s="19"/>
      <c r="I514" s="19"/>
      <c r="J514" s="19"/>
    </row>
    <row r="515" spans="1:10">
      <c r="A515" s="19"/>
      <c r="B515" s="19"/>
      <c r="C515" s="19"/>
      <c r="D515" s="19"/>
      <c r="E515" s="19"/>
      <c r="F515" s="19"/>
      <c r="G515" s="19"/>
      <c r="H515" s="19"/>
      <c r="I515" s="19"/>
      <c r="J515" s="19"/>
    </row>
    <row r="516" spans="1:10">
      <c r="A516" s="19"/>
      <c r="B516" s="19"/>
      <c r="C516" s="19"/>
      <c r="D516" s="19"/>
      <c r="E516" s="19"/>
      <c r="F516" s="19"/>
      <c r="G516" s="19"/>
      <c r="H516" s="19"/>
      <c r="I516" s="19"/>
      <c r="J516" s="19"/>
    </row>
    <row r="517" spans="1:10">
      <c r="A517" s="19"/>
      <c r="B517" s="19"/>
      <c r="C517" s="19"/>
      <c r="D517" s="19"/>
      <c r="E517" s="19"/>
      <c r="F517" s="19"/>
      <c r="G517" s="19"/>
      <c r="H517" s="19"/>
      <c r="I517" s="19"/>
      <c r="J517" s="19"/>
    </row>
    <row r="518" spans="1:10">
      <c r="A518" s="19"/>
      <c r="B518" s="19"/>
      <c r="C518" s="19"/>
      <c r="D518" s="19"/>
      <c r="E518" s="19"/>
      <c r="F518" s="19"/>
      <c r="G518" s="19"/>
      <c r="H518" s="19"/>
      <c r="I518" s="19"/>
      <c r="J518" s="19"/>
    </row>
    <row r="519" spans="1:10">
      <c r="A519" s="19"/>
      <c r="B519" s="19"/>
      <c r="C519" s="19"/>
      <c r="D519" s="19"/>
      <c r="E519" s="19"/>
      <c r="F519" s="19"/>
      <c r="G519" s="19"/>
      <c r="H519" s="19"/>
      <c r="I519" s="19"/>
      <c r="J519" s="19"/>
    </row>
    <row r="520" spans="1:10">
      <c r="A520" s="19"/>
      <c r="B520" s="19"/>
      <c r="C520" s="19"/>
      <c r="D520" s="19"/>
      <c r="E520" s="19"/>
      <c r="F520" s="19"/>
      <c r="G520" s="19"/>
      <c r="H520" s="19"/>
      <c r="I520" s="19"/>
      <c r="J520" s="19"/>
    </row>
    <row r="521" spans="1:10">
      <c r="A521" s="19"/>
      <c r="B521" s="19"/>
      <c r="C521" s="19"/>
      <c r="D521" s="19"/>
      <c r="E521" s="19"/>
      <c r="F521" s="19"/>
      <c r="G521" s="19"/>
      <c r="H521" s="19"/>
      <c r="I521" s="19"/>
      <c r="J521" s="19"/>
    </row>
    <row r="522" spans="1:10">
      <c r="A522" s="19"/>
      <c r="B522" s="19"/>
      <c r="C522" s="19"/>
      <c r="D522" s="19"/>
      <c r="E522" s="19"/>
      <c r="F522" s="19"/>
      <c r="G522" s="19"/>
      <c r="H522" s="19"/>
      <c r="I522" s="19"/>
      <c r="J522" s="19"/>
    </row>
    <row r="523" spans="1:10">
      <c r="A523" s="19"/>
      <c r="B523" s="19"/>
      <c r="C523" s="19"/>
      <c r="D523" s="19"/>
      <c r="E523" s="19"/>
      <c r="F523" s="19"/>
      <c r="G523" s="19"/>
      <c r="H523" s="19"/>
      <c r="I523" s="19"/>
      <c r="J523" s="19"/>
    </row>
    <row r="524" spans="1:10">
      <c r="A524" s="19"/>
      <c r="B524" s="19"/>
      <c r="C524" s="19"/>
      <c r="D524" s="19"/>
      <c r="E524" s="19"/>
      <c r="F524" s="19"/>
      <c r="G524" s="19"/>
      <c r="H524" s="19"/>
      <c r="I524" s="19"/>
      <c r="J524" s="19"/>
    </row>
    <row r="525" spans="1:10">
      <c r="A525" s="19"/>
      <c r="B525" s="19"/>
      <c r="C525" s="19"/>
      <c r="D525" s="19"/>
      <c r="E525" s="19"/>
      <c r="F525" s="19"/>
      <c r="G525" s="19"/>
      <c r="H525" s="19"/>
      <c r="I525" s="19"/>
      <c r="J525" s="19"/>
    </row>
    <row r="526" spans="1:10">
      <c r="A526" s="19"/>
      <c r="B526" s="19"/>
      <c r="C526" s="19"/>
      <c r="D526" s="19"/>
      <c r="E526" s="19"/>
      <c r="F526" s="19"/>
      <c r="G526" s="19"/>
      <c r="H526" s="19"/>
      <c r="I526" s="19"/>
      <c r="J526" s="19"/>
    </row>
    <row r="527" spans="1:10">
      <c r="A527" s="19"/>
      <c r="B527" s="19"/>
      <c r="C527" s="19"/>
      <c r="D527" s="19"/>
      <c r="E527" s="19"/>
      <c r="F527" s="19"/>
      <c r="G527" s="19"/>
      <c r="H527" s="19"/>
      <c r="I527" s="19"/>
      <c r="J527" s="19"/>
    </row>
    <row r="528" spans="1:10">
      <c r="A528" s="19"/>
      <c r="B528" s="19"/>
      <c r="C528" s="19"/>
      <c r="D528" s="19"/>
      <c r="E528" s="19"/>
      <c r="F528" s="19"/>
      <c r="G528" s="19"/>
      <c r="H528" s="19"/>
      <c r="I528" s="19"/>
      <c r="J528" s="19"/>
    </row>
    <row r="529" spans="1:10">
      <c r="A529" s="19"/>
      <c r="B529" s="19"/>
      <c r="C529" s="19"/>
      <c r="D529" s="19"/>
      <c r="E529" s="19"/>
      <c r="F529" s="19"/>
      <c r="G529" s="19"/>
      <c r="H529" s="19"/>
      <c r="I529" s="19"/>
      <c r="J529" s="19"/>
    </row>
    <row r="530" spans="1:10">
      <c r="A530" s="19"/>
      <c r="B530" s="19"/>
      <c r="C530" s="19"/>
      <c r="D530" s="19"/>
      <c r="E530" s="19"/>
      <c r="F530" s="19"/>
      <c r="G530" s="19"/>
      <c r="H530" s="19"/>
      <c r="I530" s="19"/>
      <c r="J530" s="19"/>
    </row>
    <row r="531" spans="1:10">
      <c r="A531" s="19"/>
      <c r="B531" s="19"/>
      <c r="C531" s="19"/>
      <c r="D531" s="19"/>
      <c r="E531" s="19"/>
      <c r="F531" s="19"/>
      <c r="G531" s="19"/>
      <c r="H531" s="19"/>
      <c r="I531" s="19"/>
      <c r="J531" s="19"/>
    </row>
    <row r="532" spans="1:10">
      <c r="A532" s="19"/>
      <c r="B532" s="19"/>
      <c r="C532" s="19"/>
      <c r="D532" s="19"/>
      <c r="E532" s="19"/>
      <c r="F532" s="19"/>
      <c r="G532" s="19"/>
      <c r="H532" s="19"/>
      <c r="I532" s="19"/>
      <c r="J532" s="19"/>
    </row>
    <row r="533" spans="1:10">
      <c r="A533" s="19"/>
      <c r="B533" s="19"/>
      <c r="C533" s="19"/>
      <c r="D533" s="19"/>
      <c r="E533" s="19"/>
      <c r="F533" s="19"/>
      <c r="G533" s="19"/>
      <c r="H533" s="19"/>
      <c r="I533" s="19"/>
      <c r="J533" s="19"/>
    </row>
    <row r="534" spans="1:10">
      <c r="A534" s="19"/>
      <c r="B534" s="19"/>
      <c r="C534" s="19"/>
      <c r="D534" s="19"/>
      <c r="E534" s="19"/>
      <c r="F534" s="19"/>
      <c r="G534" s="19"/>
      <c r="H534" s="19"/>
      <c r="I534" s="19"/>
      <c r="J534" s="19"/>
    </row>
    <row r="535" spans="1:10">
      <c r="A535" s="19"/>
      <c r="B535" s="19"/>
      <c r="C535" s="19"/>
      <c r="D535" s="19"/>
      <c r="E535" s="19"/>
      <c r="F535" s="19"/>
      <c r="G535" s="19"/>
      <c r="H535" s="19"/>
      <c r="I535" s="19"/>
      <c r="J535" s="19"/>
    </row>
    <row r="536" spans="1:10">
      <c r="A536" s="19"/>
      <c r="B536" s="19"/>
      <c r="C536" s="19"/>
      <c r="D536" s="19"/>
      <c r="E536" s="19"/>
      <c r="F536" s="19"/>
      <c r="G536" s="19"/>
      <c r="H536" s="19"/>
      <c r="I536" s="19"/>
      <c r="J536" s="19"/>
    </row>
    <row r="537" spans="1:10">
      <c r="A537" s="19"/>
      <c r="B537" s="19"/>
      <c r="C537" s="19"/>
      <c r="D537" s="19"/>
      <c r="E537" s="19"/>
      <c r="F537" s="19"/>
      <c r="G537" s="19"/>
      <c r="H537" s="19"/>
      <c r="I537" s="19"/>
      <c r="J537" s="19"/>
    </row>
    <row r="538" spans="1:10">
      <c r="A538" s="19"/>
      <c r="B538" s="19"/>
      <c r="C538" s="19"/>
      <c r="D538" s="19"/>
      <c r="E538" s="19"/>
      <c r="F538" s="19"/>
      <c r="G538" s="19"/>
      <c r="H538" s="19"/>
      <c r="I538" s="19"/>
      <c r="J538" s="19"/>
    </row>
    <row r="539" spans="1:10">
      <c r="A539" s="19"/>
      <c r="B539" s="19"/>
      <c r="C539" s="19"/>
      <c r="D539" s="19"/>
      <c r="E539" s="19"/>
      <c r="F539" s="19"/>
      <c r="G539" s="19"/>
      <c r="H539" s="19"/>
      <c r="I539" s="19"/>
      <c r="J539" s="19"/>
    </row>
    <row r="540" spans="1:10">
      <c r="A540" s="19"/>
      <c r="B540" s="19"/>
      <c r="C540" s="19"/>
      <c r="D540" s="19"/>
      <c r="E540" s="19"/>
      <c r="F540" s="19"/>
      <c r="G540" s="19"/>
      <c r="H540" s="19"/>
      <c r="I540" s="19"/>
      <c r="J540" s="19"/>
    </row>
    <row r="541" spans="1:10">
      <c r="A541" s="19"/>
      <c r="B541" s="19"/>
      <c r="C541" s="19"/>
      <c r="D541" s="19"/>
      <c r="E541" s="19"/>
      <c r="F541" s="19"/>
      <c r="G541" s="19"/>
      <c r="H541" s="19"/>
      <c r="I541" s="19"/>
      <c r="J541" s="19"/>
    </row>
    <row r="542" spans="1:10">
      <c r="A542" s="19"/>
      <c r="B542" s="19"/>
      <c r="C542" s="19"/>
      <c r="D542" s="19"/>
      <c r="E542" s="19"/>
      <c r="F542" s="19"/>
      <c r="G542" s="19"/>
      <c r="H542" s="19"/>
      <c r="I542" s="19"/>
      <c r="J542" s="19"/>
    </row>
    <row r="543" spans="1:10">
      <c r="A543" s="19"/>
      <c r="B543" s="19"/>
      <c r="C543" s="19"/>
      <c r="D543" s="19"/>
      <c r="E543" s="19"/>
      <c r="F543" s="19"/>
      <c r="G543" s="19"/>
      <c r="H543" s="19"/>
      <c r="I543" s="19"/>
      <c r="J543" s="19"/>
    </row>
    <row r="544" spans="1:10">
      <c r="A544" s="19"/>
      <c r="B544" s="19"/>
      <c r="C544" s="19"/>
      <c r="D544" s="19"/>
      <c r="E544" s="19"/>
      <c r="F544" s="19"/>
      <c r="G544" s="19"/>
      <c r="H544" s="19"/>
      <c r="I544" s="19"/>
      <c r="J544" s="19"/>
    </row>
    <row r="545" spans="1:10">
      <c r="A545" s="19"/>
      <c r="B545" s="19"/>
      <c r="C545" s="19"/>
      <c r="D545" s="19"/>
      <c r="E545" s="19"/>
      <c r="F545" s="19"/>
      <c r="G545" s="19"/>
      <c r="H545" s="19"/>
      <c r="I545" s="19"/>
      <c r="J545" s="19"/>
    </row>
    <row r="546" spans="1:10">
      <c r="A546" s="19"/>
      <c r="B546" s="19"/>
      <c r="C546" s="19"/>
      <c r="D546" s="19"/>
      <c r="E546" s="19"/>
      <c r="F546" s="19"/>
      <c r="G546" s="19"/>
      <c r="H546" s="19"/>
      <c r="I546" s="19"/>
      <c r="J546" s="19"/>
    </row>
    <row r="547" spans="1:10">
      <c r="A547" s="19"/>
      <c r="B547" s="19"/>
      <c r="C547" s="19"/>
      <c r="D547" s="19"/>
      <c r="E547" s="19"/>
      <c r="F547" s="19"/>
      <c r="G547" s="19"/>
      <c r="H547" s="19"/>
      <c r="I547" s="19"/>
      <c r="J547" s="19"/>
    </row>
    <row r="548" spans="1:10">
      <c r="A548" s="19"/>
      <c r="B548" s="19"/>
      <c r="C548" s="19"/>
      <c r="D548" s="19"/>
      <c r="E548" s="19"/>
      <c r="F548" s="19"/>
      <c r="G548" s="19"/>
      <c r="H548" s="19"/>
      <c r="I548" s="19"/>
      <c r="J548" s="19"/>
    </row>
    <row r="549" spans="1:10">
      <c r="A549" s="19"/>
      <c r="B549" s="19"/>
      <c r="C549" s="19"/>
      <c r="D549" s="19"/>
      <c r="E549" s="19"/>
      <c r="F549" s="19"/>
      <c r="G549" s="19"/>
      <c r="H549" s="19"/>
      <c r="I549" s="19"/>
      <c r="J549" s="19"/>
    </row>
    <row r="550" spans="1:10">
      <c r="A550" s="19"/>
      <c r="B550" s="19"/>
      <c r="C550" s="19"/>
      <c r="D550" s="19"/>
      <c r="E550" s="19"/>
      <c r="F550" s="19"/>
      <c r="G550" s="19"/>
      <c r="H550" s="19"/>
      <c r="I550" s="19"/>
      <c r="J550" s="19"/>
    </row>
    <row r="551" spans="1:10">
      <c r="A551" s="19"/>
      <c r="B551" s="19"/>
      <c r="C551" s="19"/>
      <c r="D551" s="19"/>
      <c r="E551" s="19"/>
      <c r="F551" s="19"/>
      <c r="G551" s="19"/>
      <c r="H551" s="19"/>
      <c r="I551" s="19"/>
      <c r="J551" s="19"/>
    </row>
    <row r="552" spans="1:10">
      <c r="A552" s="19"/>
      <c r="B552" s="19"/>
      <c r="C552" s="19"/>
      <c r="D552" s="19"/>
      <c r="E552" s="19"/>
      <c r="F552" s="19"/>
      <c r="G552" s="19"/>
      <c r="H552" s="19"/>
      <c r="I552" s="19"/>
      <c r="J552" s="19"/>
    </row>
    <row r="553" spans="1:10">
      <c r="A553" s="19"/>
      <c r="B553" s="19"/>
      <c r="C553" s="19"/>
      <c r="D553" s="19"/>
      <c r="E553" s="19"/>
      <c r="F553" s="19"/>
      <c r="G553" s="19"/>
      <c r="H553" s="19"/>
      <c r="I553" s="19"/>
      <c r="J553" s="19"/>
    </row>
    <row r="554" spans="1:10">
      <c r="A554" s="19"/>
      <c r="B554" s="19"/>
      <c r="C554" s="19"/>
      <c r="D554" s="19"/>
      <c r="E554" s="19"/>
      <c r="F554" s="19"/>
      <c r="G554" s="19"/>
      <c r="H554" s="19"/>
      <c r="I554" s="19"/>
      <c r="J554" s="19"/>
    </row>
    <row r="555" spans="1:10">
      <c r="A555" s="19"/>
      <c r="B555" s="19"/>
      <c r="C555" s="19"/>
      <c r="D555" s="19"/>
      <c r="E555" s="19"/>
      <c r="F555" s="19"/>
      <c r="G555" s="19"/>
      <c r="H555" s="19"/>
      <c r="I555" s="19"/>
      <c r="J555" s="19"/>
    </row>
    <row r="556" spans="1:10">
      <c r="A556" s="19"/>
      <c r="B556" s="19"/>
      <c r="C556" s="19"/>
      <c r="D556" s="19"/>
      <c r="E556" s="19"/>
      <c r="F556" s="19"/>
      <c r="G556" s="19"/>
      <c r="H556" s="19"/>
      <c r="I556" s="19"/>
      <c r="J556" s="19"/>
    </row>
    <row r="557" spans="1:10">
      <c r="A557" s="19"/>
      <c r="B557" s="19"/>
      <c r="C557" s="19"/>
      <c r="D557" s="19"/>
      <c r="E557" s="19"/>
      <c r="F557" s="19"/>
      <c r="G557" s="19"/>
      <c r="H557" s="19"/>
      <c r="I557" s="19"/>
      <c r="J557" s="19"/>
    </row>
    <row r="558" spans="1:10">
      <c r="A558" s="19"/>
      <c r="B558" s="19"/>
      <c r="C558" s="19"/>
      <c r="D558" s="19"/>
      <c r="E558" s="19"/>
      <c r="F558" s="19"/>
      <c r="G558" s="19"/>
      <c r="H558" s="19"/>
      <c r="I558" s="19"/>
      <c r="J558" s="19"/>
    </row>
    <row r="559" spans="1:10">
      <c r="A559" s="19"/>
      <c r="B559" s="19"/>
      <c r="C559" s="19"/>
      <c r="D559" s="19"/>
      <c r="E559" s="19"/>
      <c r="F559" s="19"/>
      <c r="G559" s="19"/>
      <c r="H559" s="19"/>
      <c r="I559" s="19"/>
      <c r="J559" s="19"/>
    </row>
    <row r="560" spans="1:10">
      <c r="A560" s="19"/>
      <c r="B560" s="19"/>
      <c r="C560" s="19"/>
      <c r="D560" s="19"/>
      <c r="E560" s="19"/>
      <c r="F560" s="19"/>
      <c r="G560" s="19"/>
      <c r="H560" s="19"/>
      <c r="I560" s="19"/>
      <c r="J560" s="19"/>
    </row>
    <row r="561" spans="1:10">
      <c r="A561" s="19"/>
      <c r="B561" s="19"/>
      <c r="C561" s="19"/>
      <c r="D561" s="19"/>
      <c r="E561" s="19"/>
      <c r="F561" s="19"/>
      <c r="G561" s="19"/>
      <c r="H561" s="19"/>
      <c r="I561" s="19"/>
      <c r="J561" s="19"/>
    </row>
    <row r="562" spans="1:10">
      <c r="A562" s="19"/>
      <c r="B562" s="19"/>
      <c r="C562" s="19"/>
      <c r="D562" s="19"/>
      <c r="E562" s="19"/>
      <c r="F562" s="19"/>
      <c r="G562" s="19"/>
      <c r="H562" s="19"/>
      <c r="I562" s="19"/>
      <c r="J562" s="19"/>
    </row>
    <row r="563" spans="1:10">
      <c r="A563" s="19"/>
      <c r="B563" s="19"/>
      <c r="C563" s="19"/>
      <c r="D563" s="19"/>
      <c r="E563" s="19"/>
      <c r="F563" s="19"/>
      <c r="G563" s="19"/>
      <c r="H563" s="19"/>
      <c r="I563" s="19"/>
      <c r="J563" s="19"/>
    </row>
    <row r="564" spans="1:10">
      <c r="A564" s="19"/>
      <c r="B564" s="19"/>
      <c r="C564" s="19"/>
      <c r="D564" s="19"/>
      <c r="E564" s="19"/>
      <c r="F564" s="19"/>
      <c r="G564" s="19"/>
      <c r="H564" s="19"/>
      <c r="I564" s="19"/>
      <c r="J564" s="19"/>
    </row>
    <row r="565" spans="1:10">
      <c r="A565" s="19"/>
      <c r="B565" s="19"/>
      <c r="C565" s="19"/>
      <c r="D565" s="19"/>
      <c r="E565" s="19"/>
      <c r="F565" s="19"/>
      <c r="G565" s="19"/>
      <c r="H565" s="19"/>
      <c r="I565" s="19"/>
      <c r="J565" s="19"/>
    </row>
    <row r="566" spans="1:10">
      <c r="A566" s="19"/>
      <c r="B566" s="19"/>
      <c r="C566" s="19"/>
      <c r="D566" s="19"/>
      <c r="E566" s="19"/>
      <c r="F566" s="19"/>
      <c r="G566" s="19"/>
      <c r="H566" s="19"/>
      <c r="I566" s="19"/>
      <c r="J566" s="19"/>
    </row>
    <row r="567" spans="1:10">
      <c r="A567" s="19"/>
      <c r="B567" s="19"/>
      <c r="C567" s="19"/>
      <c r="D567" s="19"/>
      <c r="E567" s="19"/>
      <c r="F567" s="19"/>
      <c r="G567" s="19"/>
      <c r="H567" s="19"/>
      <c r="I567" s="19"/>
      <c r="J567" s="19"/>
    </row>
    <row r="568" spans="1:10">
      <c r="A568" s="19"/>
      <c r="B568" s="19"/>
      <c r="C568" s="19"/>
      <c r="D568" s="19"/>
      <c r="E568" s="19"/>
      <c r="F568" s="19"/>
      <c r="G568" s="19"/>
      <c r="H568" s="19"/>
      <c r="I568" s="19"/>
      <c r="J568" s="19"/>
    </row>
    <row r="569" spans="1:10">
      <c r="A569" s="19"/>
      <c r="B569" s="19"/>
      <c r="C569" s="19"/>
      <c r="D569" s="19"/>
      <c r="E569" s="19"/>
      <c r="F569" s="19"/>
      <c r="G569" s="19"/>
      <c r="H569" s="19"/>
      <c r="I569" s="19"/>
      <c r="J569" s="19"/>
    </row>
    <row r="570" spans="1:10">
      <c r="A570" s="19"/>
      <c r="B570" s="19"/>
      <c r="C570" s="19"/>
      <c r="D570" s="19"/>
      <c r="E570" s="19"/>
      <c r="F570" s="19"/>
      <c r="G570" s="19"/>
      <c r="H570" s="19"/>
      <c r="I570" s="19"/>
      <c r="J570" s="19"/>
    </row>
    <row r="571" spans="1:10">
      <c r="A571" s="19"/>
      <c r="B571" s="19"/>
      <c r="C571" s="19"/>
      <c r="D571" s="19"/>
      <c r="E571" s="19"/>
      <c r="F571" s="19"/>
      <c r="G571" s="19"/>
      <c r="H571" s="19"/>
      <c r="I571" s="19"/>
      <c r="J571" s="19"/>
    </row>
    <row r="572" spans="1:10">
      <c r="A572" s="19"/>
      <c r="B572" s="19"/>
      <c r="C572" s="19"/>
      <c r="D572" s="19"/>
      <c r="E572" s="19"/>
      <c r="F572" s="19"/>
      <c r="G572" s="19"/>
      <c r="H572" s="19"/>
      <c r="I572" s="19"/>
      <c r="J572" s="19"/>
    </row>
    <row r="573" spans="1:10">
      <c r="A573" s="19"/>
      <c r="B573" s="19"/>
      <c r="C573" s="19"/>
      <c r="D573" s="19"/>
      <c r="E573" s="19"/>
      <c r="F573" s="19"/>
      <c r="G573" s="19"/>
      <c r="H573" s="19"/>
      <c r="I573" s="19"/>
      <c r="J573" s="19"/>
    </row>
    <row r="574" spans="1:10">
      <c r="A574" s="19"/>
      <c r="B574" s="19"/>
      <c r="C574" s="19"/>
      <c r="D574" s="19"/>
      <c r="E574" s="19"/>
      <c r="F574" s="19"/>
      <c r="G574" s="19"/>
      <c r="H574" s="19"/>
      <c r="I574" s="19"/>
      <c r="J574" s="19"/>
    </row>
    <row r="575" spans="1:10">
      <c r="A575" s="19"/>
      <c r="B575" s="19"/>
      <c r="C575" s="19"/>
      <c r="D575" s="19"/>
      <c r="E575" s="19"/>
      <c r="F575" s="19"/>
      <c r="G575" s="19"/>
      <c r="H575" s="19"/>
      <c r="I575" s="19"/>
      <c r="J575" s="19"/>
    </row>
    <row r="576" spans="1:10">
      <c r="A576" s="19"/>
      <c r="B576" s="19"/>
      <c r="C576" s="19"/>
      <c r="D576" s="19"/>
      <c r="E576" s="19"/>
      <c r="F576" s="19"/>
      <c r="G576" s="19"/>
      <c r="H576" s="19"/>
      <c r="I576" s="19"/>
      <c r="J576" s="19"/>
    </row>
    <row r="577" spans="1:10">
      <c r="A577" s="19"/>
      <c r="B577" s="19"/>
      <c r="C577" s="19"/>
      <c r="D577" s="19"/>
      <c r="E577" s="19"/>
      <c r="F577" s="19"/>
      <c r="G577" s="19"/>
      <c r="H577" s="19"/>
      <c r="I577" s="19"/>
      <c r="J577" s="19"/>
    </row>
    <row r="578" spans="1:10">
      <c r="A578" s="19"/>
      <c r="B578" s="19"/>
      <c r="C578" s="19"/>
      <c r="D578" s="19"/>
      <c r="E578" s="19"/>
      <c r="F578" s="19"/>
      <c r="G578" s="19"/>
      <c r="H578" s="19"/>
      <c r="I578" s="19"/>
      <c r="J578" s="19"/>
    </row>
    <row r="579" spans="1:10">
      <c r="A579" s="19"/>
      <c r="B579" s="19"/>
      <c r="C579" s="19"/>
      <c r="D579" s="19"/>
      <c r="E579" s="19"/>
      <c r="F579" s="19"/>
      <c r="G579" s="19"/>
      <c r="H579" s="19"/>
      <c r="I579" s="19"/>
      <c r="J579" s="19"/>
    </row>
    <row r="580" spans="1:10">
      <c r="A580" s="19"/>
      <c r="B580" s="19"/>
      <c r="C580" s="19"/>
      <c r="D580" s="19"/>
      <c r="E580" s="19"/>
      <c r="F580" s="19"/>
      <c r="G580" s="19"/>
      <c r="H580" s="19"/>
      <c r="I580" s="19"/>
      <c r="J580" s="19"/>
    </row>
    <row r="581" spans="1:10">
      <c r="A581" s="19"/>
      <c r="B581" s="19"/>
      <c r="C581" s="19"/>
      <c r="D581" s="19"/>
      <c r="E581" s="19"/>
      <c r="F581" s="19"/>
      <c r="G581" s="19"/>
      <c r="H581" s="19"/>
      <c r="I581" s="19"/>
      <c r="J581" s="19"/>
    </row>
    <row r="582" spans="1:10">
      <c r="A582" s="19"/>
      <c r="B582" s="19"/>
      <c r="C582" s="19"/>
      <c r="D582" s="19"/>
      <c r="E582" s="19"/>
      <c r="F582" s="19"/>
      <c r="G582" s="19"/>
      <c r="H582" s="19"/>
      <c r="I582" s="19"/>
      <c r="J582" s="19"/>
    </row>
    <row r="583" spans="1:10">
      <c r="A583" s="19"/>
      <c r="B583" s="19"/>
      <c r="C583" s="19"/>
      <c r="D583" s="19"/>
      <c r="E583" s="19"/>
      <c r="F583" s="19"/>
      <c r="G583" s="19"/>
      <c r="H583" s="19"/>
      <c r="I583" s="19"/>
      <c r="J583" s="19"/>
    </row>
    <row r="584" spans="1:10">
      <c r="A584" s="19"/>
      <c r="B584" s="19"/>
      <c r="C584" s="19"/>
      <c r="D584" s="19"/>
      <c r="E584" s="19"/>
      <c r="F584" s="19"/>
      <c r="G584" s="19"/>
      <c r="H584" s="19"/>
      <c r="I584" s="19"/>
      <c r="J584" s="19"/>
    </row>
    <row r="585" spans="1:10">
      <c r="A585" s="19"/>
      <c r="B585" s="19"/>
      <c r="C585" s="19"/>
      <c r="D585" s="19"/>
      <c r="E585" s="19"/>
      <c r="F585" s="19"/>
      <c r="G585" s="19"/>
      <c r="H585" s="19"/>
      <c r="I585" s="19"/>
      <c r="J585" s="19"/>
    </row>
    <row r="586" spans="1:10">
      <c r="A586" s="19"/>
      <c r="B586" s="19"/>
      <c r="C586" s="19"/>
      <c r="D586" s="19"/>
      <c r="E586" s="19"/>
      <c r="F586" s="19"/>
      <c r="G586" s="19"/>
      <c r="H586" s="19"/>
      <c r="I586" s="19"/>
      <c r="J586" s="19"/>
    </row>
    <row r="587" spans="1:10">
      <c r="A587" s="19"/>
      <c r="B587" s="19"/>
      <c r="C587" s="19"/>
      <c r="D587" s="19"/>
      <c r="E587" s="19"/>
      <c r="F587" s="19"/>
      <c r="G587" s="19"/>
      <c r="H587" s="19"/>
      <c r="I587" s="19"/>
      <c r="J587" s="19"/>
    </row>
    <row r="588" spans="1:10">
      <c r="A588" s="19"/>
      <c r="B588" s="19"/>
      <c r="C588" s="19"/>
      <c r="D588" s="19"/>
      <c r="E588" s="19"/>
      <c r="F588" s="19"/>
      <c r="G588" s="19"/>
      <c r="H588" s="19"/>
      <c r="I588" s="19"/>
      <c r="J588" s="19"/>
    </row>
    <row r="589" spans="1:10">
      <c r="A589" s="19"/>
      <c r="B589" s="19"/>
      <c r="C589" s="19"/>
      <c r="D589" s="19"/>
      <c r="E589" s="19"/>
      <c r="F589" s="19"/>
      <c r="G589" s="19"/>
      <c r="H589" s="19"/>
      <c r="I589" s="19"/>
      <c r="J589" s="19"/>
    </row>
    <row r="590" spans="1:10">
      <c r="A590" s="19"/>
      <c r="B590" s="19"/>
      <c r="C590" s="19"/>
      <c r="D590" s="19"/>
      <c r="E590" s="19"/>
      <c r="F590" s="19"/>
      <c r="G590" s="19"/>
      <c r="H590" s="19"/>
      <c r="I590" s="19"/>
      <c r="J590" s="19"/>
    </row>
    <row r="591" spans="1:10">
      <c r="A591" s="19"/>
      <c r="B591" s="19"/>
      <c r="C591" s="19"/>
      <c r="D591" s="19"/>
      <c r="E591" s="19"/>
      <c r="F591" s="19"/>
      <c r="G591" s="19"/>
      <c r="H591" s="19"/>
      <c r="I591" s="19"/>
      <c r="J591" s="19"/>
    </row>
    <row r="592" spans="1:10">
      <c r="A592" s="19"/>
      <c r="B592" s="19"/>
      <c r="C592" s="19"/>
      <c r="D592" s="19"/>
      <c r="E592" s="19"/>
      <c r="F592" s="19"/>
      <c r="G592" s="19"/>
      <c r="H592" s="19"/>
      <c r="I592" s="19"/>
      <c r="J592" s="19"/>
    </row>
    <row r="593" spans="1:10">
      <c r="A593" s="19"/>
      <c r="B593" s="19"/>
      <c r="C593" s="19"/>
      <c r="D593" s="19"/>
      <c r="E593" s="19"/>
      <c r="F593" s="19"/>
      <c r="G593" s="19"/>
      <c r="H593" s="19"/>
      <c r="I593" s="19"/>
      <c r="J593" s="19"/>
    </row>
    <row r="594" spans="1:10">
      <c r="A594" s="19"/>
      <c r="B594" s="19"/>
      <c r="C594" s="19"/>
      <c r="D594" s="19"/>
      <c r="E594" s="19"/>
      <c r="F594" s="19"/>
      <c r="G594" s="19"/>
      <c r="H594" s="19"/>
      <c r="I594" s="19"/>
      <c r="J594" s="19"/>
    </row>
    <row r="595" spans="1:10">
      <c r="A595" s="19"/>
      <c r="B595" s="19"/>
      <c r="C595" s="19"/>
      <c r="D595" s="19"/>
      <c r="E595" s="19"/>
      <c r="F595" s="19"/>
      <c r="G595" s="19"/>
      <c r="H595" s="19"/>
      <c r="I595" s="19"/>
      <c r="J595" s="19"/>
    </row>
    <row r="596" spans="1:10">
      <c r="A596" s="19"/>
      <c r="B596" s="19"/>
      <c r="C596" s="19"/>
      <c r="D596" s="19"/>
      <c r="E596" s="19"/>
      <c r="F596" s="19"/>
      <c r="G596" s="19"/>
      <c r="H596" s="19"/>
      <c r="I596" s="19"/>
      <c r="J596" s="19"/>
    </row>
    <row r="597" spans="1:10">
      <c r="A597" s="19"/>
      <c r="B597" s="19"/>
      <c r="C597" s="19"/>
      <c r="D597" s="19"/>
      <c r="E597" s="19"/>
      <c r="F597" s="19"/>
      <c r="G597" s="19"/>
      <c r="H597" s="19"/>
      <c r="I597" s="19"/>
      <c r="J597" s="19"/>
    </row>
    <row r="598" spans="1:10">
      <c r="A598" s="19"/>
      <c r="B598" s="19"/>
      <c r="C598" s="19"/>
      <c r="D598" s="19"/>
      <c r="E598" s="19"/>
      <c r="F598" s="19"/>
      <c r="G598" s="19"/>
      <c r="H598" s="19"/>
      <c r="I598" s="19"/>
      <c r="J598" s="19"/>
    </row>
    <row r="599" spans="1:10">
      <c r="A599" s="19"/>
      <c r="B599" s="19"/>
      <c r="C599" s="19"/>
      <c r="D599" s="19"/>
      <c r="E599" s="19"/>
      <c r="F599" s="19"/>
      <c r="G599" s="19"/>
      <c r="H599" s="19"/>
      <c r="I599" s="19"/>
      <c r="J599" s="19"/>
    </row>
    <row r="600" spans="1:10">
      <c r="A600" s="19"/>
      <c r="B600" s="19"/>
      <c r="C600" s="19"/>
      <c r="D600" s="19"/>
      <c r="E600" s="19"/>
      <c r="F600" s="19"/>
      <c r="G600" s="19"/>
      <c r="H600" s="19"/>
      <c r="I600" s="19"/>
      <c r="J600" s="19"/>
    </row>
    <row r="601" spans="1:10">
      <c r="A601" s="19"/>
      <c r="B601" s="19"/>
      <c r="C601" s="19"/>
      <c r="D601" s="19"/>
      <c r="E601" s="19"/>
      <c r="F601" s="19"/>
      <c r="G601" s="19"/>
      <c r="H601" s="19"/>
      <c r="I601" s="19"/>
      <c r="J601" s="19"/>
    </row>
    <row r="602" spans="1:10">
      <c r="A602" s="19"/>
      <c r="B602" s="19"/>
      <c r="C602" s="19"/>
      <c r="D602" s="19"/>
      <c r="E602" s="19"/>
      <c r="F602" s="19"/>
      <c r="G602" s="19"/>
      <c r="H602" s="19"/>
      <c r="I602" s="19"/>
      <c r="J602" s="19"/>
    </row>
    <row r="603" spans="1:10">
      <c r="A603" s="19"/>
      <c r="B603" s="19"/>
      <c r="C603" s="19"/>
      <c r="D603" s="19"/>
      <c r="E603" s="19"/>
      <c r="F603" s="19"/>
      <c r="G603" s="19"/>
      <c r="H603" s="19"/>
      <c r="I603" s="19"/>
      <c r="J603" s="19"/>
    </row>
    <row r="604" spans="1:10">
      <c r="A604" s="19"/>
      <c r="B604" s="19"/>
      <c r="C604" s="19"/>
      <c r="D604" s="19"/>
      <c r="E604" s="19"/>
      <c r="F604" s="19"/>
      <c r="G604" s="19"/>
      <c r="H604" s="19"/>
      <c r="I604" s="19"/>
      <c r="J604" s="19"/>
    </row>
    <row r="605" spans="1:10">
      <c r="A605" s="19"/>
      <c r="B605" s="19"/>
      <c r="C605" s="19"/>
      <c r="D605" s="19"/>
      <c r="E605" s="19"/>
      <c r="F605" s="19"/>
      <c r="G605" s="19"/>
      <c r="H605" s="19"/>
      <c r="I605" s="19"/>
      <c r="J605" s="19"/>
    </row>
    <row r="606" spans="1:10">
      <c r="A606" s="19"/>
      <c r="B606" s="19"/>
      <c r="C606" s="19"/>
      <c r="D606" s="19"/>
      <c r="E606" s="19"/>
      <c r="F606" s="19"/>
      <c r="G606" s="19"/>
      <c r="H606" s="19"/>
      <c r="I606" s="19"/>
      <c r="J606" s="19"/>
    </row>
    <row r="607" spans="1:10">
      <c r="A607" s="19"/>
      <c r="B607" s="19"/>
      <c r="C607" s="19"/>
      <c r="D607" s="19"/>
      <c r="E607" s="19"/>
      <c r="F607" s="19"/>
      <c r="G607" s="19"/>
      <c r="H607" s="19"/>
      <c r="I607" s="19"/>
      <c r="J607" s="19"/>
    </row>
    <row r="608" spans="1:10">
      <c r="A608" s="19"/>
      <c r="B608" s="19"/>
      <c r="C608" s="19"/>
      <c r="D608" s="19"/>
      <c r="E608" s="19"/>
      <c r="F608" s="19"/>
      <c r="G608" s="19"/>
      <c r="H608" s="19"/>
      <c r="I608" s="19"/>
      <c r="J608" s="19"/>
    </row>
    <row r="609" spans="1:10">
      <c r="A609" s="19"/>
      <c r="B609" s="19"/>
      <c r="C609" s="19"/>
      <c r="D609" s="19"/>
      <c r="E609" s="19"/>
      <c r="F609" s="19"/>
      <c r="G609" s="19"/>
      <c r="H609" s="19"/>
      <c r="I609" s="19"/>
      <c r="J609" s="19"/>
    </row>
    <row r="610" spans="1:10">
      <c r="A610" s="19"/>
      <c r="B610" s="19"/>
      <c r="C610" s="19"/>
      <c r="D610" s="19"/>
      <c r="E610" s="19"/>
      <c r="F610" s="19"/>
      <c r="G610" s="19"/>
      <c r="H610" s="19"/>
      <c r="I610" s="19"/>
      <c r="J610" s="19"/>
    </row>
    <row r="611" spans="1:10">
      <c r="A611" s="19"/>
      <c r="B611" s="19"/>
      <c r="C611" s="19"/>
      <c r="D611" s="19"/>
      <c r="E611" s="19"/>
      <c r="F611" s="19"/>
      <c r="G611" s="19"/>
      <c r="H611" s="19"/>
      <c r="I611" s="19"/>
      <c r="J611" s="19"/>
    </row>
    <row r="612" spans="1:10">
      <c r="A612" s="19"/>
      <c r="B612" s="19"/>
      <c r="C612" s="19"/>
      <c r="D612" s="19"/>
      <c r="E612" s="19"/>
      <c r="F612" s="19"/>
      <c r="G612" s="19"/>
      <c r="H612" s="19"/>
      <c r="I612" s="19"/>
      <c r="J612" s="19"/>
    </row>
    <row r="613" spans="1:10">
      <c r="A613" s="19"/>
      <c r="B613" s="19"/>
      <c r="C613" s="19"/>
      <c r="D613" s="19"/>
      <c r="E613" s="19"/>
      <c r="F613" s="19"/>
      <c r="G613" s="19"/>
      <c r="H613" s="19"/>
      <c r="I613" s="19"/>
      <c r="J613" s="19"/>
    </row>
    <row r="614" spans="1:10">
      <c r="A614" s="19"/>
      <c r="B614" s="19"/>
      <c r="C614" s="19"/>
      <c r="D614" s="19"/>
      <c r="E614" s="19"/>
      <c r="F614" s="19"/>
      <c r="G614" s="19"/>
      <c r="H614" s="19"/>
      <c r="I614" s="19"/>
      <c r="J614" s="19"/>
    </row>
    <row r="615" spans="1:10">
      <c r="A615" s="19"/>
      <c r="B615" s="19"/>
      <c r="C615" s="19"/>
      <c r="D615" s="19"/>
      <c r="E615" s="19"/>
      <c r="F615" s="19"/>
      <c r="G615" s="19"/>
      <c r="H615" s="19"/>
      <c r="I615" s="19"/>
      <c r="J615" s="19"/>
    </row>
    <row r="616" spans="1:10">
      <c r="A616" s="19"/>
      <c r="B616" s="19"/>
      <c r="C616" s="19"/>
      <c r="D616" s="19"/>
      <c r="E616" s="19"/>
      <c r="F616" s="19"/>
      <c r="G616" s="19"/>
      <c r="H616" s="19"/>
      <c r="I616" s="19"/>
      <c r="J616" s="19"/>
    </row>
    <row r="617" spans="1:10">
      <c r="A617" s="19"/>
      <c r="B617" s="19"/>
      <c r="C617" s="19"/>
      <c r="D617" s="19"/>
      <c r="E617" s="19"/>
      <c r="F617" s="19"/>
      <c r="G617" s="19"/>
      <c r="H617" s="19"/>
      <c r="I617" s="19"/>
      <c r="J617" s="19"/>
    </row>
    <row r="618" spans="1:10">
      <c r="A618" s="19"/>
      <c r="B618" s="19"/>
      <c r="C618" s="19"/>
      <c r="D618" s="19"/>
      <c r="E618" s="19"/>
      <c r="F618" s="19"/>
      <c r="G618" s="19"/>
      <c r="H618" s="19"/>
      <c r="I618" s="19"/>
      <c r="J618" s="19"/>
    </row>
    <row r="619" spans="1:10">
      <c r="A619" s="19"/>
      <c r="B619" s="19"/>
      <c r="C619" s="19"/>
      <c r="D619" s="19"/>
      <c r="E619" s="19"/>
      <c r="F619" s="19"/>
      <c r="G619" s="19"/>
      <c r="H619" s="19"/>
      <c r="I619" s="19"/>
      <c r="J619" s="19"/>
    </row>
    <row r="620" spans="1:10">
      <c r="A620" s="19"/>
      <c r="B620" s="19"/>
      <c r="C620" s="19"/>
      <c r="D620" s="19"/>
      <c r="E620" s="19"/>
      <c r="F620" s="19"/>
      <c r="G620" s="19"/>
      <c r="H620" s="19"/>
      <c r="I620" s="19"/>
      <c r="J620" s="19"/>
    </row>
    <row r="621" spans="1:10">
      <c r="A621" s="19"/>
      <c r="B621" s="19"/>
      <c r="C621" s="19"/>
      <c r="D621" s="19"/>
      <c r="E621" s="19"/>
      <c r="F621" s="19"/>
      <c r="G621" s="19"/>
      <c r="H621" s="19"/>
      <c r="I621" s="19"/>
      <c r="J621" s="19"/>
    </row>
    <row r="622" spans="1:10">
      <c r="A622" s="19"/>
      <c r="B622" s="19"/>
      <c r="C622" s="19"/>
      <c r="D622" s="19"/>
      <c r="E622" s="19"/>
      <c r="F622" s="19"/>
      <c r="G622" s="19"/>
      <c r="H622" s="19"/>
      <c r="I622" s="19"/>
      <c r="J622" s="19"/>
    </row>
    <row r="623" spans="1:10">
      <c r="A623" s="19"/>
      <c r="B623" s="19"/>
      <c r="C623" s="19"/>
      <c r="D623" s="19"/>
      <c r="E623" s="19"/>
      <c r="F623" s="19"/>
      <c r="G623" s="19"/>
      <c r="H623" s="19"/>
      <c r="I623" s="19"/>
      <c r="J623" s="19"/>
    </row>
    <row r="624" spans="1:10">
      <c r="A624" s="19"/>
      <c r="B624" s="19"/>
      <c r="C624" s="19"/>
      <c r="D624" s="19"/>
      <c r="E624" s="19"/>
      <c r="F624" s="19"/>
      <c r="G624" s="19"/>
      <c r="H624" s="19"/>
      <c r="I624" s="19"/>
      <c r="J624" s="19"/>
    </row>
    <row r="625" spans="1:10">
      <c r="A625" s="19"/>
      <c r="B625" s="19"/>
      <c r="C625" s="19"/>
      <c r="D625" s="19"/>
      <c r="E625" s="19"/>
      <c r="F625" s="19"/>
      <c r="G625" s="19"/>
      <c r="H625" s="19"/>
      <c r="I625" s="19"/>
      <c r="J625" s="19"/>
    </row>
    <row r="626" spans="1:10">
      <c r="A626" s="19"/>
      <c r="B626" s="19"/>
      <c r="C626" s="19"/>
      <c r="D626" s="19"/>
      <c r="E626" s="19"/>
      <c r="F626" s="19"/>
      <c r="G626" s="19"/>
      <c r="H626" s="19"/>
      <c r="I626" s="19"/>
      <c r="J626" s="19"/>
    </row>
    <row r="627" spans="1:10">
      <c r="A627" s="19"/>
      <c r="B627" s="19"/>
      <c r="C627" s="19"/>
      <c r="D627" s="19"/>
      <c r="E627" s="19"/>
      <c r="F627" s="19"/>
      <c r="G627" s="19"/>
      <c r="H627" s="19"/>
      <c r="I627" s="19"/>
      <c r="J627" s="19"/>
    </row>
    <row r="628" spans="1:10">
      <c r="A628" s="19"/>
      <c r="B628" s="19"/>
      <c r="C628" s="19"/>
      <c r="D628" s="19"/>
      <c r="E628" s="19"/>
      <c r="F628" s="19"/>
      <c r="G628" s="19"/>
      <c r="H628" s="19"/>
      <c r="I628" s="19"/>
      <c r="J628" s="19"/>
    </row>
    <row r="629" spans="1:10">
      <c r="A629" s="19"/>
      <c r="B629" s="19"/>
      <c r="C629" s="19"/>
      <c r="D629" s="19"/>
      <c r="E629" s="19"/>
      <c r="F629" s="19"/>
      <c r="G629" s="19"/>
      <c r="H629" s="19"/>
      <c r="I629" s="19"/>
      <c r="J629" s="19"/>
    </row>
    <row r="630" spans="1:10">
      <c r="A630" s="19"/>
      <c r="B630" s="19"/>
      <c r="C630" s="19"/>
      <c r="D630" s="19"/>
      <c r="E630" s="19"/>
      <c r="F630" s="19"/>
      <c r="G630" s="19"/>
      <c r="H630" s="19"/>
      <c r="I630" s="19"/>
      <c r="J630" s="19"/>
    </row>
    <row r="631" spans="1:10">
      <c r="A631" s="19"/>
      <c r="B631" s="19"/>
      <c r="C631" s="19"/>
      <c r="D631" s="19"/>
      <c r="E631" s="19"/>
      <c r="F631" s="19"/>
      <c r="G631" s="19"/>
      <c r="H631" s="19"/>
      <c r="I631" s="19"/>
      <c r="J631" s="19"/>
    </row>
    <row r="632" spans="1:10">
      <c r="A632" s="19"/>
      <c r="B632" s="19"/>
      <c r="C632" s="19"/>
      <c r="D632" s="19"/>
      <c r="E632" s="19"/>
      <c r="F632" s="19"/>
      <c r="G632" s="19"/>
      <c r="H632" s="19"/>
      <c r="I632" s="19"/>
      <c r="J632" s="19"/>
    </row>
    <row r="633" spans="1:10">
      <c r="A633" s="19"/>
      <c r="B633" s="19"/>
      <c r="C633" s="19"/>
      <c r="D633" s="19"/>
      <c r="E633" s="19"/>
      <c r="F633" s="19"/>
      <c r="G633" s="19"/>
      <c r="H633" s="19"/>
      <c r="I633" s="19"/>
      <c r="J633" s="19"/>
    </row>
    <row r="634" spans="1:10">
      <c r="A634" s="19"/>
      <c r="B634" s="19"/>
      <c r="C634" s="19"/>
      <c r="D634" s="19"/>
      <c r="E634" s="19"/>
      <c r="F634" s="19"/>
      <c r="G634" s="19"/>
      <c r="H634" s="19"/>
      <c r="I634" s="19"/>
      <c r="J634" s="19"/>
    </row>
    <row r="635" spans="1:10">
      <c r="A635" s="19"/>
      <c r="B635" s="19"/>
      <c r="C635" s="19"/>
      <c r="D635" s="19"/>
      <c r="E635" s="19"/>
      <c r="F635" s="19"/>
      <c r="G635" s="19"/>
      <c r="H635" s="19"/>
      <c r="I635" s="19"/>
      <c r="J635" s="19"/>
    </row>
    <row r="636" spans="1:10">
      <c r="A636" s="19"/>
      <c r="B636" s="19"/>
      <c r="C636" s="19"/>
      <c r="D636" s="19"/>
      <c r="E636" s="19"/>
      <c r="F636" s="19"/>
      <c r="G636" s="19"/>
      <c r="H636" s="19"/>
      <c r="I636" s="19"/>
      <c r="J636" s="19"/>
    </row>
    <row r="637" spans="1:10">
      <c r="A637" s="19"/>
      <c r="B637" s="19"/>
      <c r="C637" s="19"/>
      <c r="D637" s="19"/>
      <c r="E637" s="19"/>
      <c r="F637" s="19"/>
      <c r="G637" s="19"/>
      <c r="H637" s="19"/>
      <c r="I637" s="19"/>
      <c r="J637" s="19"/>
    </row>
    <row r="638" spans="1:10">
      <c r="A638" s="19"/>
      <c r="B638" s="19"/>
      <c r="C638" s="19"/>
      <c r="D638" s="19"/>
      <c r="E638" s="19"/>
      <c r="F638" s="19"/>
      <c r="G638" s="19"/>
      <c r="H638" s="19"/>
      <c r="I638" s="19"/>
      <c r="J638" s="19"/>
    </row>
    <row r="639" spans="1:10">
      <c r="A639" s="19"/>
      <c r="B639" s="19"/>
      <c r="C639" s="19"/>
      <c r="D639" s="19"/>
      <c r="E639" s="19"/>
      <c r="F639" s="19"/>
      <c r="G639" s="19"/>
      <c r="H639" s="19"/>
      <c r="I639" s="19"/>
      <c r="J639" s="19"/>
    </row>
    <row r="640" spans="1:10">
      <c r="A640" s="19"/>
      <c r="B640" s="19"/>
      <c r="C640" s="19"/>
      <c r="D640" s="19"/>
      <c r="E640" s="19"/>
      <c r="F640" s="19"/>
      <c r="G640" s="19"/>
      <c r="H640" s="19"/>
      <c r="I640" s="19"/>
      <c r="J640" s="19"/>
    </row>
    <row r="641" spans="1:10">
      <c r="A641" s="19"/>
      <c r="B641" s="19"/>
      <c r="C641" s="19"/>
      <c r="D641" s="19"/>
      <c r="E641" s="19"/>
      <c r="F641" s="19"/>
      <c r="G641" s="19"/>
      <c r="H641" s="19"/>
      <c r="I641" s="19"/>
      <c r="J641" s="19"/>
    </row>
    <row r="642" spans="1:10">
      <c r="A642" s="19"/>
      <c r="B642" s="19"/>
      <c r="C642" s="19"/>
      <c r="D642" s="19"/>
      <c r="E642" s="19"/>
      <c r="F642" s="19"/>
      <c r="G642" s="19"/>
      <c r="H642" s="19"/>
      <c r="I642" s="19"/>
      <c r="J642" s="19"/>
    </row>
    <row r="643" spans="1:10">
      <c r="A643" s="19"/>
      <c r="B643" s="19"/>
      <c r="C643" s="19"/>
      <c r="D643" s="19"/>
      <c r="E643" s="19"/>
      <c r="F643" s="19"/>
      <c r="G643" s="19"/>
      <c r="H643" s="19"/>
      <c r="I643" s="19"/>
      <c r="J643" s="19"/>
    </row>
    <row r="644" spans="1:10">
      <c r="A644" s="19"/>
      <c r="B644" s="19"/>
      <c r="C644" s="19"/>
      <c r="D644" s="19"/>
      <c r="E644" s="19"/>
      <c r="F644" s="19"/>
      <c r="G644" s="19"/>
      <c r="H644" s="19"/>
      <c r="I644" s="19"/>
      <c r="J644" s="19"/>
    </row>
    <row r="645" spans="1:10">
      <c r="A645" s="19"/>
      <c r="B645" s="19"/>
      <c r="C645" s="19"/>
      <c r="D645" s="19"/>
      <c r="E645" s="19"/>
      <c r="F645" s="19"/>
      <c r="G645" s="19"/>
      <c r="H645" s="19"/>
      <c r="I645" s="19"/>
      <c r="J645" s="19"/>
    </row>
    <row r="646" spans="1:10">
      <c r="A646" s="19"/>
      <c r="B646" s="19"/>
      <c r="C646" s="19"/>
      <c r="D646" s="19"/>
      <c r="E646" s="19"/>
      <c r="F646" s="19"/>
      <c r="G646" s="19"/>
      <c r="H646" s="19"/>
      <c r="I646" s="19"/>
      <c r="J646" s="19"/>
    </row>
    <row r="647" spans="1:10">
      <c r="A647" s="19"/>
      <c r="B647" s="19"/>
      <c r="C647" s="19"/>
      <c r="D647" s="19"/>
      <c r="E647" s="19"/>
      <c r="F647" s="19"/>
      <c r="G647" s="19"/>
      <c r="H647" s="19"/>
      <c r="I647" s="19"/>
      <c r="J647" s="19"/>
    </row>
    <row r="648" spans="1:10">
      <c r="A648" s="19"/>
      <c r="B648" s="19"/>
      <c r="C648" s="19"/>
      <c r="D648" s="19"/>
      <c r="E648" s="19"/>
      <c r="F648" s="19"/>
      <c r="G648" s="19"/>
      <c r="H648" s="19"/>
      <c r="I648" s="19"/>
      <c r="J648" s="19"/>
    </row>
    <row r="649" spans="1:10">
      <c r="A649" s="19"/>
      <c r="B649" s="19"/>
      <c r="C649" s="19"/>
      <c r="D649" s="19"/>
      <c r="E649" s="19"/>
      <c r="F649" s="19"/>
      <c r="G649" s="19"/>
      <c r="H649" s="19"/>
      <c r="I649" s="19"/>
      <c r="J649" s="19"/>
    </row>
    <row r="650" spans="1:10">
      <c r="A650" s="19"/>
      <c r="B650" s="19"/>
      <c r="C650" s="19"/>
      <c r="D650" s="19"/>
      <c r="E650" s="19"/>
      <c r="F650" s="19"/>
      <c r="G650" s="19"/>
      <c r="H650" s="19"/>
      <c r="I650" s="19"/>
      <c r="J650" s="19"/>
    </row>
    <row r="651" spans="1:10">
      <c r="A651" s="19"/>
      <c r="B651" s="19"/>
      <c r="C651" s="19"/>
      <c r="D651" s="19"/>
      <c r="E651" s="19"/>
      <c r="F651" s="19"/>
      <c r="G651" s="19"/>
      <c r="H651" s="19"/>
      <c r="I651" s="19"/>
      <c r="J651" s="19"/>
    </row>
    <row r="652" spans="1:10">
      <c r="A652" s="19"/>
      <c r="B652" s="19"/>
      <c r="C652" s="19"/>
      <c r="D652" s="19"/>
      <c r="E652" s="19"/>
      <c r="F652" s="19"/>
      <c r="G652" s="19"/>
      <c r="H652" s="19"/>
      <c r="I652" s="19"/>
      <c r="J652" s="19"/>
    </row>
    <row r="653" spans="1:10">
      <c r="A653" s="19"/>
      <c r="B653" s="19"/>
      <c r="C653" s="19"/>
      <c r="D653" s="19"/>
      <c r="E653" s="19"/>
      <c r="F653" s="19"/>
      <c r="G653" s="19"/>
      <c r="H653" s="19"/>
      <c r="I653" s="19"/>
      <c r="J653" s="19"/>
    </row>
    <row r="654" spans="1:10">
      <c r="A654" s="19"/>
      <c r="B654" s="19"/>
      <c r="C654" s="19"/>
      <c r="D654" s="19"/>
      <c r="E654" s="19"/>
      <c r="F654" s="19"/>
      <c r="G654" s="19"/>
      <c r="H654" s="19"/>
      <c r="I654" s="19"/>
      <c r="J654" s="19"/>
    </row>
    <row r="655" spans="1:10">
      <c r="A655" s="19"/>
      <c r="B655" s="19"/>
      <c r="C655" s="19"/>
      <c r="D655" s="19"/>
      <c r="E655" s="19"/>
      <c r="F655" s="19"/>
      <c r="G655" s="19"/>
      <c r="H655" s="19"/>
      <c r="I655" s="19"/>
      <c r="J655" s="19"/>
    </row>
    <row r="656" spans="1:10">
      <c r="A656" s="19"/>
      <c r="B656" s="19"/>
      <c r="C656" s="19"/>
      <c r="D656" s="19"/>
      <c r="E656" s="19"/>
      <c r="F656" s="19"/>
      <c r="G656" s="19"/>
      <c r="H656" s="19"/>
      <c r="I656" s="19"/>
      <c r="J656" s="19"/>
    </row>
    <row r="657" spans="1:10">
      <c r="A657" s="19"/>
      <c r="B657" s="19"/>
      <c r="C657" s="19"/>
      <c r="D657" s="19"/>
      <c r="E657" s="19"/>
      <c r="F657" s="19"/>
      <c r="G657" s="19"/>
      <c r="H657" s="19"/>
      <c r="I657" s="19"/>
      <c r="J657" s="19"/>
    </row>
    <row r="658" spans="1:10">
      <c r="A658" s="19"/>
      <c r="B658" s="19"/>
      <c r="C658" s="19"/>
      <c r="D658" s="19"/>
      <c r="E658" s="19"/>
      <c r="F658" s="19"/>
      <c r="G658" s="19"/>
      <c r="H658" s="19"/>
      <c r="I658" s="19"/>
      <c r="J658" s="19"/>
    </row>
    <row r="659" spans="1:10">
      <c r="A659" s="19"/>
      <c r="B659" s="19"/>
      <c r="C659" s="19"/>
      <c r="D659" s="19"/>
      <c r="E659" s="19"/>
      <c r="F659" s="19"/>
      <c r="G659" s="19"/>
      <c r="H659" s="19"/>
      <c r="I659" s="19"/>
      <c r="J659" s="19"/>
    </row>
    <row r="660" spans="1:10">
      <c r="A660" s="19"/>
      <c r="B660" s="19"/>
      <c r="C660" s="19"/>
      <c r="D660" s="19"/>
      <c r="E660" s="19"/>
      <c r="F660" s="19"/>
      <c r="G660" s="19"/>
      <c r="H660" s="19"/>
      <c r="I660" s="19"/>
      <c r="J660" s="19"/>
    </row>
    <row r="661" spans="1:10">
      <c r="A661" s="19"/>
      <c r="B661" s="19"/>
      <c r="C661" s="19"/>
      <c r="D661" s="19"/>
      <c r="E661" s="19"/>
      <c r="F661" s="19"/>
      <c r="G661" s="19"/>
      <c r="H661" s="19"/>
      <c r="I661" s="19"/>
      <c r="J661" s="19"/>
    </row>
    <row r="662" spans="1:10">
      <c r="A662" s="19"/>
      <c r="B662" s="19"/>
      <c r="C662" s="19"/>
      <c r="D662" s="19"/>
      <c r="E662" s="19"/>
      <c r="F662" s="19"/>
      <c r="G662" s="19"/>
      <c r="H662" s="19"/>
      <c r="I662" s="19"/>
      <c r="J662" s="19"/>
    </row>
    <row r="663" spans="1:10">
      <c r="A663" s="19"/>
      <c r="B663" s="19"/>
      <c r="C663" s="19"/>
      <c r="D663" s="19"/>
      <c r="E663" s="19"/>
      <c r="F663" s="19"/>
      <c r="G663" s="19"/>
      <c r="H663" s="19"/>
      <c r="I663" s="19"/>
      <c r="J663" s="19"/>
    </row>
    <row r="664" spans="1:10">
      <c r="A664" s="19"/>
      <c r="B664" s="19"/>
      <c r="C664" s="19"/>
      <c r="D664" s="19"/>
      <c r="E664" s="19"/>
      <c r="F664" s="19"/>
      <c r="G664" s="19"/>
      <c r="H664" s="19"/>
      <c r="I664" s="19"/>
      <c r="J664" s="19"/>
    </row>
    <row r="665" spans="1:10">
      <c r="A665" s="19"/>
      <c r="B665" s="19"/>
      <c r="C665" s="19"/>
      <c r="D665" s="19"/>
      <c r="E665" s="19"/>
      <c r="F665" s="19"/>
      <c r="G665" s="19"/>
      <c r="H665" s="19"/>
      <c r="I665" s="19"/>
      <c r="J665" s="19"/>
    </row>
    <row r="666" spans="1:10">
      <c r="A666" s="19"/>
      <c r="B666" s="19"/>
      <c r="C666" s="19"/>
      <c r="D666" s="19"/>
      <c r="E666" s="19"/>
      <c r="F666" s="19"/>
      <c r="G666" s="19"/>
      <c r="H666" s="19"/>
      <c r="I666" s="19"/>
      <c r="J666" s="19"/>
    </row>
    <row r="667" spans="1:10">
      <c r="A667" s="19"/>
      <c r="B667" s="19"/>
      <c r="C667" s="19"/>
      <c r="D667" s="19"/>
      <c r="E667" s="19"/>
      <c r="F667" s="19"/>
      <c r="G667" s="19"/>
      <c r="H667" s="19"/>
      <c r="I667" s="19"/>
      <c r="J667" s="19"/>
    </row>
    <row r="668" spans="1:10">
      <c r="A668" s="19"/>
      <c r="B668" s="19"/>
      <c r="C668" s="19"/>
      <c r="D668" s="19"/>
      <c r="E668" s="19"/>
      <c r="F668" s="19"/>
      <c r="G668" s="19"/>
      <c r="H668" s="19"/>
      <c r="I668" s="19"/>
      <c r="J668" s="19"/>
    </row>
    <row r="669" spans="1:10">
      <c r="A669" s="19"/>
      <c r="B669" s="19"/>
      <c r="C669" s="19"/>
      <c r="D669" s="19"/>
      <c r="E669" s="19"/>
      <c r="F669" s="19"/>
      <c r="G669" s="19"/>
      <c r="H669" s="19"/>
      <c r="I669" s="19"/>
      <c r="J669" s="19"/>
    </row>
    <row r="670" spans="1:10">
      <c r="A670" s="19"/>
      <c r="B670" s="19"/>
      <c r="C670" s="19"/>
      <c r="D670" s="19"/>
      <c r="E670" s="19"/>
      <c r="F670" s="19"/>
      <c r="G670" s="19"/>
      <c r="H670" s="19"/>
      <c r="I670" s="19"/>
      <c r="J670" s="19"/>
    </row>
    <row r="671" spans="1:10">
      <c r="A671" s="19"/>
      <c r="B671" s="19"/>
      <c r="C671" s="19"/>
      <c r="D671" s="19"/>
      <c r="E671" s="19"/>
      <c r="F671" s="19"/>
      <c r="G671" s="19"/>
      <c r="H671" s="19"/>
      <c r="I671" s="19"/>
      <c r="J671" s="19"/>
    </row>
    <row r="672" spans="1:10">
      <c r="A672" s="19"/>
      <c r="B672" s="19"/>
      <c r="C672" s="19"/>
      <c r="D672" s="19"/>
      <c r="E672" s="19"/>
      <c r="F672" s="19"/>
      <c r="G672" s="19"/>
      <c r="H672" s="19"/>
      <c r="I672" s="19"/>
      <c r="J672" s="19"/>
    </row>
    <row r="673" spans="1:10">
      <c r="A673" s="19"/>
      <c r="B673" s="19"/>
      <c r="C673" s="19"/>
      <c r="D673" s="19"/>
      <c r="E673" s="19"/>
      <c r="F673" s="19"/>
      <c r="G673" s="19"/>
      <c r="H673" s="19"/>
      <c r="I673" s="19"/>
      <c r="J673" s="19"/>
    </row>
    <row r="674" spans="1:10">
      <c r="A674" s="19"/>
      <c r="B674" s="19"/>
      <c r="C674" s="19"/>
      <c r="D674" s="19"/>
      <c r="E674" s="19"/>
      <c r="F674" s="19"/>
      <c r="G674" s="19"/>
      <c r="H674" s="19"/>
      <c r="I674" s="19"/>
      <c r="J674" s="19"/>
    </row>
    <row r="675" spans="1:10">
      <c r="A675" s="19"/>
      <c r="B675" s="19"/>
      <c r="C675" s="19"/>
      <c r="D675" s="19"/>
      <c r="E675" s="19"/>
      <c r="F675" s="19"/>
      <c r="G675" s="19"/>
      <c r="H675" s="19"/>
      <c r="I675" s="19"/>
      <c r="J675" s="19"/>
    </row>
    <row r="676" spans="1:10">
      <c r="A676" s="19"/>
      <c r="B676" s="19"/>
      <c r="C676" s="19"/>
      <c r="D676" s="19"/>
      <c r="E676" s="19"/>
      <c r="F676" s="19"/>
      <c r="G676" s="19"/>
      <c r="H676" s="19"/>
      <c r="I676" s="19"/>
      <c r="J676" s="19"/>
    </row>
    <row r="677" spans="1:10">
      <c r="A677" s="19"/>
      <c r="B677" s="19"/>
      <c r="C677" s="19"/>
      <c r="D677" s="19"/>
      <c r="E677" s="19"/>
      <c r="F677" s="19"/>
      <c r="G677" s="19"/>
      <c r="H677" s="19"/>
      <c r="I677" s="19"/>
      <c r="J677" s="19"/>
    </row>
    <row r="678" spans="1:10">
      <c r="A678" s="19"/>
      <c r="B678" s="19"/>
      <c r="C678" s="19"/>
      <c r="D678" s="19"/>
      <c r="E678" s="19"/>
      <c r="F678" s="19"/>
      <c r="G678" s="19"/>
      <c r="H678" s="19"/>
      <c r="I678" s="19"/>
      <c r="J678" s="19"/>
    </row>
    <row r="679" spans="1:10">
      <c r="A679" s="19"/>
      <c r="B679" s="19"/>
      <c r="C679" s="19"/>
      <c r="D679" s="19"/>
      <c r="E679" s="19"/>
      <c r="F679" s="19"/>
      <c r="G679" s="19"/>
      <c r="H679" s="19"/>
      <c r="I679" s="19"/>
      <c r="J679" s="19"/>
    </row>
    <row r="680" spans="1:10">
      <c r="A680" s="19"/>
      <c r="B680" s="19"/>
      <c r="C680" s="19"/>
      <c r="D680" s="19"/>
      <c r="E680" s="19"/>
      <c r="F680" s="19"/>
      <c r="G680" s="19"/>
      <c r="H680" s="19"/>
      <c r="I680" s="19"/>
      <c r="J680" s="19"/>
    </row>
    <row r="681" spans="1:10">
      <c r="A681" s="19"/>
      <c r="B681" s="19"/>
      <c r="C681" s="19"/>
      <c r="D681" s="19"/>
      <c r="E681" s="19"/>
      <c r="F681" s="19"/>
      <c r="G681" s="19"/>
      <c r="H681" s="19"/>
      <c r="I681" s="19"/>
      <c r="J681" s="19"/>
    </row>
    <row r="682" spans="1:10">
      <c r="A682" s="19"/>
      <c r="B682" s="19"/>
      <c r="C682" s="19"/>
      <c r="D682" s="19"/>
      <c r="E682" s="19"/>
      <c r="F682" s="19"/>
      <c r="G682" s="19"/>
      <c r="H682" s="19"/>
      <c r="I682" s="19"/>
      <c r="J682" s="19"/>
    </row>
    <row r="683" spans="1:10">
      <c r="A683" s="19"/>
      <c r="B683" s="19"/>
      <c r="C683" s="19"/>
      <c r="D683" s="19"/>
      <c r="E683" s="19"/>
      <c r="F683" s="19"/>
      <c r="G683" s="19"/>
      <c r="H683" s="19"/>
      <c r="I683" s="19"/>
      <c r="J683" s="19"/>
    </row>
    <row r="684" spans="1:10">
      <c r="A684" s="19"/>
      <c r="B684" s="19"/>
      <c r="C684" s="19"/>
      <c r="D684" s="19"/>
      <c r="E684" s="19"/>
      <c r="F684" s="19"/>
      <c r="G684" s="19"/>
      <c r="H684" s="19"/>
      <c r="I684" s="19"/>
      <c r="J684" s="19"/>
    </row>
    <row r="685" spans="1:10">
      <c r="A685" s="19"/>
      <c r="B685" s="19"/>
      <c r="C685" s="19"/>
      <c r="D685" s="19"/>
      <c r="E685" s="19"/>
      <c r="F685" s="19"/>
      <c r="G685" s="19"/>
      <c r="H685" s="19"/>
      <c r="I685" s="19"/>
      <c r="J685" s="19"/>
    </row>
    <row r="686" spans="1:10">
      <c r="A686" s="19"/>
      <c r="B686" s="19"/>
      <c r="C686" s="19"/>
      <c r="D686" s="19"/>
      <c r="E686" s="19"/>
      <c r="F686" s="19"/>
      <c r="G686" s="19"/>
      <c r="H686" s="19"/>
      <c r="I686" s="19"/>
      <c r="J686" s="19"/>
    </row>
    <row r="687" spans="1:10">
      <c r="A687" s="19"/>
      <c r="B687" s="19"/>
      <c r="C687" s="19"/>
      <c r="D687" s="19"/>
      <c r="E687" s="19"/>
      <c r="F687" s="19"/>
      <c r="G687" s="19"/>
      <c r="H687" s="19"/>
      <c r="I687" s="19"/>
      <c r="J687" s="19"/>
    </row>
    <row r="688" spans="1:10">
      <c r="A688" s="19"/>
      <c r="B688" s="19"/>
      <c r="C688" s="19"/>
      <c r="D688" s="19"/>
      <c r="E688" s="19"/>
      <c r="F688" s="19"/>
      <c r="G688" s="19"/>
      <c r="H688" s="19"/>
      <c r="I688" s="19"/>
      <c r="J688" s="19"/>
    </row>
    <row r="689" spans="1:10">
      <c r="A689" s="19"/>
      <c r="B689" s="19"/>
      <c r="C689" s="19"/>
      <c r="D689" s="19"/>
      <c r="E689" s="19"/>
      <c r="F689" s="19"/>
      <c r="G689" s="19"/>
      <c r="H689" s="19"/>
      <c r="I689" s="19"/>
      <c r="J689" s="19"/>
    </row>
    <row r="690" spans="1:10">
      <c r="A690" s="19"/>
      <c r="B690" s="19"/>
      <c r="C690" s="19"/>
      <c r="D690" s="19"/>
      <c r="E690" s="19"/>
      <c r="F690" s="19"/>
      <c r="G690" s="19"/>
      <c r="H690" s="19"/>
      <c r="I690" s="19"/>
      <c r="J690" s="19"/>
    </row>
    <row r="691" spans="1:10">
      <c r="A691" s="19"/>
      <c r="B691" s="19"/>
      <c r="C691" s="19"/>
      <c r="D691" s="19"/>
      <c r="E691" s="19"/>
      <c r="F691" s="19"/>
      <c r="G691" s="19"/>
      <c r="H691" s="19"/>
      <c r="I691" s="19"/>
      <c r="J691" s="19"/>
    </row>
    <row r="692" spans="1:10">
      <c r="A692" s="19"/>
      <c r="B692" s="19"/>
      <c r="C692" s="19"/>
      <c r="D692" s="19"/>
      <c r="E692" s="19"/>
      <c r="F692" s="19"/>
      <c r="G692" s="19"/>
      <c r="H692" s="19"/>
      <c r="I692" s="19"/>
      <c r="J692" s="19"/>
    </row>
    <row r="693" spans="1:10">
      <c r="A693" s="19"/>
      <c r="B693" s="19"/>
      <c r="C693" s="19"/>
      <c r="D693" s="19"/>
      <c r="E693" s="19"/>
      <c r="F693" s="19"/>
      <c r="G693" s="19"/>
      <c r="H693" s="19"/>
      <c r="I693" s="19"/>
      <c r="J693" s="19"/>
    </row>
    <row r="694" spans="1:10">
      <c r="A694" s="19"/>
      <c r="B694" s="19"/>
      <c r="C694" s="19"/>
      <c r="D694" s="19"/>
      <c r="E694" s="19"/>
      <c r="F694" s="19"/>
      <c r="G694" s="19"/>
      <c r="H694" s="19"/>
      <c r="I694" s="19"/>
      <c r="J694" s="19"/>
    </row>
    <row r="695" spans="1:10">
      <c r="A695" s="19"/>
      <c r="B695" s="19"/>
      <c r="C695" s="19"/>
      <c r="D695" s="19"/>
      <c r="E695" s="19"/>
      <c r="F695" s="19"/>
      <c r="G695" s="19"/>
      <c r="H695" s="19"/>
      <c r="I695" s="19"/>
      <c r="J695" s="19"/>
    </row>
    <row r="696" spans="1:10">
      <c r="A696" s="19"/>
      <c r="B696" s="19"/>
      <c r="C696" s="19"/>
      <c r="D696" s="19"/>
      <c r="E696" s="19"/>
      <c r="F696" s="19"/>
      <c r="G696" s="19"/>
      <c r="H696" s="19"/>
      <c r="I696" s="19"/>
      <c r="J696" s="19"/>
    </row>
    <row r="697" spans="1:10">
      <c r="A697" s="19"/>
      <c r="B697" s="19"/>
      <c r="C697" s="19"/>
      <c r="D697" s="19"/>
      <c r="E697" s="19"/>
      <c r="F697" s="19"/>
      <c r="G697" s="19"/>
      <c r="H697" s="19"/>
      <c r="I697" s="19"/>
      <c r="J697" s="19"/>
    </row>
    <row r="698" spans="1:10">
      <c r="A698" s="19"/>
      <c r="B698" s="19"/>
      <c r="C698" s="19"/>
      <c r="D698" s="19"/>
      <c r="E698" s="19"/>
      <c r="F698" s="19"/>
      <c r="G698" s="19"/>
      <c r="H698" s="19"/>
      <c r="I698" s="19"/>
      <c r="J698" s="19"/>
    </row>
    <row r="699" spans="1:10">
      <c r="A699" s="19"/>
      <c r="B699" s="19"/>
      <c r="C699" s="19"/>
      <c r="D699" s="19"/>
      <c r="E699" s="19"/>
      <c r="F699" s="19"/>
      <c r="G699" s="19"/>
      <c r="H699" s="19"/>
      <c r="I699" s="19"/>
      <c r="J699" s="19"/>
    </row>
    <row r="700" spans="1:10">
      <c r="A700" s="19"/>
      <c r="B700" s="19"/>
      <c r="C700" s="19"/>
      <c r="D700" s="19"/>
      <c r="E700" s="19"/>
      <c r="F700" s="19"/>
      <c r="G700" s="19"/>
      <c r="H700" s="19"/>
      <c r="I700" s="19"/>
      <c r="J700" s="19"/>
    </row>
    <row r="701" spans="1:10">
      <c r="A701" s="19"/>
      <c r="B701" s="19"/>
      <c r="C701" s="19"/>
      <c r="D701" s="19"/>
      <c r="E701" s="19"/>
      <c r="F701" s="19"/>
      <c r="G701" s="19"/>
      <c r="H701" s="19"/>
      <c r="I701" s="19"/>
      <c r="J701" s="19"/>
    </row>
    <row r="702" spans="1:10">
      <c r="A702" s="19"/>
      <c r="B702" s="19"/>
      <c r="C702" s="19"/>
      <c r="D702" s="19"/>
      <c r="E702" s="19"/>
      <c r="F702" s="19"/>
      <c r="G702" s="19"/>
      <c r="H702" s="19"/>
      <c r="I702" s="19"/>
      <c r="J702" s="19"/>
    </row>
    <row r="703" spans="1:10">
      <c r="A703" s="19"/>
      <c r="B703" s="19"/>
      <c r="C703" s="19"/>
      <c r="D703" s="19"/>
      <c r="E703" s="19"/>
      <c r="F703" s="19"/>
      <c r="G703" s="19"/>
      <c r="H703" s="19"/>
      <c r="I703" s="19"/>
      <c r="J703" s="19"/>
    </row>
    <row r="704" spans="1:10">
      <c r="A704" s="19"/>
      <c r="B704" s="19"/>
      <c r="C704" s="19"/>
      <c r="D704" s="19"/>
      <c r="E704" s="19"/>
      <c r="F704" s="19"/>
      <c r="G704" s="19"/>
      <c r="H704" s="19"/>
      <c r="I704" s="19"/>
      <c r="J704" s="19"/>
    </row>
    <row r="705" spans="1:10">
      <c r="A705" s="19"/>
      <c r="B705" s="19"/>
      <c r="C705" s="19"/>
      <c r="D705" s="19"/>
      <c r="E705" s="19"/>
      <c r="F705" s="19"/>
      <c r="G705" s="19"/>
      <c r="H705" s="19"/>
      <c r="I705" s="19"/>
      <c r="J705" s="19"/>
    </row>
    <row r="706" spans="1:10">
      <c r="A706" s="19"/>
      <c r="B706" s="19"/>
      <c r="C706" s="19"/>
      <c r="D706" s="19"/>
      <c r="E706" s="19"/>
      <c r="F706" s="19"/>
      <c r="G706" s="19"/>
      <c r="H706" s="19"/>
      <c r="I706" s="19"/>
      <c r="J706" s="19"/>
    </row>
    <row r="707" spans="1:10">
      <c r="A707" s="19"/>
      <c r="B707" s="19"/>
      <c r="C707" s="19"/>
      <c r="D707" s="19"/>
      <c r="E707" s="19"/>
      <c r="F707" s="19"/>
      <c r="G707" s="19"/>
      <c r="H707" s="19"/>
      <c r="I707" s="19"/>
      <c r="J707" s="19"/>
    </row>
    <row r="708" spans="1:10">
      <c r="A708" s="19"/>
      <c r="B708" s="19"/>
      <c r="C708" s="19"/>
      <c r="D708" s="19"/>
      <c r="E708" s="19"/>
      <c r="F708" s="19"/>
      <c r="G708" s="19"/>
      <c r="H708" s="19"/>
      <c r="I708" s="19"/>
      <c r="J708" s="19"/>
    </row>
    <row r="709" spans="1:10">
      <c r="A709" s="19"/>
      <c r="B709" s="19"/>
      <c r="C709" s="19"/>
      <c r="D709" s="19"/>
      <c r="E709" s="19"/>
      <c r="F709" s="19"/>
      <c r="G709" s="19"/>
      <c r="H709" s="19"/>
      <c r="I709" s="19"/>
      <c r="J709" s="19"/>
    </row>
    <row r="710" spans="1:10">
      <c r="A710" s="19"/>
      <c r="B710" s="19"/>
      <c r="C710" s="19"/>
      <c r="D710" s="19"/>
      <c r="E710" s="19"/>
      <c r="F710" s="19"/>
      <c r="G710" s="19"/>
      <c r="H710" s="19"/>
      <c r="I710" s="19"/>
      <c r="J710" s="19"/>
    </row>
    <row r="711" spans="1:10">
      <c r="A711" s="19"/>
      <c r="B711" s="19"/>
      <c r="C711" s="19"/>
      <c r="D711" s="19"/>
      <c r="E711" s="19"/>
      <c r="F711" s="19"/>
      <c r="G711" s="19"/>
      <c r="H711" s="19"/>
      <c r="I711" s="19"/>
      <c r="J711" s="19"/>
    </row>
    <row r="712" spans="1:10">
      <c r="A712" s="19"/>
      <c r="B712" s="19"/>
      <c r="C712" s="19"/>
      <c r="D712" s="19"/>
      <c r="E712" s="19"/>
      <c r="F712" s="19"/>
      <c r="G712" s="19"/>
      <c r="H712" s="19"/>
      <c r="I712" s="19"/>
      <c r="J712" s="19"/>
    </row>
    <row r="713" spans="1:10">
      <c r="A713" s="19"/>
      <c r="B713" s="19"/>
      <c r="C713" s="19"/>
      <c r="D713" s="19"/>
      <c r="E713" s="19"/>
      <c r="F713" s="19"/>
      <c r="G713" s="19"/>
      <c r="H713" s="19"/>
      <c r="I713" s="19"/>
      <c r="J713" s="19"/>
    </row>
    <row r="714" spans="1:10">
      <c r="A714" s="19"/>
      <c r="B714" s="19"/>
      <c r="C714" s="19"/>
      <c r="D714" s="19"/>
      <c r="E714" s="19"/>
      <c r="F714" s="19"/>
      <c r="G714" s="19"/>
      <c r="H714" s="19"/>
      <c r="I714" s="19"/>
      <c r="J714" s="19"/>
    </row>
    <row r="715" spans="1:10">
      <c r="A715" s="19"/>
      <c r="B715" s="19"/>
      <c r="C715" s="19"/>
      <c r="D715" s="19"/>
      <c r="E715" s="19"/>
      <c r="F715" s="19"/>
      <c r="G715" s="19"/>
      <c r="H715" s="19"/>
      <c r="I715" s="19"/>
      <c r="J715" s="19"/>
    </row>
    <row r="716" spans="1:10">
      <c r="A716" s="19"/>
      <c r="B716" s="19"/>
      <c r="C716" s="19"/>
      <c r="D716" s="19"/>
      <c r="E716" s="19"/>
      <c r="F716" s="19"/>
      <c r="G716" s="19"/>
      <c r="H716" s="19"/>
      <c r="I716" s="19"/>
      <c r="J716" s="19"/>
    </row>
    <row r="717" spans="1:10">
      <c r="A717" s="19"/>
      <c r="B717" s="19"/>
      <c r="C717" s="19"/>
      <c r="D717" s="19"/>
      <c r="E717" s="19"/>
      <c r="F717" s="19"/>
      <c r="G717" s="19"/>
      <c r="H717" s="19"/>
      <c r="I717" s="19"/>
      <c r="J717" s="19"/>
    </row>
    <row r="718" spans="1:10">
      <c r="A718" s="19"/>
      <c r="B718" s="19"/>
      <c r="C718" s="19"/>
      <c r="D718" s="19"/>
      <c r="E718" s="19"/>
      <c r="F718" s="19"/>
      <c r="G718" s="19"/>
      <c r="H718" s="19"/>
      <c r="I718" s="19"/>
      <c r="J718" s="19"/>
    </row>
    <row r="719" spans="1:10">
      <c r="A719" s="19"/>
      <c r="B719" s="19"/>
      <c r="C719" s="19"/>
      <c r="D719" s="19"/>
      <c r="E719" s="19"/>
      <c r="F719" s="19"/>
      <c r="G719" s="19"/>
      <c r="H719" s="19"/>
      <c r="I719" s="19"/>
      <c r="J719" s="19"/>
    </row>
    <row r="720" spans="1:10">
      <c r="A720" s="19"/>
      <c r="B720" s="19"/>
      <c r="C720" s="19"/>
      <c r="D720" s="19"/>
      <c r="E720" s="19"/>
      <c r="F720" s="19"/>
      <c r="G720" s="19"/>
      <c r="H720" s="19"/>
      <c r="I720" s="19"/>
      <c r="J720" s="19"/>
    </row>
    <row r="721" spans="1:10">
      <c r="A721" s="19"/>
      <c r="B721" s="19"/>
      <c r="C721" s="19"/>
      <c r="D721" s="19"/>
      <c r="E721" s="19"/>
      <c r="F721" s="19"/>
      <c r="G721" s="19"/>
      <c r="H721" s="19"/>
      <c r="I721" s="19"/>
      <c r="J721" s="19"/>
    </row>
    <row r="722" spans="1:10">
      <c r="A722" s="19"/>
      <c r="B722" s="19"/>
      <c r="C722" s="19"/>
      <c r="D722" s="19"/>
      <c r="E722" s="19"/>
      <c r="F722" s="19"/>
      <c r="G722" s="19"/>
      <c r="H722" s="19"/>
      <c r="I722" s="19"/>
      <c r="J722" s="19"/>
    </row>
    <row r="723" spans="1:10">
      <c r="A723" s="19"/>
      <c r="B723" s="19"/>
      <c r="C723" s="19"/>
      <c r="D723" s="19"/>
      <c r="E723" s="19"/>
      <c r="F723" s="19"/>
      <c r="G723" s="19"/>
      <c r="H723" s="19"/>
      <c r="I723" s="19"/>
      <c r="J723" s="19"/>
    </row>
    <row r="724" spans="1:10">
      <c r="A724" s="19"/>
      <c r="B724" s="19"/>
      <c r="C724" s="19"/>
      <c r="D724" s="19"/>
      <c r="E724" s="19"/>
      <c r="F724" s="19"/>
      <c r="G724" s="19"/>
      <c r="H724" s="19"/>
      <c r="I724" s="19"/>
      <c r="J724" s="19"/>
    </row>
    <row r="725" spans="1:10">
      <c r="A725" s="19"/>
      <c r="B725" s="19"/>
      <c r="C725" s="19"/>
      <c r="D725" s="19"/>
      <c r="E725" s="19"/>
      <c r="F725" s="19"/>
      <c r="G725" s="19"/>
      <c r="H725" s="19"/>
      <c r="I725" s="19"/>
      <c r="J725" s="19"/>
    </row>
    <row r="726" spans="1:10">
      <c r="A726" s="19"/>
      <c r="B726" s="19"/>
      <c r="C726" s="19"/>
      <c r="D726" s="19"/>
      <c r="E726" s="19"/>
      <c r="F726" s="19"/>
      <c r="G726" s="19"/>
      <c r="H726" s="19"/>
      <c r="I726" s="19"/>
      <c r="J726" s="19"/>
    </row>
    <row r="727" spans="1:10">
      <c r="A727" s="19"/>
      <c r="B727" s="19"/>
      <c r="C727" s="19"/>
      <c r="D727" s="19"/>
      <c r="E727" s="19"/>
      <c r="F727" s="19"/>
      <c r="G727" s="19"/>
      <c r="H727" s="19"/>
      <c r="I727" s="19"/>
      <c r="J727" s="19"/>
    </row>
    <row r="728" spans="1:10">
      <c r="A728" s="19"/>
      <c r="B728" s="19"/>
      <c r="C728" s="19"/>
      <c r="D728" s="19"/>
      <c r="E728" s="19"/>
      <c r="F728" s="19"/>
      <c r="G728" s="19"/>
      <c r="H728" s="19"/>
      <c r="I728" s="19"/>
      <c r="J728" s="19"/>
    </row>
    <row r="729" spans="1:10">
      <c r="A729" s="19"/>
      <c r="B729" s="19"/>
      <c r="C729" s="19"/>
      <c r="D729" s="19"/>
      <c r="E729" s="19"/>
      <c r="F729" s="19"/>
      <c r="G729" s="19"/>
      <c r="H729" s="19"/>
      <c r="I729" s="19"/>
      <c r="J729" s="19"/>
    </row>
    <row r="730" spans="1:10">
      <c r="A730" s="19"/>
      <c r="B730" s="19"/>
      <c r="C730" s="19"/>
      <c r="D730" s="19"/>
      <c r="E730" s="19"/>
      <c r="F730" s="19"/>
      <c r="G730" s="19"/>
      <c r="H730" s="19"/>
      <c r="I730" s="19"/>
      <c r="J730" s="19"/>
    </row>
    <row r="731" spans="1:10">
      <c r="A731" s="19"/>
      <c r="B731" s="19"/>
      <c r="C731" s="19"/>
      <c r="D731" s="19"/>
      <c r="E731" s="19"/>
      <c r="F731" s="19"/>
      <c r="G731" s="19"/>
      <c r="H731" s="19"/>
      <c r="I731" s="19"/>
      <c r="J731" s="19"/>
    </row>
    <row r="732" spans="1:10">
      <c r="A732" s="19"/>
      <c r="B732" s="19"/>
      <c r="C732" s="19"/>
      <c r="D732" s="19"/>
      <c r="E732" s="19"/>
      <c r="F732" s="19"/>
      <c r="G732" s="19"/>
      <c r="H732" s="19"/>
      <c r="I732" s="19"/>
      <c r="J732" s="19"/>
    </row>
    <row r="733" spans="1:10">
      <c r="A733" s="19"/>
      <c r="B733" s="19"/>
      <c r="C733" s="19"/>
      <c r="D733" s="19"/>
      <c r="E733" s="19"/>
      <c r="F733" s="19"/>
      <c r="G733" s="19"/>
      <c r="H733" s="19"/>
      <c r="I733" s="19"/>
      <c r="J733" s="19"/>
    </row>
    <row r="734" spans="1:10">
      <c r="A734" s="19"/>
      <c r="B734" s="19"/>
      <c r="C734" s="19"/>
      <c r="D734" s="19"/>
      <c r="E734" s="19"/>
      <c r="F734" s="19"/>
      <c r="G734" s="19"/>
      <c r="H734" s="19"/>
      <c r="I734" s="19"/>
      <c r="J734" s="19"/>
    </row>
    <row r="735" spans="1:10">
      <c r="A735" s="19"/>
      <c r="B735" s="19"/>
      <c r="C735" s="19"/>
      <c r="D735" s="19"/>
      <c r="E735" s="19"/>
      <c r="F735" s="19"/>
      <c r="G735" s="19"/>
      <c r="H735" s="19"/>
      <c r="I735" s="19"/>
      <c r="J735" s="19"/>
    </row>
    <row r="736" spans="1:10">
      <c r="A736" s="19"/>
      <c r="B736" s="19"/>
      <c r="C736" s="19"/>
      <c r="D736" s="19"/>
      <c r="E736" s="19"/>
      <c r="F736" s="19"/>
      <c r="G736" s="19"/>
      <c r="H736" s="19"/>
      <c r="I736" s="19"/>
      <c r="J736" s="19"/>
    </row>
    <row r="737" spans="1:10">
      <c r="A737" s="19"/>
      <c r="B737" s="19"/>
      <c r="C737" s="19"/>
      <c r="D737" s="19"/>
      <c r="E737" s="19"/>
      <c r="F737" s="19"/>
      <c r="G737" s="19"/>
      <c r="H737" s="19"/>
      <c r="I737" s="19"/>
      <c r="J737" s="19"/>
    </row>
    <row r="738" spans="1:10">
      <c r="A738" s="19"/>
      <c r="B738" s="19"/>
      <c r="C738" s="19"/>
      <c r="D738" s="19"/>
      <c r="E738" s="19"/>
      <c r="F738" s="19"/>
      <c r="G738" s="19"/>
      <c r="H738" s="19"/>
      <c r="I738" s="19"/>
      <c r="J738" s="19"/>
    </row>
    <row r="739" spans="1:10">
      <c r="A739" s="19"/>
      <c r="B739" s="19"/>
      <c r="C739" s="19"/>
      <c r="D739" s="19"/>
      <c r="E739" s="19"/>
      <c r="F739" s="19"/>
      <c r="G739" s="19"/>
      <c r="H739" s="19"/>
      <c r="I739" s="19"/>
      <c r="J739" s="19"/>
    </row>
    <row r="740" spans="1:10">
      <c r="A740" s="19"/>
      <c r="B740" s="19"/>
      <c r="C740" s="19"/>
      <c r="D740" s="19"/>
      <c r="E740" s="19"/>
      <c r="F740" s="19"/>
      <c r="G740" s="19"/>
      <c r="H740" s="19"/>
      <c r="I740" s="19"/>
      <c r="J740" s="19"/>
    </row>
    <row r="741" spans="1:10">
      <c r="A741" s="19"/>
      <c r="B741" s="19"/>
      <c r="C741" s="19"/>
      <c r="D741" s="19"/>
      <c r="E741" s="19"/>
      <c r="F741" s="19"/>
      <c r="G741" s="19"/>
      <c r="H741" s="19"/>
      <c r="I741" s="19"/>
      <c r="J741" s="19"/>
    </row>
    <row r="742" spans="1:10">
      <c r="A742" s="19"/>
      <c r="B742" s="19"/>
      <c r="C742" s="19"/>
      <c r="D742" s="19"/>
      <c r="E742" s="19"/>
      <c r="F742" s="19"/>
      <c r="G742" s="19"/>
      <c r="H742" s="19"/>
      <c r="I742" s="19"/>
      <c r="J742" s="19"/>
    </row>
    <row r="743" spans="1:10">
      <c r="A743" s="19"/>
      <c r="B743" s="19"/>
      <c r="C743" s="19"/>
      <c r="D743" s="19"/>
      <c r="E743" s="19"/>
      <c r="F743" s="19"/>
      <c r="G743" s="19"/>
      <c r="H743" s="19"/>
      <c r="I743" s="19"/>
      <c r="J743" s="19"/>
    </row>
    <row r="744" spans="1:10">
      <c r="A744" s="19"/>
      <c r="B744" s="19"/>
      <c r="C744" s="19"/>
      <c r="D744" s="19"/>
      <c r="E744" s="19"/>
      <c r="F744" s="19"/>
      <c r="G744" s="19"/>
      <c r="H744" s="19"/>
      <c r="I744" s="19"/>
      <c r="J744" s="19"/>
    </row>
    <row r="745" spans="1:10">
      <c r="A745" s="19"/>
      <c r="B745" s="19"/>
      <c r="C745" s="19"/>
      <c r="D745" s="19"/>
      <c r="E745" s="19"/>
      <c r="F745" s="19"/>
      <c r="G745" s="19"/>
      <c r="H745" s="19"/>
      <c r="I745" s="19"/>
      <c r="J745" s="19"/>
    </row>
    <row r="746" spans="1:10">
      <c r="A746" s="19"/>
      <c r="B746" s="19"/>
      <c r="C746" s="19"/>
      <c r="D746" s="19"/>
      <c r="E746" s="19"/>
      <c r="F746" s="19"/>
      <c r="G746" s="19"/>
      <c r="H746" s="19"/>
      <c r="I746" s="19"/>
      <c r="J746" s="19"/>
    </row>
    <row r="747" spans="1:10">
      <c r="A747" s="19"/>
      <c r="B747" s="19"/>
      <c r="C747" s="19"/>
      <c r="D747" s="19"/>
      <c r="E747" s="19"/>
      <c r="F747" s="19"/>
      <c r="G747" s="19"/>
      <c r="H747" s="19"/>
      <c r="I747" s="19"/>
      <c r="J747" s="19"/>
    </row>
    <row r="748" spans="1:10">
      <c r="A748" s="19"/>
      <c r="B748" s="19"/>
      <c r="C748" s="19"/>
      <c r="D748" s="19"/>
      <c r="E748" s="19"/>
      <c r="F748" s="19"/>
      <c r="G748" s="19"/>
      <c r="H748" s="19"/>
      <c r="I748" s="19"/>
      <c r="J748" s="19"/>
    </row>
    <row r="749" spans="1:10">
      <c r="A749" s="19"/>
      <c r="B749" s="19"/>
      <c r="C749" s="19"/>
      <c r="D749" s="19"/>
      <c r="E749" s="19"/>
      <c r="F749" s="19"/>
      <c r="G749" s="19"/>
      <c r="H749" s="19"/>
      <c r="I749" s="19"/>
      <c r="J749" s="19"/>
    </row>
    <row r="750" spans="1:10">
      <c r="A750" s="19"/>
      <c r="B750" s="19"/>
      <c r="C750" s="19"/>
      <c r="D750" s="19"/>
      <c r="E750" s="19"/>
      <c r="F750" s="19"/>
      <c r="G750" s="19"/>
      <c r="H750" s="19"/>
      <c r="I750" s="19"/>
      <c r="J750" s="19"/>
    </row>
    <row r="751" spans="1:10">
      <c r="A751" s="19"/>
      <c r="B751" s="19"/>
      <c r="C751" s="19"/>
      <c r="D751" s="19"/>
      <c r="E751" s="19"/>
      <c r="F751" s="19"/>
      <c r="G751" s="19"/>
      <c r="H751" s="19"/>
      <c r="I751" s="19"/>
      <c r="J751" s="19"/>
    </row>
    <row r="752" spans="1:10">
      <c r="A752" s="19"/>
      <c r="B752" s="19"/>
      <c r="C752" s="19"/>
      <c r="D752" s="19"/>
      <c r="E752" s="19"/>
      <c r="F752" s="19"/>
      <c r="G752" s="19"/>
      <c r="H752" s="19"/>
      <c r="I752" s="19"/>
      <c r="J752" s="19"/>
    </row>
    <row r="753" spans="1:10">
      <c r="A753" s="19"/>
      <c r="B753" s="19"/>
      <c r="C753" s="19"/>
      <c r="D753" s="19"/>
      <c r="E753" s="19"/>
      <c r="F753" s="19"/>
      <c r="G753" s="19"/>
      <c r="H753" s="19"/>
      <c r="I753" s="19"/>
      <c r="J753" s="19"/>
    </row>
    <row r="754" spans="1:10">
      <c r="A754" s="19"/>
      <c r="B754" s="19"/>
      <c r="C754" s="19"/>
      <c r="D754" s="19"/>
      <c r="E754" s="19"/>
      <c r="F754" s="19"/>
      <c r="G754" s="19"/>
      <c r="H754" s="19"/>
      <c r="I754" s="19"/>
      <c r="J754" s="19"/>
    </row>
    <row r="755" spans="1:10">
      <c r="A755" s="19"/>
      <c r="B755" s="19"/>
      <c r="C755" s="19"/>
      <c r="D755" s="19"/>
      <c r="E755" s="19"/>
      <c r="F755" s="19"/>
      <c r="G755" s="19"/>
      <c r="H755" s="19"/>
      <c r="I755" s="19"/>
      <c r="J755" s="19"/>
    </row>
    <row r="756" spans="1:10">
      <c r="A756" s="19"/>
      <c r="B756" s="19"/>
      <c r="C756" s="19"/>
      <c r="D756" s="19"/>
      <c r="E756" s="19"/>
      <c r="F756" s="19"/>
      <c r="G756" s="19"/>
      <c r="H756" s="19"/>
      <c r="I756" s="19"/>
      <c r="J756" s="19"/>
    </row>
    <row r="757" spans="1:10">
      <c r="A757" s="19"/>
      <c r="B757" s="19"/>
      <c r="C757" s="19"/>
      <c r="D757" s="19"/>
      <c r="E757" s="19"/>
      <c r="F757" s="19"/>
      <c r="G757" s="19"/>
      <c r="H757" s="19"/>
      <c r="I757" s="19"/>
      <c r="J757" s="19"/>
    </row>
    <row r="758" spans="1:10">
      <c r="A758" s="19"/>
      <c r="B758" s="19"/>
      <c r="C758" s="19"/>
      <c r="D758" s="19"/>
      <c r="E758" s="19"/>
      <c r="F758" s="19"/>
      <c r="G758" s="19"/>
      <c r="H758" s="19"/>
      <c r="I758" s="19"/>
      <c r="J758" s="19"/>
    </row>
    <row r="759" spans="1:10">
      <c r="A759" s="19"/>
      <c r="B759" s="19"/>
      <c r="C759" s="19"/>
      <c r="D759" s="19"/>
      <c r="E759" s="19"/>
      <c r="F759" s="19"/>
      <c r="G759" s="19"/>
      <c r="H759" s="19"/>
      <c r="I759" s="19"/>
      <c r="J759" s="19"/>
    </row>
    <row r="760" spans="1:10">
      <c r="A760" s="19"/>
      <c r="B760" s="19"/>
      <c r="C760" s="19"/>
      <c r="D760" s="19"/>
      <c r="E760" s="19"/>
      <c r="F760" s="19"/>
      <c r="G760" s="19"/>
      <c r="H760" s="19"/>
      <c r="I760" s="19"/>
      <c r="J760" s="19"/>
    </row>
    <row r="761" spans="1:10">
      <c r="A761" s="19"/>
      <c r="B761" s="19"/>
      <c r="C761" s="19"/>
      <c r="D761" s="19"/>
      <c r="E761" s="19"/>
      <c r="F761" s="19"/>
      <c r="G761" s="19"/>
      <c r="H761" s="19"/>
      <c r="I761" s="19"/>
      <c r="J761" s="19"/>
    </row>
    <row r="762" spans="1:10">
      <c r="A762" s="19"/>
      <c r="B762" s="19"/>
      <c r="C762" s="19"/>
      <c r="D762" s="19"/>
      <c r="E762" s="19"/>
      <c r="F762" s="19"/>
      <c r="G762" s="19"/>
      <c r="H762" s="19"/>
      <c r="I762" s="19"/>
      <c r="J762" s="19"/>
    </row>
    <row r="763" spans="1:10">
      <c r="A763" s="19"/>
      <c r="B763" s="19"/>
      <c r="C763" s="19"/>
      <c r="D763" s="19"/>
      <c r="E763" s="19"/>
      <c r="F763" s="19"/>
      <c r="G763" s="19"/>
      <c r="H763" s="19"/>
      <c r="I763" s="19"/>
      <c r="J763" s="19"/>
    </row>
    <row r="764" spans="1:10">
      <c r="A764" s="19"/>
      <c r="B764" s="19"/>
      <c r="C764" s="19"/>
      <c r="D764" s="19"/>
      <c r="E764" s="19"/>
      <c r="F764" s="19"/>
      <c r="G764" s="19"/>
      <c r="H764" s="19"/>
      <c r="I764" s="19"/>
      <c r="J764" s="19"/>
    </row>
    <row r="765" spans="1:10">
      <c r="A765" s="19"/>
      <c r="B765" s="19"/>
      <c r="C765" s="19"/>
      <c r="D765" s="19"/>
      <c r="E765" s="19"/>
      <c r="F765" s="19"/>
      <c r="G765" s="19"/>
      <c r="H765" s="19"/>
      <c r="I765" s="19"/>
      <c r="J765" s="19"/>
    </row>
    <row r="766" spans="1:10">
      <c r="A766" s="19"/>
      <c r="B766" s="19"/>
      <c r="C766" s="19"/>
      <c r="D766" s="19"/>
      <c r="E766" s="19"/>
      <c r="F766" s="19"/>
      <c r="G766" s="19"/>
      <c r="H766" s="19"/>
      <c r="I766" s="19"/>
      <c r="J766" s="19"/>
    </row>
    <row r="767" spans="1:10">
      <c r="A767" s="19"/>
      <c r="B767" s="19"/>
      <c r="C767" s="19"/>
      <c r="D767" s="19"/>
      <c r="E767" s="19"/>
      <c r="F767" s="19"/>
      <c r="G767" s="19"/>
      <c r="H767" s="19"/>
      <c r="I767" s="19"/>
      <c r="J767" s="19"/>
    </row>
    <row r="768" spans="1:10">
      <c r="A768" s="19"/>
      <c r="B768" s="19"/>
      <c r="C768" s="19"/>
      <c r="D768" s="19"/>
      <c r="E768" s="19"/>
      <c r="F768" s="19"/>
      <c r="G768" s="19"/>
      <c r="H768" s="19"/>
      <c r="I768" s="19"/>
      <c r="J768" s="19"/>
    </row>
    <row r="769" spans="1:10">
      <c r="A769" s="19"/>
      <c r="B769" s="19"/>
      <c r="C769" s="19"/>
      <c r="D769" s="19"/>
      <c r="E769" s="19"/>
      <c r="F769" s="19"/>
      <c r="G769" s="19"/>
      <c r="H769" s="19"/>
      <c r="I769" s="19"/>
      <c r="J769" s="19"/>
    </row>
    <row r="770" spans="1:10">
      <c r="A770" s="19"/>
      <c r="B770" s="19"/>
      <c r="C770" s="19"/>
      <c r="D770" s="19"/>
      <c r="E770" s="19"/>
      <c r="F770" s="19"/>
      <c r="G770" s="19"/>
      <c r="H770" s="19"/>
      <c r="I770" s="19"/>
      <c r="J770" s="19"/>
    </row>
    <row r="771" spans="1:10">
      <c r="A771" s="19"/>
      <c r="B771" s="19"/>
      <c r="C771" s="19"/>
      <c r="D771" s="19"/>
      <c r="E771" s="19"/>
      <c r="F771" s="19"/>
      <c r="G771" s="19"/>
      <c r="H771" s="19"/>
      <c r="I771" s="19"/>
      <c r="J771" s="19"/>
    </row>
    <row r="772" spans="1:10">
      <c r="A772" s="19"/>
      <c r="B772" s="19"/>
      <c r="C772" s="19"/>
      <c r="D772" s="19"/>
      <c r="E772" s="19"/>
      <c r="F772" s="19"/>
      <c r="G772" s="19"/>
      <c r="H772" s="19"/>
      <c r="I772" s="19"/>
      <c r="J772" s="19"/>
    </row>
    <row r="773" spans="1:10">
      <c r="A773" s="19"/>
      <c r="B773" s="19"/>
      <c r="C773" s="19"/>
      <c r="D773" s="19"/>
      <c r="E773" s="19"/>
      <c r="F773" s="19"/>
      <c r="G773" s="19"/>
      <c r="H773" s="19"/>
      <c r="I773" s="19"/>
      <c r="J773" s="19"/>
    </row>
    <row r="774" spans="1:10">
      <c r="A774" s="19"/>
      <c r="B774" s="19"/>
      <c r="C774" s="19"/>
      <c r="D774" s="19"/>
      <c r="E774" s="19"/>
      <c r="F774" s="19"/>
      <c r="G774" s="19"/>
      <c r="H774" s="19"/>
      <c r="I774" s="19"/>
      <c r="J774" s="19"/>
    </row>
    <row r="775" spans="1:10">
      <c r="A775" s="19"/>
      <c r="B775" s="19"/>
      <c r="C775" s="19"/>
      <c r="D775" s="19"/>
      <c r="E775" s="19"/>
      <c r="F775" s="19"/>
      <c r="G775" s="19"/>
      <c r="H775" s="19"/>
      <c r="I775" s="19"/>
      <c r="J775" s="19"/>
    </row>
    <row r="776" spans="1:10">
      <c r="A776" s="19"/>
      <c r="B776" s="19"/>
      <c r="C776" s="19"/>
      <c r="D776" s="19"/>
      <c r="E776" s="19"/>
      <c r="F776" s="19"/>
      <c r="G776" s="19"/>
      <c r="H776" s="19"/>
      <c r="I776" s="19"/>
      <c r="J776" s="19"/>
    </row>
    <row r="777" spans="1:10">
      <c r="A777" s="19"/>
      <c r="B777" s="19"/>
      <c r="C777" s="19"/>
      <c r="D777" s="19"/>
      <c r="E777" s="19"/>
      <c r="F777" s="19"/>
      <c r="G777" s="19"/>
      <c r="H777" s="19"/>
      <c r="I777" s="19"/>
      <c r="J777" s="19"/>
    </row>
    <row r="778" spans="1:10">
      <c r="A778" s="19"/>
      <c r="B778" s="19"/>
      <c r="C778" s="19"/>
      <c r="D778" s="19"/>
      <c r="E778" s="19"/>
      <c r="F778" s="19"/>
      <c r="G778" s="19"/>
      <c r="H778" s="19"/>
      <c r="I778" s="19"/>
      <c r="J778" s="19"/>
    </row>
    <row r="779" spans="1:10">
      <c r="A779" s="19"/>
      <c r="B779" s="19"/>
      <c r="C779" s="19"/>
      <c r="D779" s="19"/>
      <c r="E779" s="19"/>
      <c r="F779" s="19"/>
      <c r="G779" s="19"/>
      <c r="H779" s="19"/>
      <c r="I779" s="19"/>
      <c r="J779" s="19"/>
    </row>
    <row r="780" spans="1:10">
      <c r="A780" s="19"/>
      <c r="B780" s="19"/>
      <c r="C780" s="19"/>
      <c r="D780" s="19"/>
      <c r="E780" s="19"/>
      <c r="F780" s="19"/>
      <c r="G780" s="19"/>
      <c r="H780" s="19"/>
      <c r="I780" s="19"/>
      <c r="J780" s="19"/>
    </row>
    <row r="781" spans="1:10">
      <c r="A781" s="19"/>
      <c r="B781" s="19"/>
      <c r="C781" s="19"/>
      <c r="D781" s="19"/>
      <c r="E781" s="19"/>
      <c r="F781" s="19"/>
      <c r="G781" s="19"/>
      <c r="H781" s="19"/>
      <c r="I781" s="19"/>
      <c r="J781" s="19"/>
    </row>
    <row r="782" spans="1:10">
      <c r="A782" s="19"/>
      <c r="B782" s="19"/>
      <c r="C782" s="19"/>
      <c r="D782" s="19"/>
      <c r="E782" s="19"/>
      <c r="F782" s="19"/>
      <c r="G782" s="19"/>
      <c r="H782" s="19"/>
      <c r="I782" s="19"/>
      <c r="J782" s="19"/>
    </row>
    <row r="783" spans="1:10">
      <c r="A783" s="19"/>
      <c r="B783" s="19"/>
      <c r="C783" s="19"/>
      <c r="D783" s="19"/>
      <c r="E783" s="19"/>
      <c r="F783" s="19"/>
      <c r="G783" s="19"/>
      <c r="H783" s="19"/>
      <c r="I783" s="19"/>
      <c r="J783" s="19"/>
    </row>
    <row r="784" spans="1:10">
      <c r="A784" s="19"/>
      <c r="B784" s="19"/>
      <c r="C784" s="19"/>
      <c r="D784" s="19"/>
      <c r="E784" s="19"/>
      <c r="F784" s="19"/>
      <c r="G784" s="19"/>
      <c r="H784" s="19"/>
      <c r="I784" s="19"/>
      <c r="J784" s="19"/>
    </row>
    <row r="785" spans="1:10">
      <c r="A785" s="19"/>
      <c r="B785" s="19"/>
      <c r="C785" s="19"/>
      <c r="D785" s="19"/>
      <c r="E785" s="19"/>
      <c r="F785" s="19"/>
      <c r="G785" s="19"/>
      <c r="H785" s="19"/>
      <c r="I785" s="19"/>
      <c r="J785" s="19"/>
    </row>
    <row r="786" spans="1:10">
      <c r="A786" s="19"/>
      <c r="B786" s="19"/>
      <c r="C786" s="19"/>
      <c r="D786" s="19"/>
      <c r="E786" s="19"/>
      <c r="F786" s="19"/>
      <c r="G786" s="19"/>
      <c r="H786" s="19"/>
      <c r="I786" s="19"/>
      <c r="J786" s="19"/>
    </row>
    <row r="787" spans="1:10">
      <c r="A787" s="19"/>
      <c r="B787" s="19"/>
      <c r="C787" s="19"/>
      <c r="D787" s="19"/>
      <c r="E787" s="19"/>
      <c r="F787" s="19"/>
      <c r="G787" s="19"/>
      <c r="H787" s="19"/>
      <c r="I787" s="19"/>
      <c r="J787" s="19"/>
    </row>
    <row r="788" spans="1:10">
      <c r="A788" s="19"/>
      <c r="B788" s="19"/>
      <c r="C788" s="19"/>
      <c r="D788" s="19"/>
      <c r="E788" s="19"/>
      <c r="F788" s="19"/>
      <c r="G788" s="19"/>
      <c r="H788" s="19"/>
      <c r="I788" s="19"/>
      <c r="J788" s="19"/>
    </row>
    <row r="789" spans="1:10">
      <c r="A789" s="19"/>
      <c r="B789" s="19"/>
      <c r="C789" s="19"/>
      <c r="D789" s="19"/>
      <c r="E789" s="19"/>
      <c r="F789" s="19"/>
      <c r="G789" s="19"/>
      <c r="H789" s="19"/>
      <c r="I789" s="19"/>
      <c r="J789" s="19"/>
    </row>
    <row r="790" spans="1:10">
      <c r="A790" s="19"/>
      <c r="B790" s="19"/>
      <c r="C790" s="19"/>
      <c r="D790" s="19"/>
      <c r="E790" s="19"/>
      <c r="F790" s="19"/>
      <c r="G790" s="19"/>
      <c r="H790" s="19"/>
      <c r="I790" s="19"/>
      <c r="J790" s="19"/>
    </row>
    <row r="791" spans="1:10">
      <c r="A791" s="19"/>
      <c r="B791" s="19"/>
      <c r="C791" s="19"/>
      <c r="D791" s="19"/>
      <c r="E791" s="19"/>
      <c r="F791" s="19"/>
      <c r="G791" s="19"/>
      <c r="H791" s="19"/>
      <c r="I791" s="19"/>
      <c r="J791" s="19"/>
    </row>
    <row r="792" spans="1:10">
      <c r="A792" s="19"/>
      <c r="B792" s="19"/>
      <c r="C792" s="19"/>
      <c r="D792" s="19"/>
      <c r="E792" s="19"/>
      <c r="F792" s="19"/>
      <c r="G792" s="19"/>
      <c r="H792" s="19"/>
      <c r="I792" s="19"/>
      <c r="J792" s="19"/>
    </row>
    <row r="793" spans="1:10">
      <c r="A793" s="19"/>
      <c r="B793" s="19"/>
      <c r="C793" s="19"/>
      <c r="D793" s="19"/>
      <c r="E793" s="19"/>
      <c r="F793" s="19"/>
      <c r="G793" s="19"/>
      <c r="H793" s="19"/>
      <c r="I793" s="19"/>
      <c r="J793" s="19"/>
    </row>
    <row r="794" spans="1:10">
      <c r="A794" s="19"/>
      <c r="B794" s="19"/>
      <c r="C794" s="19"/>
      <c r="D794" s="19"/>
      <c r="E794" s="19"/>
      <c r="F794" s="19"/>
      <c r="G794" s="19"/>
      <c r="H794" s="19"/>
      <c r="I794" s="19"/>
      <c r="J794" s="19"/>
    </row>
    <row r="795" spans="1:10">
      <c r="A795" s="19"/>
      <c r="B795" s="19"/>
      <c r="C795" s="19"/>
      <c r="D795" s="19"/>
      <c r="E795" s="19"/>
      <c r="F795" s="19"/>
      <c r="G795" s="19"/>
      <c r="H795" s="19"/>
      <c r="I795" s="19"/>
      <c r="J795" s="19"/>
    </row>
    <row r="796" spans="1:10">
      <c r="A796" s="19"/>
      <c r="B796" s="19"/>
      <c r="C796" s="19"/>
      <c r="D796" s="19"/>
      <c r="E796" s="19"/>
      <c r="F796" s="19"/>
      <c r="G796" s="19"/>
      <c r="H796" s="19"/>
      <c r="I796" s="19"/>
      <c r="J796" s="19"/>
    </row>
    <row r="797" spans="1:10">
      <c r="A797" s="19"/>
      <c r="B797" s="19"/>
      <c r="C797" s="19"/>
      <c r="D797" s="19"/>
      <c r="E797" s="19"/>
      <c r="F797" s="19"/>
      <c r="G797" s="19"/>
      <c r="H797" s="19"/>
      <c r="I797" s="19"/>
      <c r="J797" s="19"/>
    </row>
    <row r="798" spans="1:10">
      <c r="A798" s="19"/>
      <c r="B798" s="19"/>
      <c r="C798" s="19"/>
      <c r="D798" s="19"/>
      <c r="E798" s="19"/>
      <c r="F798" s="19"/>
      <c r="G798" s="19"/>
      <c r="H798" s="19"/>
      <c r="I798" s="19"/>
      <c r="J798" s="19"/>
    </row>
    <row r="799" spans="1:10">
      <c r="A799" s="19"/>
      <c r="B799" s="19"/>
      <c r="C799" s="19"/>
      <c r="D799" s="19"/>
      <c r="E799" s="19"/>
      <c r="F799" s="19"/>
      <c r="G799" s="19"/>
      <c r="H799" s="19"/>
      <c r="I799" s="19"/>
      <c r="J799" s="19"/>
    </row>
    <row r="800" spans="1:10">
      <c r="A800" s="19"/>
      <c r="B800" s="19"/>
      <c r="C800" s="19"/>
      <c r="D800" s="19"/>
      <c r="E800" s="19"/>
      <c r="F800" s="19"/>
      <c r="G800" s="19"/>
      <c r="H800" s="19"/>
      <c r="I800" s="19"/>
      <c r="J800" s="19"/>
    </row>
    <row r="801" spans="1:10">
      <c r="A801" s="19"/>
      <c r="B801" s="19"/>
      <c r="C801" s="19"/>
      <c r="D801" s="19"/>
      <c r="E801" s="19"/>
      <c r="F801" s="19"/>
      <c r="G801" s="19"/>
      <c r="H801" s="19"/>
      <c r="I801" s="19"/>
      <c r="J801" s="19"/>
    </row>
    <row r="802" spans="1:10">
      <c r="A802" s="19"/>
      <c r="B802" s="19"/>
      <c r="C802" s="19"/>
      <c r="D802" s="19"/>
      <c r="E802" s="19"/>
      <c r="F802" s="19"/>
      <c r="G802" s="19"/>
      <c r="H802" s="19"/>
      <c r="I802" s="19"/>
      <c r="J802" s="19"/>
    </row>
    <row r="803" spans="1:10">
      <c r="A803" s="19"/>
      <c r="B803" s="19"/>
      <c r="C803" s="19"/>
      <c r="D803" s="19"/>
      <c r="E803" s="19"/>
      <c r="F803" s="19"/>
      <c r="G803" s="19"/>
      <c r="H803" s="19"/>
      <c r="I803" s="19"/>
      <c r="J803" s="19"/>
    </row>
    <row r="804" spans="1:10">
      <c r="A804" s="19"/>
      <c r="B804" s="19"/>
      <c r="C804" s="19"/>
      <c r="D804" s="19"/>
      <c r="E804" s="19"/>
      <c r="F804" s="19"/>
      <c r="G804" s="19"/>
      <c r="H804" s="19"/>
      <c r="I804" s="19"/>
      <c r="J804" s="19"/>
    </row>
    <row r="805" spans="1:10">
      <c r="A805" s="19"/>
      <c r="B805" s="19"/>
      <c r="C805" s="19"/>
      <c r="D805" s="19"/>
      <c r="E805" s="19"/>
      <c r="F805" s="19"/>
      <c r="G805" s="19"/>
      <c r="H805" s="19"/>
      <c r="I805" s="19"/>
      <c r="J805" s="19"/>
    </row>
    <row r="806" spans="1:10">
      <c r="A806" s="19"/>
      <c r="B806" s="19"/>
      <c r="C806" s="19"/>
      <c r="D806" s="19"/>
      <c r="E806" s="19"/>
      <c r="F806" s="19"/>
      <c r="G806" s="19"/>
      <c r="H806" s="19"/>
      <c r="I806" s="19"/>
      <c r="J806" s="19"/>
    </row>
    <row r="807" spans="1:10">
      <c r="A807" s="19"/>
      <c r="B807" s="19"/>
      <c r="C807" s="19"/>
      <c r="D807" s="19"/>
      <c r="E807" s="19"/>
      <c r="F807" s="19"/>
      <c r="G807" s="19"/>
      <c r="H807" s="19"/>
      <c r="I807" s="19"/>
      <c r="J807" s="19"/>
    </row>
    <row r="808" spans="1:10">
      <c r="A808" s="19"/>
      <c r="B808" s="19"/>
      <c r="C808" s="19"/>
      <c r="D808" s="19"/>
      <c r="E808" s="19"/>
      <c r="F808" s="19"/>
      <c r="G808" s="19"/>
      <c r="H808" s="19"/>
      <c r="I808" s="19"/>
      <c r="J808" s="19"/>
    </row>
    <row r="809" spans="1:10">
      <c r="A809" s="19"/>
      <c r="B809" s="19"/>
      <c r="C809" s="19"/>
      <c r="D809" s="19"/>
      <c r="E809" s="19"/>
      <c r="F809" s="19"/>
      <c r="G809" s="19"/>
      <c r="H809" s="19"/>
      <c r="I809" s="19"/>
      <c r="J809" s="19"/>
    </row>
    <row r="810" spans="1:10">
      <c r="A810" s="19"/>
      <c r="B810" s="19"/>
      <c r="C810" s="19"/>
      <c r="D810" s="19"/>
      <c r="E810" s="19"/>
      <c r="F810" s="19"/>
      <c r="G810" s="19"/>
      <c r="H810" s="19"/>
      <c r="I810" s="19"/>
      <c r="J810" s="19"/>
    </row>
    <row r="811" spans="1:10">
      <c r="A811" s="19"/>
      <c r="B811" s="19"/>
      <c r="C811" s="19"/>
      <c r="D811" s="19"/>
      <c r="E811" s="19"/>
      <c r="F811" s="19"/>
      <c r="G811" s="19"/>
      <c r="H811" s="19"/>
      <c r="I811" s="19"/>
      <c r="J811" s="19"/>
    </row>
    <row r="812" spans="1:10">
      <c r="A812" s="19"/>
      <c r="B812" s="19"/>
      <c r="C812" s="19"/>
      <c r="D812" s="19"/>
      <c r="E812" s="19"/>
      <c r="F812" s="19"/>
      <c r="G812" s="19"/>
      <c r="H812" s="19"/>
      <c r="I812" s="19"/>
      <c r="J812" s="19"/>
    </row>
    <row r="813" spans="1:10">
      <c r="A813" s="19"/>
      <c r="B813" s="19"/>
      <c r="C813" s="19"/>
      <c r="D813" s="19"/>
      <c r="E813" s="19"/>
      <c r="F813" s="19"/>
      <c r="G813" s="19"/>
      <c r="H813" s="19"/>
      <c r="I813" s="19"/>
      <c r="J813" s="19"/>
    </row>
    <row r="814" spans="1:10">
      <c r="A814" s="19"/>
      <c r="B814" s="19"/>
      <c r="C814" s="19"/>
      <c r="D814" s="19"/>
      <c r="E814" s="19"/>
      <c r="F814" s="19"/>
      <c r="G814" s="19"/>
      <c r="H814" s="19"/>
      <c r="I814" s="19"/>
      <c r="J814" s="19"/>
    </row>
    <row r="815" spans="1:10">
      <c r="A815" s="19"/>
      <c r="B815" s="19"/>
      <c r="C815" s="19"/>
      <c r="D815" s="19"/>
      <c r="E815" s="19"/>
      <c r="F815" s="19"/>
      <c r="G815" s="19"/>
      <c r="H815" s="19"/>
      <c r="I815" s="19"/>
      <c r="J815" s="19"/>
    </row>
    <row r="816" spans="1:10">
      <c r="A816" s="19"/>
      <c r="B816" s="19"/>
      <c r="C816" s="19"/>
      <c r="D816" s="19"/>
      <c r="E816" s="19"/>
      <c r="F816" s="19"/>
      <c r="G816" s="19"/>
      <c r="H816" s="19"/>
      <c r="I816" s="19"/>
      <c r="J816" s="19"/>
    </row>
    <row r="817" spans="1:10">
      <c r="A817" s="19"/>
      <c r="B817" s="19"/>
      <c r="C817" s="19"/>
      <c r="D817" s="19"/>
      <c r="E817" s="19"/>
      <c r="F817" s="19"/>
      <c r="G817" s="19"/>
      <c r="H817" s="19"/>
      <c r="I817" s="19"/>
      <c r="J817" s="19"/>
    </row>
    <row r="818" spans="1:10">
      <c r="A818" s="19"/>
      <c r="B818" s="19"/>
      <c r="C818" s="19"/>
      <c r="D818" s="19"/>
      <c r="E818" s="19"/>
      <c r="F818" s="19"/>
      <c r="G818" s="19"/>
      <c r="H818" s="19"/>
      <c r="I818" s="19"/>
      <c r="J818" s="19"/>
    </row>
    <row r="819" spans="1:10">
      <c r="A819" s="19"/>
      <c r="B819" s="19"/>
      <c r="C819" s="19"/>
      <c r="D819" s="19"/>
      <c r="E819" s="19"/>
      <c r="F819" s="19"/>
      <c r="G819" s="19"/>
      <c r="H819" s="19"/>
      <c r="I819" s="19"/>
      <c r="J819" s="19"/>
    </row>
    <row r="820" spans="1:10">
      <c r="A820" s="19"/>
      <c r="B820" s="19"/>
      <c r="C820" s="19"/>
      <c r="D820" s="19"/>
      <c r="E820" s="19"/>
      <c r="F820" s="19"/>
      <c r="G820" s="19"/>
      <c r="H820" s="19"/>
      <c r="I820" s="19"/>
      <c r="J820" s="19"/>
    </row>
    <row r="821" spans="1:10">
      <c r="A821" s="19"/>
      <c r="B821" s="19"/>
      <c r="C821" s="19"/>
      <c r="D821" s="19"/>
      <c r="E821" s="19"/>
      <c r="F821" s="19"/>
      <c r="G821" s="19"/>
      <c r="H821" s="19"/>
      <c r="I821" s="19"/>
      <c r="J821" s="19"/>
    </row>
    <row r="822" spans="1:10">
      <c r="A822" s="19"/>
      <c r="B822" s="19"/>
      <c r="C822" s="19"/>
      <c r="D822" s="19"/>
      <c r="E822" s="19"/>
      <c r="F822" s="19"/>
      <c r="G822" s="19"/>
      <c r="H822" s="19"/>
      <c r="I822" s="19"/>
      <c r="J822" s="19"/>
    </row>
    <row r="823" spans="1:10">
      <c r="A823" s="19"/>
      <c r="B823" s="19"/>
      <c r="C823" s="19"/>
      <c r="D823" s="19"/>
      <c r="E823" s="19"/>
      <c r="F823" s="19"/>
      <c r="G823" s="19"/>
      <c r="H823" s="19"/>
      <c r="I823" s="19"/>
      <c r="J823" s="19"/>
    </row>
    <row r="824" spans="1:10">
      <c r="A824" s="19"/>
      <c r="B824" s="19"/>
      <c r="C824" s="19"/>
      <c r="D824" s="19"/>
      <c r="E824" s="19"/>
      <c r="F824" s="19"/>
      <c r="G824" s="19"/>
      <c r="H824" s="19"/>
      <c r="I824" s="19"/>
      <c r="J824" s="19"/>
    </row>
    <row r="825" spans="1:10">
      <c r="A825" s="19"/>
      <c r="B825" s="19"/>
      <c r="C825" s="19"/>
      <c r="D825" s="19"/>
      <c r="E825" s="19"/>
      <c r="F825" s="19"/>
      <c r="G825" s="19"/>
      <c r="H825" s="19"/>
      <c r="I825" s="19"/>
      <c r="J825" s="19"/>
    </row>
    <row r="826" spans="1:10">
      <c r="A826" s="19"/>
      <c r="B826" s="19"/>
      <c r="C826" s="19"/>
      <c r="D826" s="19"/>
      <c r="E826" s="19"/>
      <c r="F826" s="19"/>
      <c r="G826" s="19"/>
      <c r="H826" s="19"/>
      <c r="I826" s="19"/>
      <c r="J826" s="19"/>
    </row>
    <row r="827" spans="1:10">
      <c r="A827" s="19"/>
      <c r="B827" s="19"/>
      <c r="C827" s="19"/>
      <c r="D827" s="19"/>
      <c r="E827" s="19"/>
      <c r="F827" s="19"/>
      <c r="G827" s="19"/>
      <c r="H827" s="19"/>
      <c r="I827" s="19"/>
      <c r="J827" s="19"/>
    </row>
    <row r="828" spans="1:10">
      <c r="A828" s="19"/>
      <c r="B828" s="19"/>
      <c r="C828" s="19"/>
      <c r="D828" s="19"/>
      <c r="E828" s="19"/>
      <c r="F828" s="19"/>
      <c r="G828" s="19"/>
      <c r="H828" s="19"/>
      <c r="I828" s="19"/>
      <c r="J828" s="19"/>
    </row>
    <row r="829" spans="1:10">
      <c r="A829" s="19"/>
      <c r="B829" s="19"/>
      <c r="C829" s="19"/>
      <c r="D829" s="19"/>
      <c r="E829" s="19"/>
      <c r="F829" s="19"/>
      <c r="G829" s="19"/>
      <c r="H829" s="19"/>
      <c r="I829" s="19"/>
      <c r="J829" s="19"/>
    </row>
    <row r="830" spans="1:10">
      <c r="A830" s="19"/>
      <c r="B830" s="19"/>
      <c r="C830" s="19"/>
      <c r="D830" s="19"/>
      <c r="E830" s="19"/>
      <c r="F830" s="19"/>
      <c r="G830" s="19"/>
      <c r="H830" s="19"/>
      <c r="I830" s="19"/>
      <c r="J830" s="19"/>
    </row>
    <row r="831" spans="1:10">
      <c r="A831" s="19"/>
      <c r="B831" s="19"/>
      <c r="C831" s="19"/>
      <c r="D831" s="19"/>
      <c r="E831" s="19"/>
      <c r="F831" s="19"/>
      <c r="G831" s="19"/>
      <c r="H831" s="19"/>
      <c r="I831" s="19"/>
      <c r="J831" s="19"/>
    </row>
    <row r="832" spans="1:10">
      <c r="A832" s="19"/>
      <c r="B832" s="19"/>
      <c r="C832" s="19"/>
      <c r="D832" s="19"/>
      <c r="E832" s="19"/>
      <c r="F832" s="19"/>
      <c r="G832" s="19"/>
      <c r="H832" s="19"/>
      <c r="I832" s="19"/>
      <c r="J832" s="19"/>
    </row>
    <row r="833" spans="1:10">
      <c r="A833" s="19"/>
      <c r="B833" s="19"/>
      <c r="C833" s="19"/>
      <c r="D833" s="19"/>
      <c r="E833" s="19"/>
      <c r="F833" s="19"/>
      <c r="G833" s="19"/>
      <c r="H833" s="19"/>
      <c r="I833" s="19"/>
      <c r="J833" s="19"/>
    </row>
    <row r="834" spans="1:10">
      <c r="A834" s="19"/>
      <c r="B834" s="19"/>
      <c r="C834" s="19"/>
      <c r="D834" s="19"/>
      <c r="E834" s="19"/>
      <c r="F834" s="19"/>
      <c r="G834" s="19"/>
      <c r="H834" s="19"/>
      <c r="I834" s="19"/>
      <c r="J834" s="19"/>
    </row>
    <row r="835" spans="1:10">
      <c r="A835" s="19"/>
      <c r="B835" s="19"/>
      <c r="C835" s="19"/>
      <c r="D835" s="19"/>
      <c r="E835" s="19"/>
      <c r="F835" s="19"/>
      <c r="G835" s="19"/>
      <c r="H835" s="19"/>
      <c r="I835" s="19"/>
      <c r="J835" s="19"/>
    </row>
    <row r="836" spans="1:10">
      <c r="A836" s="19"/>
      <c r="B836" s="19"/>
      <c r="C836" s="19"/>
      <c r="D836" s="19"/>
      <c r="E836" s="19"/>
      <c r="F836" s="19"/>
      <c r="G836" s="19"/>
      <c r="H836" s="19"/>
      <c r="I836" s="19"/>
      <c r="J836" s="19"/>
    </row>
    <row r="837" spans="1:10">
      <c r="A837" s="19"/>
      <c r="B837" s="19"/>
      <c r="C837" s="19"/>
      <c r="D837" s="19"/>
      <c r="E837" s="19"/>
      <c r="F837" s="19"/>
      <c r="G837" s="19"/>
      <c r="H837" s="19"/>
      <c r="I837" s="19"/>
      <c r="J837" s="19"/>
    </row>
    <row r="838" spans="1:10">
      <c r="A838" s="19"/>
      <c r="B838" s="19"/>
      <c r="C838" s="19"/>
      <c r="D838" s="19"/>
      <c r="E838" s="19"/>
      <c r="F838" s="19"/>
      <c r="G838" s="19"/>
      <c r="H838" s="19"/>
      <c r="I838" s="19"/>
      <c r="J838" s="19"/>
    </row>
    <row r="839" spans="1:10">
      <c r="A839" s="19"/>
      <c r="B839" s="19"/>
      <c r="C839" s="19"/>
      <c r="D839" s="19"/>
      <c r="E839" s="19"/>
      <c r="F839" s="19"/>
      <c r="G839" s="19"/>
      <c r="H839" s="19"/>
      <c r="I839" s="19"/>
      <c r="J839" s="19"/>
    </row>
    <row r="840" spans="1:10">
      <c r="A840" s="19"/>
      <c r="B840" s="19"/>
      <c r="C840" s="19"/>
      <c r="D840" s="19"/>
      <c r="E840" s="19"/>
      <c r="F840" s="19"/>
      <c r="G840" s="19"/>
      <c r="H840" s="19"/>
      <c r="I840" s="19"/>
      <c r="J840" s="19"/>
    </row>
    <row r="841" spans="1:10">
      <c r="A841" s="19"/>
      <c r="B841" s="19"/>
      <c r="C841" s="19"/>
      <c r="D841" s="19"/>
      <c r="E841" s="19"/>
      <c r="F841" s="19"/>
      <c r="G841" s="19"/>
      <c r="H841" s="19"/>
      <c r="I841" s="19"/>
      <c r="J841" s="19"/>
    </row>
    <row r="842" spans="1:10">
      <c r="A842" s="19"/>
      <c r="B842" s="19"/>
      <c r="C842" s="19"/>
      <c r="D842" s="19"/>
      <c r="E842" s="19"/>
      <c r="F842" s="19"/>
      <c r="G842" s="19"/>
      <c r="H842" s="19"/>
      <c r="I842" s="19"/>
      <c r="J842" s="19"/>
    </row>
    <row r="843" spans="1:10">
      <c r="A843" s="19"/>
      <c r="B843" s="19"/>
      <c r="C843" s="19"/>
      <c r="D843" s="19"/>
      <c r="E843" s="19"/>
      <c r="F843" s="19"/>
      <c r="G843" s="19"/>
      <c r="H843" s="19"/>
      <c r="I843" s="19"/>
      <c r="J843" s="19"/>
    </row>
    <row r="844" spans="1:10">
      <c r="A844" s="19"/>
      <c r="B844" s="19"/>
      <c r="C844" s="19"/>
      <c r="D844" s="19"/>
      <c r="E844" s="19"/>
      <c r="F844" s="19"/>
      <c r="G844" s="19"/>
      <c r="H844" s="19"/>
      <c r="I844" s="19"/>
      <c r="J844" s="19"/>
    </row>
    <row r="845" spans="1:10">
      <c r="A845" s="19"/>
      <c r="B845" s="19"/>
      <c r="C845" s="19"/>
      <c r="D845" s="19"/>
      <c r="E845" s="19"/>
      <c r="F845" s="19"/>
      <c r="G845" s="19"/>
      <c r="H845" s="19"/>
      <c r="I845" s="19"/>
      <c r="J845" s="19"/>
    </row>
    <row r="846" spans="1:10">
      <c r="A846" s="19"/>
      <c r="B846" s="19"/>
      <c r="C846" s="19"/>
      <c r="D846" s="19"/>
      <c r="E846" s="19"/>
      <c r="F846" s="19"/>
      <c r="G846" s="19"/>
      <c r="H846" s="19"/>
      <c r="I846" s="19"/>
      <c r="J846" s="19"/>
    </row>
    <row r="847" spans="1:10">
      <c r="A847" s="19"/>
      <c r="B847" s="19"/>
      <c r="C847" s="19"/>
      <c r="D847" s="19"/>
      <c r="E847" s="19"/>
      <c r="F847" s="19"/>
      <c r="G847" s="19"/>
      <c r="H847" s="19"/>
      <c r="I847" s="19"/>
      <c r="J847" s="19"/>
    </row>
    <row r="848" spans="1:10">
      <c r="A848" s="19"/>
      <c r="B848" s="19"/>
      <c r="C848" s="19"/>
      <c r="D848" s="19"/>
      <c r="E848" s="19"/>
      <c r="F848" s="19"/>
      <c r="G848" s="19"/>
      <c r="H848" s="19"/>
      <c r="I848" s="19"/>
      <c r="J848" s="19"/>
    </row>
    <row r="849" spans="1:10">
      <c r="A849" s="19"/>
      <c r="B849" s="19"/>
      <c r="C849" s="19"/>
      <c r="D849" s="19"/>
      <c r="E849" s="19"/>
      <c r="F849" s="19"/>
      <c r="G849" s="19"/>
      <c r="H849" s="19"/>
      <c r="I849" s="19"/>
      <c r="J849" s="19"/>
    </row>
    <row r="850" spans="1:10">
      <c r="A850" s="19"/>
      <c r="B850" s="19"/>
      <c r="C850" s="19"/>
      <c r="D850" s="19"/>
      <c r="E850" s="19"/>
      <c r="F850" s="19"/>
      <c r="G850" s="19"/>
      <c r="H850" s="19"/>
      <c r="I850" s="19"/>
      <c r="J850" s="19"/>
    </row>
    <row r="851" spans="1:10">
      <c r="A851" s="19"/>
      <c r="B851" s="19"/>
      <c r="C851" s="19"/>
      <c r="D851" s="19"/>
      <c r="E851" s="19"/>
      <c r="F851" s="19"/>
      <c r="G851" s="19"/>
      <c r="H851" s="19"/>
      <c r="I851" s="19"/>
      <c r="J851" s="19"/>
    </row>
    <row r="852" spans="1:10">
      <c r="A852" s="19"/>
      <c r="B852" s="19"/>
      <c r="C852" s="19"/>
      <c r="D852" s="19"/>
      <c r="E852" s="19"/>
      <c r="F852" s="19"/>
      <c r="G852" s="19"/>
      <c r="H852" s="19"/>
      <c r="I852" s="19"/>
      <c r="J852" s="19"/>
    </row>
    <row r="853" spans="1:10">
      <c r="A853" s="19"/>
      <c r="B853" s="19"/>
      <c r="C853" s="19"/>
      <c r="D853" s="19"/>
      <c r="E853" s="19"/>
      <c r="F853" s="19"/>
      <c r="G853" s="19"/>
      <c r="H853" s="19"/>
      <c r="I853" s="19"/>
      <c r="J853" s="19"/>
    </row>
    <row r="854" spans="1:10">
      <c r="A854" s="19"/>
      <c r="B854" s="19"/>
      <c r="C854" s="19"/>
      <c r="D854" s="19"/>
      <c r="E854" s="19"/>
      <c r="F854" s="19"/>
      <c r="G854" s="19"/>
      <c r="H854" s="19"/>
      <c r="I854" s="19"/>
      <c r="J854" s="19"/>
    </row>
    <row r="855" spans="1:10">
      <c r="A855" s="19"/>
      <c r="B855" s="19"/>
      <c r="C855" s="19"/>
      <c r="D855" s="19"/>
      <c r="E855" s="19"/>
      <c r="F855" s="19"/>
      <c r="G855" s="19"/>
      <c r="H855" s="19"/>
      <c r="I855" s="19"/>
      <c r="J855" s="19"/>
    </row>
    <row r="856" spans="1:10">
      <c r="A856" s="19"/>
      <c r="B856" s="19"/>
      <c r="C856" s="19"/>
      <c r="D856" s="19"/>
      <c r="E856" s="19"/>
      <c r="F856" s="19"/>
      <c r="G856" s="19"/>
      <c r="H856" s="19"/>
      <c r="I856" s="19"/>
      <c r="J856" s="19"/>
    </row>
    <row r="857" spans="1:10">
      <c r="A857" s="19"/>
      <c r="B857" s="19"/>
      <c r="C857" s="19"/>
      <c r="D857" s="19"/>
      <c r="E857" s="19"/>
      <c r="F857" s="19"/>
      <c r="G857" s="19"/>
      <c r="H857" s="19"/>
      <c r="I857" s="19"/>
      <c r="J857" s="19"/>
    </row>
    <row r="858" spans="1:10">
      <c r="A858" s="19"/>
      <c r="B858" s="19"/>
      <c r="C858" s="19"/>
      <c r="D858" s="19"/>
      <c r="E858" s="19"/>
      <c r="F858" s="19"/>
      <c r="G858" s="19"/>
      <c r="H858" s="19"/>
      <c r="I858" s="19"/>
      <c r="J858" s="19"/>
    </row>
    <row r="859" spans="1:10">
      <c r="A859" s="19"/>
      <c r="B859" s="19"/>
      <c r="C859" s="19"/>
      <c r="D859" s="19"/>
      <c r="E859" s="19"/>
      <c r="F859" s="19"/>
      <c r="G859" s="19"/>
      <c r="H859" s="19"/>
      <c r="I859" s="19"/>
      <c r="J859" s="19"/>
    </row>
    <row r="860" spans="1:10">
      <c r="A860" s="19"/>
      <c r="B860" s="19"/>
      <c r="C860" s="19"/>
      <c r="D860" s="19"/>
      <c r="E860" s="19"/>
      <c r="F860" s="19"/>
      <c r="G860" s="19"/>
      <c r="H860" s="19"/>
      <c r="I860" s="19"/>
      <c r="J860" s="19"/>
    </row>
    <row r="861" spans="1:10">
      <c r="A861" s="19"/>
      <c r="B861" s="19"/>
      <c r="C861" s="19"/>
      <c r="D861" s="19"/>
      <c r="E861" s="19"/>
      <c r="F861" s="19"/>
      <c r="G861" s="19"/>
      <c r="H861" s="19"/>
      <c r="I861" s="19"/>
      <c r="J861" s="19"/>
    </row>
    <row r="862" spans="1:10">
      <c r="A862" s="19"/>
      <c r="B862" s="19"/>
      <c r="C862" s="19"/>
      <c r="D862" s="19"/>
      <c r="E862" s="19"/>
      <c r="F862" s="19"/>
      <c r="G862" s="19"/>
      <c r="H862" s="19"/>
      <c r="I862" s="19"/>
      <c r="J862" s="19"/>
    </row>
    <row r="863" spans="1:10">
      <c r="A863" s="19"/>
      <c r="B863" s="19"/>
      <c r="C863" s="19"/>
      <c r="D863" s="19"/>
      <c r="E863" s="19"/>
      <c r="F863" s="19"/>
      <c r="G863" s="19"/>
      <c r="H863" s="19"/>
      <c r="I863" s="19"/>
      <c r="J863" s="19"/>
    </row>
    <row r="864" spans="1:10">
      <c r="A864" s="19"/>
      <c r="B864" s="19"/>
      <c r="C864" s="19"/>
      <c r="D864" s="19"/>
      <c r="E864" s="19"/>
      <c r="F864" s="19"/>
      <c r="G864" s="19"/>
      <c r="H864" s="19"/>
      <c r="I864" s="19"/>
      <c r="J864" s="19"/>
    </row>
    <row r="865" spans="1:10">
      <c r="A865" s="19"/>
      <c r="B865" s="19"/>
      <c r="C865" s="19"/>
      <c r="D865" s="19"/>
      <c r="E865" s="19"/>
      <c r="F865" s="19"/>
      <c r="G865" s="19"/>
      <c r="H865" s="19"/>
      <c r="I865" s="19"/>
      <c r="J865" s="19"/>
    </row>
    <row r="866" spans="1:10">
      <c r="A866" s="19"/>
      <c r="B866" s="19"/>
      <c r="C866" s="19"/>
      <c r="D866" s="19"/>
      <c r="E866" s="19"/>
      <c r="F866" s="19"/>
      <c r="G866" s="19"/>
      <c r="H866" s="19"/>
      <c r="I866" s="19"/>
      <c r="J866" s="19"/>
    </row>
    <row r="867" spans="1:10">
      <c r="A867" s="19"/>
      <c r="B867" s="19"/>
      <c r="C867" s="19"/>
      <c r="D867" s="19"/>
      <c r="E867" s="19"/>
      <c r="F867" s="19"/>
      <c r="G867" s="19"/>
      <c r="H867" s="19"/>
      <c r="I867" s="19"/>
      <c r="J867" s="19"/>
    </row>
    <row r="868" spans="1:10">
      <c r="A868" s="19"/>
      <c r="B868" s="19"/>
      <c r="C868" s="19"/>
      <c r="D868" s="19"/>
      <c r="E868" s="19"/>
      <c r="F868" s="19"/>
      <c r="G868" s="19"/>
      <c r="H868" s="19"/>
      <c r="I868" s="19"/>
      <c r="J868" s="19"/>
    </row>
    <row r="869" spans="1:10">
      <c r="A869" s="19"/>
      <c r="B869" s="19"/>
      <c r="C869" s="19"/>
      <c r="D869" s="19"/>
      <c r="E869" s="19"/>
      <c r="F869" s="19"/>
      <c r="G869" s="19"/>
      <c r="H869" s="19"/>
      <c r="I869" s="19"/>
      <c r="J869" s="19"/>
    </row>
    <row r="870" spans="1:10">
      <c r="A870" s="19"/>
      <c r="B870" s="19"/>
      <c r="C870" s="19"/>
      <c r="D870" s="19"/>
      <c r="E870" s="19"/>
      <c r="F870" s="19"/>
      <c r="G870" s="19"/>
      <c r="H870" s="19"/>
      <c r="I870" s="19"/>
      <c r="J870" s="19"/>
    </row>
    <row r="871" spans="1:10">
      <c r="A871" s="19"/>
      <c r="B871" s="19"/>
      <c r="C871" s="19"/>
      <c r="D871" s="19"/>
      <c r="E871" s="19"/>
      <c r="F871" s="19"/>
      <c r="G871" s="19"/>
      <c r="H871" s="19"/>
      <c r="I871" s="19"/>
      <c r="J871" s="19"/>
    </row>
    <row r="872" spans="1:10">
      <c r="A872" s="19"/>
      <c r="B872" s="19"/>
      <c r="C872" s="19"/>
      <c r="D872" s="19"/>
      <c r="E872" s="19"/>
      <c r="F872" s="19"/>
      <c r="G872" s="19"/>
      <c r="H872" s="19"/>
      <c r="I872" s="19"/>
      <c r="J872" s="19"/>
    </row>
    <row r="873" spans="1:10">
      <c r="A873" s="19"/>
      <c r="B873" s="19"/>
      <c r="C873" s="19"/>
      <c r="D873" s="19"/>
      <c r="E873" s="19"/>
      <c r="F873" s="19"/>
      <c r="G873" s="19"/>
      <c r="H873" s="19"/>
      <c r="I873" s="19"/>
      <c r="J873" s="19"/>
    </row>
    <row r="874" spans="1:10">
      <c r="A874" s="19"/>
      <c r="B874" s="19"/>
      <c r="C874" s="19"/>
      <c r="D874" s="19"/>
      <c r="E874" s="19"/>
      <c r="F874" s="19"/>
      <c r="G874" s="19"/>
      <c r="H874" s="19"/>
      <c r="I874" s="19"/>
      <c r="J874" s="19"/>
    </row>
    <row r="875" spans="1:10">
      <c r="A875" s="19"/>
      <c r="B875" s="19"/>
      <c r="C875" s="19"/>
      <c r="D875" s="19"/>
      <c r="E875" s="19"/>
      <c r="F875" s="19"/>
      <c r="G875" s="19"/>
      <c r="H875" s="19"/>
      <c r="I875" s="19"/>
      <c r="J875" s="19"/>
    </row>
    <row r="876" spans="1:10">
      <c r="A876" s="19"/>
      <c r="B876" s="19"/>
      <c r="C876" s="19"/>
      <c r="D876" s="19"/>
      <c r="E876" s="19"/>
      <c r="F876" s="19"/>
      <c r="G876" s="19"/>
      <c r="H876" s="19"/>
      <c r="I876" s="19"/>
      <c r="J876" s="19"/>
    </row>
    <row r="877" spans="1:10">
      <c r="A877" s="19"/>
      <c r="B877" s="19"/>
      <c r="C877" s="19"/>
      <c r="D877" s="19"/>
      <c r="E877" s="19"/>
      <c r="F877" s="19"/>
      <c r="G877" s="19"/>
      <c r="H877" s="19"/>
      <c r="I877" s="19"/>
      <c r="J877" s="19"/>
    </row>
    <row r="878" spans="1:10">
      <c r="A878" s="19"/>
      <c r="B878" s="19"/>
      <c r="C878" s="19"/>
      <c r="D878" s="19"/>
      <c r="E878" s="19"/>
      <c r="F878" s="19"/>
      <c r="G878" s="19"/>
      <c r="H878" s="19"/>
      <c r="I878" s="19"/>
      <c r="J878" s="19"/>
    </row>
    <row r="879" spans="1:10">
      <c r="A879" s="19"/>
      <c r="B879" s="19"/>
      <c r="C879" s="19"/>
      <c r="D879" s="19"/>
      <c r="E879" s="19"/>
      <c r="F879" s="19"/>
      <c r="G879" s="19"/>
      <c r="H879" s="19"/>
      <c r="I879" s="19"/>
      <c r="J879" s="19"/>
    </row>
    <row r="880" spans="1:10">
      <c r="A880" s="19"/>
      <c r="B880" s="19"/>
      <c r="C880" s="19"/>
      <c r="D880" s="19"/>
      <c r="E880" s="19"/>
      <c r="F880" s="19"/>
      <c r="G880" s="19"/>
      <c r="H880" s="19"/>
      <c r="I880" s="19"/>
      <c r="J880" s="19"/>
    </row>
    <row r="881" spans="1:10">
      <c r="A881" s="19"/>
      <c r="B881" s="19"/>
      <c r="C881" s="19"/>
      <c r="D881" s="19"/>
      <c r="E881" s="19"/>
      <c r="F881" s="19"/>
      <c r="G881" s="19"/>
      <c r="H881" s="19"/>
      <c r="I881" s="19"/>
      <c r="J881" s="19"/>
    </row>
    <row r="882" spans="1:10">
      <c r="A882" s="19"/>
      <c r="B882" s="19"/>
      <c r="C882" s="19"/>
      <c r="D882" s="19"/>
      <c r="E882" s="19"/>
      <c r="F882" s="19"/>
      <c r="G882" s="19"/>
      <c r="H882" s="19"/>
      <c r="I882" s="19"/>
      <c r="J882" s="19"/>
    </row>
    <row r="883" spans="1:10">
      <c r="A883" s="19"/>
      <c r="B883" s="19"/>
      <c r="C883" s="19"/>
      <c r="D883" s="19"/>
      <c r="E883" s="19"/>
      <c r="F883" s="19"/>
      <c r="G883" s="19"/>
      <c r="H883" s="19"/>
      <c r="I883" s="19"/>
      <c r="J883" s="19"/>
    </row>
    <row r="884" spans="1:10">
      <c r="A884" s="19"/>
      <c r="B884" s="19"/>
      <c r="C884" s="19"/>
      <c r="D884" s="19"/>
      <c r="E884" s="19"/>
      <c r="F884" s="19"/>
      <c r="G884" s="19"/>
      <c r="H884" s="19"/>
      <c r="I884" s="19"/>
      <c r="J884" s="19"/>
    </row>
    <row r="885" spans="1:10">
      <c r="A885" s="19"/>
      <c r="B885" s="19"/>
      <c r="C885" s="19"/>
      <c r="D885" s="19"/>
      <c r="E885" s="19"/>
      <c r="F885" s="19"/>
      <c r="G885" s="19"/>
      <c r="H885" s="19"/>
      <c r="I885" s="19"/>
      <c r="J885" s="19"/>
    </row>
    <row r="886" spans="1:10">
      <c r="A886" s="19"/>
      <c r="B886" s="19"/>
      <c r="C886" s="19"/>
      <c r="D886" s="19"/>
      <c r="E886" s="19"/>
      <c r="F886" s="19"/>
      <c r="G886" s="19"/>
      <c r="H886" s="19"/>
      <c r="I886" s="19"/>
      <c r="J886" s="19"/>
    </row>
    <row r="887" spans="1:10">
      <c r="A887" s="19"/>
      <c r="B887" s="19"/>
      <c r="C887" s="19"/>
      <c r="D887" s="19"/>
      <c r="E887" s="19"/>
      <c r="F887" s="19"/>
      <c r="G887" s="19"/>
      <c r="H887" s="19"/>
      <c r="I887" s="19"/>
      <c r="J887" s="19"/>
    </row>
    <row r="888" spans="1:10">
      <c r="A888" s="19"/>
      <c r="B888" s="19"/>
      <c r="C888" s="19"/>
      <c r="D888" s="19"/>
      <c r="E888" s="19"/>
      <c r="F888" s="19"/>
      <c r="G888" s="19"/>
      <c r="H888" s="19"/>
      <c r="I888" s="19"/>
      <c r="J888" s="19"/>
    </row>
    <row r="889" spans="1:10">
      <c r="A889" s="19"/>
      <c r="B889" s="19"/>
      <c r="C889" s="19"/>
      <c r="D889" s="19"/>
      <c r="E889" s="19"/>
      <c r="F889" s="19"/>
      <c r="G889" s="19"/>
      <c r="H889" s="19"/>
      <c r="I889" s="19"/>
      <c r="J889" s="19"/>
    </row>
    <row r="890" spans="1:10">
      <c r="A890" s="19"/>
      <c r="B890" s="19"/>
      <c r="C890" s="19"/>
      <c r="D890" s="19"/>
      <c r="E890" s="19"/>
      <c r="F890" s="19"/>
      <c r="G890" s="19"/>
      <c r="H890" s="19"/>
      <c r="I890" s="19"/>
      <c r="J890" s="19"/>
    </row>
    <row r="891" spans="1:10">
      <c r="A891" s="19"/>
      <c r="B891" s="19"/>
      <c r="C891" s="19"/>
      <c r="D891" s="19"/>
      <c r="E891" s="19"/>
      <c r="F891" s="19"/>
      <c r="G891" s="19"/>
      <c r="H891" s="19"/>
      <c r="I891" s="19"/>
      <c r="J891" s="19"/>
    </row>
    <row r="892" spans="1:10">
      <c r="A892" s="19"/>
      <c r="B892" s="19"/>
      <c r="C892" s="19"/>
      <c r="D892" s="19"/>
      <c r="E892" s="19"/>
      <c r="F892" s="19"/>
      <c r="G892" s="19"/>
      <c r="H892" s="19"/>
      <c r="I892" s="19"/>
      <c r="J892" s="19"/>
    </row>
    <row r="893" spans="1:10">
      <c r="A893" s="19"/>
      <c r="B893" s="19"/>
      <c r="C893" s="19"/>
      <c r="D893" s="19"/>
      <c r="E893" s="19"/>
      <c r="F893" s="19"/>
      <c r="G893" s="19"/>
      <c r="H893" s="19"/>
      <c r="I893" s="19"/>
      <c r="J893" s="19"/>
    </row>
    <row r="894" spans="1:10">
      <c r="A894" s="19"/>
      <c r="B894" s="19"/>
      <c r="C894" s="19"/>
      <c r="D894" s="19"/>
      <c r="E894" s="19"/>
      <c r="F894" s="19"/>
      <c r="G894" s="19"/>
      <c r="H894" s="19"/>
      <c r="I894" s="19"/>
      <c r="J894" s="19"/>
    </row>
    <row r="895" spans="1:10">
      <c r="A895" s="19"/>
      <c r="B895" s="19"/>
      <c r="C895" s="19"/>
      <c r="D895" s="19"/>
      <c r="E895" s="19"/>
      <c r="F895" s="19"/>
      <c r="G895" s="19"/>
      <c r="H895" s="19"/>
      <c r="I895" s="19"/>
      <c r="J895" s="19"/>
    </row>
    <row r="896" spans="1:10">
      <c r="A896" s="19"/>
      <c r="B896" s="19"/>
      <c r="C896" s="19"/>
      <c r="D896" s="19"/>
      <c r="E896" s="19"/>
      <c r="F896" s="19"/>
      <c r="G896" s="19"/>
      <c r="H896" s="19"/>
      <c r="I896" s="19"/>
      <c r="J896" s="19"/>
    </row>
    <row r="897" spans="1:10">
      <c r="A897" s="19"/>
      <c r="B897" s="19"/>
      <c r="C897" s="19"/>
      <c r="D897" s="19"/>
      <c r="E897" s="19"/>
      <c r="F897" s="19"/>
      <c r="G897" s="19"/>
      <c r="H897" s="19"/>
      <c r="I897" s="19"/>
      <c r="J897" s="19"/>
    </row>
    <row r="898" spans="1:10">
      <c r="A898" s="19"/>
      <c r="B898" s="19"/>
      <c r="C898" s="19"/>
      <c r="D898" s="19"/>
      <c r="E898" s="19"/>
      <c r="F898" s="19"/>
      <c r="G898" s="19"/>
      <c r="H898" s="19"/>
      <c r="I898" s="19"/>
      <c r="J898" s="19"/>
    </row>
    <row r="899" spans="1:10">
      <c r="A899" s="19"/>
      <c r="B899" s="19"/>
      <c r="C899" s="19"/>
      <c r="D899" s="19"/>
      <c r="E899" s="19"/>
      <c r="F899" s="19"/>
      <c r="G899" s="19"/>
      <c r="H899" s="19"/>
      <c r="I899" s="19"/>
      <c r="J899" s="19"/>
    </row>
    <row r="900" spans="1:10">
      <c r="A900" s="19"/>
      <c r="B900" s="19"/>
      <c r="C900" s="19"/>
      <c r="D900" s="19"/>
      <c r="E900" s="19"/>
      <c r="F900" s="19"/>
      <c r="G900" s="19"/>
      <c r="H900" s="19"/>
      <c r="I900" s="19"/>
      <c r="J900" s="19"/>
    </row>
    <row r="901" spans="1:10">
      <c r="A901" s="19"/>
      <c r="B901" s="19"/>
      <c r="C901" s="19"/>
      <c r="D901" s="19"/>
      <c r="E901" s="19"/>
      <c r="F901" s="19"/>
      <c r="G901" s="19"/>
      <c r="H901" s="19"/>
      <c r="I901" s="19"/>
      <c r="J901" s="19"/>
    </row>
    <row r="902" spans="1:10">
      <c r="A902" s="19"/>
      <c r="B902" s="19"/>
      <c r="C902" s="19"/>
      <c r="D902" s="19"/>
      <c r="E902" s="19"/>
      <c r="F902" s="19"/>
      <c r="G902" s="19"/>
      <c r="H902" s="19"/>
      <c r="I902" s="19"/>
      <c r="J902" s="19"/>
    </row>
    <row r="903" spans="1:10">
      <c r="A903" s="19"/>
      <c r="B903" s="19"/>
      <c r="C903" s="19"/>
      <c r="D903" s="19"/>
      <c r="E903" s="19"/>
      <c r="F903" s="19"/>
      <c r="G903" s="19"/>
      <c r="H903" s="19"/>
      <c r="I903" s="19"/>
      <c r="J903" s="19"/>
    </row>
    <row r="904" spans="1:10">
      <c r="A904" s="19"/>
      <c r="B904" s="19"/>
      <c r="C904" s="19"/>
      <c r="D904" s="19"/>
      <c r="E904" s="19"/>
      <c r="F904" s="19"/>
      <c r="G904" s="19"/>
      <c r="H904" s="19"/>
      <c r="I904" s="19"/>
      <c r="J904" s="19"/>
    </row>
    <row r="905" spans="1:10">
      <c r="A905" s="19"/>
      <c r="B905" s="19"/>
      <c r="C905" s="19"/>
      <c r="D905" s="19"/>
      <c r="E905" s="19"/>
      <c r="F905" s="19"/>
      <c r="G905" s="19"/>
      <c r="H905" s="19"/>
      <c r="I905" s="19"/>
      <c r="J905" s="19"/>
    </row>
    <row r="906" spans="1:10">
      <c r="A906" s="19"/>
      <c r="B906" s="19"/>
      <c r="C906" s="19"/>
      <c r="D906" s="19"/>
      <c r="E906" s="19"/>
      <c r="F906" s="19"/>
      <c r="G906" s="19"/>
      <c r="H906" s="19"/>
      <c r="I906" s="19"/>
      <c r="J906" s="19"/>
    </row>
    <row r="907" spans="1:10">
      <c r="A907" s="19"/>
      <c r="B907" s="19"/>
      <c r="C907" s="19"/>
      <c r="D907" s="19"/>
      <c r="E907" s="19"/>
      <c r="F907" s="19"/>
      <c r="G907" s="19"/>
      <c r="H907" s="19"/>
      <c r="I907" s="19"/>
      <c r="J907" s="19"/>
    </row>
    <row r="908" spans="1:10">
      <c r="A908" s="19"/>
      <c r="B908" s="19"/>
      <c r="C908" s="19"/>
      <c r="D908" s="19"/>
      <c r="E908" s="19"/>
      <c r="F908" s="19"/>
      <c r="G908" s="19"/>
      <c r="H908" s="19"/>
      <c r="I908" s="19"/>
      <c r="J908" s="19"/>
    </row>
    <row r="909" spans="1:10">
      <c r="A909" s="19"/>
      <c r="B909" s="19"/>
      <c r="C909" s="19"/>
      <c r="D909" s="19"/>
      <c r="E909" s="19"/>
      <c r="F909" s="19"/>
      <c r="G909" s="19"/>
      <c r="H909" s="19"/>
      <c r="I909" s="19"/>
      <c r="J909" s="19"/>
    </row>
    <row r="910" spans="1:10">
      <c r="A910" s="19"/>
      <c r="B910" s="19"/>
      <c r="C910" s="19"/>
      <c r="D910" s="19"/>
      <c r="E910" s="19"/>
      <c r="F910" s="19"/>
      <c r="G910" s="19"/>
      <c r="H910" s="19"/>
      <c r="I910" s="19"/>
      <c r="J910" s="19"/>
    </row>
    <row r="911" spans="1:10">
      <c r="A911" s="19"/>
      <c r="B911" s="19"/>
      <c r="C911" s="19"/>
      <c r="D911" s="19"/>
      <c r="E911" s="19"/>
      <c r="F911" s="19"/>
      <c r="G911" s="19"/>
      <c r="H911" s="19"/>
      <c r="I911" s="19"/>
      <c r="J911" s="19"/>
    </row>
    <row r="912" spans="1:10">
      <c r="A912" s="19"/>
      <c r="B912" s="19"/>
      <c r="C912" s="19"/>
      <c r="D912" s="19"/>
      <c r="E912" s="19"/>
      <c r="F912" s="19"/>
      <c r="G912" s="19"/>
      <c r="H912" s="19"/>
      <c r="I912" s="19"/>
      <c r="J912" s="19"/>
    </row>
    <row r="913" spans="1:10">
      <c r="A913" s="19"/>
      <c r="B913" s="19"/>
      <c r="C913" s="19"/>
      <c r="D913" s="19"/>
      <c r="E913" s="19"/>
      <c r="F913" s="19"/>
      <c r="G913" s="19"/>
      <c r="H913" s="19"/>
      <c r="I913" s="19"/>
      <c r="J913" s="19"/>
    </row>
    <row r="914" spans="1:10">
      <c r="A914" s="19"/>
      <c r="B914" s="19"/>
      <c r="C914" s="19"/>
      <c r="D914" s="19"/>
      <c r="E914" s="19"/>
      <c r="F914" s="19"/>
      <c r="G914" s="19"/>
      <c r="H914" s="19"/>
      <c r="I914" s="19"/>
      <c r="J914" s="19"/>
    </row>
    <row r="915" spans="1:10">
      <c r="A915" s="19"/>
      <c r="B915" s="19"/>
      <c r="C915" s="19"/>
      <c r="D915" s="19"/>
      <c r="E915" s="19"/>
      <c r="F915" s="19"/>
      <c r="G915" s="19"/>
      <c r="H915" s="19"/>
      <c r="I915" s="19"/>
      <c r="J915" s="19"/>
    </row>
    <row r="916" spans="1:10">
      <c r="A916" s="19"/>
      <c r="B916" s="19"/>
      <c r="C916" s="19"/>
      <c r="D916" s="19"/>
      <c r="E916" s="19"/>
      <c r="F916" s="19"/>
      <c r="G916" s="19"/>
      <c r="H916" s="19"/>
      <c r="I916" s="19"/>
      <c r="J916" s="19"/>
    </row>
    <row r="917" spans="1:10">
      <c r="A917" s="19"/>
      <c r="B917" s="19"/>
      <c r="C917" s="19"/>
      <c r="D917" s="19"/>
      <c r="E917" s="19"/>
      <c r="F917" s="19"/>
      <c r="G917" s="19"/>
      <c r="H917" s="19"/>
      <c r="I917" s="19"/>
      <c r="J917" s="19"/>
    </row>
    <row r="918" spans="1:10">
      <c r="A918" s="19"/>
      <c r="B918" s="19"/>
      <c r="C918" s="19"/>
      <c r="D918" s="19"/>
      <c r="E918" s="19"/>
      <c r="F918" s="19"/>
      <c r="G918" s="19"/>
      <c r="H918" s="19"/>
      <c r="I918" s="19"/>
      <c r="J918" s="19"/>
    </row>
    <row r="919" spans="1:10">
      <c r="A919" s="19"/>
      <c r="B919" s="19"/>
      <c r="C919" s="19"/>
      <c r="D919" s="19"/>
      <c r="E919" s="19"/>
      <c r="F919" s="19"/>
      <c r="G919" s="19"/>
      <c r="H919" s="19"/>
      <c r="I919" s="19"/>
      <c r="J919" s="19"/>
    </row>
    <row r="920" spans="1:10">
      <c r="A920" s="19"/>
      <c r="B920" s="19"/>
      <c r="C920" s="19"/>
      <c r="D920" s="19"/>
      <c r="E920" s="19"/>
      <c r="F920" s="19"/>
      <c r="G920" s="19"/>
      <c r="H920" s="19"/>
      <c r="I920" s="19"/>
      <c r="J920" s="19"/>
    </row>
    <row r="921" spans="1:10">
      <c r="A921" s="19"/>
      <c r="B921" s="19"/>
      <c r="C921" s="19"/>
      <c r="D921" s="19"/>
      <c r="E921" s="19"/>
      <c r="F921" s="19"/>
      <c r="G921" s="19"/>
      <c r="H921" s="19"/>
      <c r="I921" s="19"/>
      <c r="J921" s="19"/>
    </row>
    <row r="922" spans="1:10">
      <c r="A922" s="19"/>
      <c r="B922" s="19"/>
      <c r="C922" s="19"/>
      <c r="D922" s="19"/>
      <c r="E922" s="19"/>
      <c r="F922" s="19"/>
      <c r="G922" s="19"/>
      <c r="H922" s="19"/>
      <c r="I922" s="19"/>
      <c r="J922" s="19"/>
    </row>
    <row r="923" spans="1:10">
      <c r="A923" s="19"/>
      <c r="B923" s="19"/>
      <c r="C923" s="19"/>
      <c r="D923" s="19"/>
      <c r="E923" s="19"/>
      <c r="F923" s="19"/>
      <c r="G923" s="19"/>
      <c r="H923" s="19"/>
      <c r="I923" s="19"/>
      <c r="J923" s="19"/>
    </row>
    <row r="924" spans="1:10">
      <c r="A924" s="19"/>
      <c r="B924" s="19"/>
      <c r="C924" s="19"/>
      <c r="D924" s="19"/>
      <c r="E924" s="19"/>
      <c r="F924" s="19"/>
      <c r="G924" s="19"/>
      <c r="H924" s="19"/>
      <c r="I924" s="19"/>
      <c r="J924" s="19"/>
    </row>
    <row r="925" spans="1:10">
      <c r="A925" s="19"/>
      <c r="B925" s="19"/>
      <c r="C925" s="19"/>
      <c r="D925" s="19"/>
      <c r="E925" s="19"/>
      <c r="F925" s="19"/>
      <c r="G925" s="19"/>
      <c r="H925" s="19"/>
      <c r="I925" s="19"/>
      <c r="J925" s="19"/>
    </row>
    <row r="926" spans="1:10">
      <c r="A926" s="19"/>
      <c r="B926" s="19"/>
      <c r="C926" s="19"/>
      <c r="D926" s="19"/>
      <c r="E926" s="19"/>
      <c r="F926" s="19"/>
      <c r="G926" s="19"/>
      <c r="H926" s="19"/>
      <c r="I926" s="19"/>
      <c r="J926" s="19"/>
    </row>
    <row r="927" spans="1:10">
      <c r="A927" s="19"/>
      <c r="B927" s="19"/>
      <c r="C927" s="19"/>
      <c r="D927" s="19"/>
      <c r="E927" s="19"/>
      <c r="F927" s="19"/>
      <c r="G927" s="19"/>
      <c r="H927" s="19"/>
      <c r="I927" s="19"/>
      <c r="J927" s="19"/>
    </row>
    <row r="928" spans="1:10">
      <c r="A928" s="19"/>
      <c r="B928" s="19"/>
      <c r="C928" s="19"/>
      <c r="D928" s="19"/>
      <c r="E928" s="19"/>
      <c r="F928" s="19"/>
      <c r="G928" s="19"/>
      <c r="H928" s="19"/>
      <c r="I928" s="19"/>
      <c r="J928" s="19"/>
    </row>
    <row r="929" spans="1:10">
      <c r="A929" s="19"/>
      <c r="B929" s="19"/>
      <c r="C929" s="19"/>
      <c r="D929" s="19"/>
      <c r="E929" s="19"/>
      <c r="F929" s="19"/>
      <c r="G929" s="19"/>
      <c r="H929" s="19"/>
      <c r="I929" s="19"/>
      <c r="J929" s="19"/>
    </row>
    <row r="930" spans="1:10">
      <c r="A930" s="19"/>
      <c r="B930" s="19"/>
      <c r="C930" s="19"/>
      <c r="D930" s="19"/>
      <c r="E930" s="19"/>
      <c r="F930" s="19"/>
      <c r="G930" s="19"/>
      <c r="H930" s="19"/>
      <c r="I930" s="19"/>
      <c r="J930" s="19"/>
    </row>
    <row r="931" spans="1:10">
      <c r="A931" s="19"/>
      <c r="B931" s="19"/>
      <c r="C931" s="19"/>
      <c r="D931" s="19"/>
      <c r="E931" s="19"/>
      <c r="F931" s="19"/>
      <c r="G931" s="19"/>
      <c r="H931" s="19"/>
      <c r="I931" s="19"/>
      <c r="J931" s="19"/>
    </row>
    <row r="932" spans="1:10">
      <c r="A932" s="19"/>
      <c r="B932" s="19"/>
      <c r="C932" s="19"/>
      <c r="D932" s="19"/>
      <c r="E932" s="19"/>
      <c r="F932" s="19"/>
      <c r="G932" s="19"/>
      <c r="H932" s="19"/>
      <c r="I932" s="19"/>
      <c r="J932" s="19"/>
    </row>
    <row r="933" spans="1:10">
      <c r="A933" s="19"/>
      <c r="B933" s="19"/>
      <c r="C933" s="19"/>
      <c r="D933" s="19"/>
      <c r="E933" s="19"/>
      <c r="F933" s="19"/>
      <c r="G933" s="19"/>
      <c r="H933" s="19"/>
      <c r="I933" s="19"/>
      <c r="J933" s="19"/>
    </row>
    <row r="934" spans="1:10">
      <c r="A934" s="19"/>
      <c r="B934" s="19"/>
      <c r="C934" s="19"/>
      <c r="D934" s="19"/>
      <c r="E934" s="19"/>
      <c r="F934" s="19"/>
      <c r="G934" s="19"/>
      <c r="H934" s="19"/>
      <c r="I934" s="19"/>
      <c r="J934" s="19"/>
    </row>
    <row r="935" spans="1:10">
      <c r="A935" s="19"/>
      <c r="B935" s="19"/>
      <c r="C935" s="19"/>
      <c r="D935" s="19"/>
      <c r="E935" s="19"/>
      <c r="F935" s="19"/>
      <c r="G935" s="19"/>
      <c r="H935" s="19"/>
      <c r="I935" s="19"/>
      <c r="J935" s="19"/>
    </row>
    <row r="936" spans="1:10">
      <c r="A936" s="19"/>
      <c r="B936" s="19"/>
      <c r="C936" s="19"/>
      <c r="D936" s="19"/>
      <c r="E936" s="19"/>
      <c r="F936" s="19"/>
      <c r="G936" s="19"/>
      <c r="H936" s="19"/>
      <c r="I936" s="19"/>
      <c r="J936" s="19"/>
    </row>
    <row r="937" spans="1:10">
      <c r="A937" s="19"/>
      <c r="B937" s="19"/>
      <c r="C937" s="19"/>
      <c r="D937" s="19"/>
      <c r="E937" s="19"/>
      <c r="F937" s="19"/>
      <c r="G937" s="19"/>
      <c r="H937" s="19"/>
      <c r="I937" s="19"/>
      <c r="J937" s="19"/>
    </row>
    <row r="938" spans="1:10">
      <c r="A938" s="19"/>
      <c r="B938" s="19"/>
      <c r="C938" s="19"/>
      <c r="D938" s="19"/>
      <c r="E938" s="19"/>
      <c r="F938" s="19"/>
      <c r="G938" s="19"/>
      <c r="H938" s="19"/>
      <c r="I938" s="19"/>
      <c r="J938" s="19"/>
    </row>
    <row r="939" spans="1:10">
      <c r="A939" s="19"/>
      <c r="B939" s="19"/>
      <c r="C939" s="19"/>
      <c r="D939" s="19"/>
      <c r="E939" s="19"/>
      <c r="F939" s="19"/>
      <c r="G939" s="19"/>
      <c r="H939" s="19"/>
      <c r="I939" s="19"/>
      <c r="J939" s="19"/>
    </row>
    <row r="940" spans="1:10">
      <c r="A940" s="19"/>
      <c r="B940" s="19"/>
      <c r="C940" s="19"/>
      <c r="D940" s="19"/>
      <c r="E940" s="19"/>
      <c r="F940" s="19"/>
      <c r="G940" s="19"/>
      <c r="H940" s="19"/>
      <c r="I940" s="19"/>
      <c r="J940" s="19"/>
    </row>
    <row r="941" spans="1:10">
      <c r="A941" s="19"/>
      <c r="B941" s="19"/>
      <c r="C941" s="19"/>
      <c r="D941" s="19"/>
      <c r="E941" s="19"/>
      <c r="F941" s="19"/>
      <c r="G941" s="19"/>
      <c r="H941" s="19"/>
      <c r="I941" s="19"/>
      <c r="J941" s="19"/>
    </row>
    <row r="942" spans="1:10">
      <c r="A942" s="19"/>
      <c r="B942" s="19"/>
      <c r="C942" s="19"/>
      <c r="D942" s="19"/>
      <c r="E942" s="19"/>
      <c r="F942" s="19"/>
      <c r="G942" s="19"/>
      <c r="H942" s="19"/>
      <c r="I942" s="19"/>
      <c r="J942" s="19"/>
    </row>
    <row r="943" spans="1:10">
      <c r="A943" s="19"/>
      <c r="B943" s="19"/>
      <c r="C943" s="19"/>
      <c r="D943" s="19"/>
      <c r="E943" s="19"/>
      <c r="F943" s="19"/>
      <c r="G943" s="19"/>
      <c r="H943" s="19"/>
      <c r="I943" s="19"/>
      <c r="J943" s="19"/>
    </row>
    <row r="944" spans="1:10">
      <c r="A944" s="19"/>
      <c r="B944" s="19"/>
      <c r="C944" s="19"/>
      <c r="D944" s="19"/>
      <c r="E944" s="19"/>
      <c r="F944" s="19"/>
      <c r="G944" s="19"/>
      <c r="H944" s="19"/>
      <c r="I944" s="19"/>
      <c r="J944" s="19"/>
    </row>
    <row r="945" spans="1:10">
      <c r="A945" s="19"/>
      <c r="B945" s="19"/>
      <c r="C945" s="19"/>
      <c r="D945" s="19"/>
      <c r="E945" s="19"/>
      <c r="F945" s="19"/>
      <c r="G945" s="19"/>
      <c r="H945" s="19"/>
      <c r="I945" s="19"/>
      <c r="J945" s="19"/>
    </row>
    <row r="946" spans="1:10">
      <c r="A946" s="19"/>
      <c r="B946" s="19"/>
      <c r="C946" s="19"/>
      <c r="D946" s="19"/>
      <c r="E946" s="19"/>
      <c r="F946" s="19"/>
      <c r="G946" s="19"/>
      <c r="H946" s="19"/>
      <c r="I946" s="19"/>
      <c r="J946" s="19"/>
    </row>
    <row r="947" spans="1:10">
      <c r="A947" s="19"/>
      <c r="B947" s="19"/>
      <c r="C947" s="19"/>
      <c r="D947" s="19"/>
      <c r="E947" s="19"/>
      <c r="F947" s="19"/>
      <c r="G947" s="19"/>
      <c r="H947" s="19"/>
      <c r="I947" s="19"/>
      <c r="J947" s="19"/>
    </row>
    <row r="948" spans="1:10">
      <c r="A948" s="19"/>
      <c r="B948" s="19"/>
      <c r="C948" s="19"/>
      <c r="D948" s="19"/>
      <c r="E948" s="19"/>
      <c r="F948" s="19"/>
      <c r="G948" s="19"/>
      <c r="H948" s="19"/>
      <c r="I948" s="19"/>
      <c r="J948" s="19"/>
    </row>
    <row r="949" spans="1:10">
      <c r="A949" s="19"/>
      <c r="B949" s="19"/>
      <c r="C949" s="19"/>
      <c r="D949" s="19"/>
      <c r="E949" s="19"/>
      <c r="F949" s="19"/>
      <c r="G949" s="19"/>
      <c r="H949" s="19"/>
      <c r="I949" s="19"/>
      <c r="J949" s="19"/>
    </row>
    <row r="950" spans="1:10">
      <c r="A950" s="19"/>
      <c r="B950" s="19"/>
      <c r="C950" s="19"/>
      <c r="D950" s="19"/>
      <c r="E950" s="19"/>
      <c r="F950" s="19"/>
      <c r="G950" s="19"/>
      <c r="H950" s="19"/>
      <c r="I950" s="19"/>
      <c r="J950" s="19"/>
    </row>
    <row r="951" spans="1:10">
      <c r="A951" s="19"/>
      <c r="B951" s="19"/>
      <c r="C951" s="19"/>
      <c r="D951" s="19"/>
      <c r="E951" s="19"/>
      <c r="F951" s="19"/>
      <c r="G951" s="19"/>
      <c r="H951" s="19"/>
      <c r="I951" s="19"/>
      <c r="J951" s="19"/>
    </row>
    <row r="952" spans="1:10">
      <c r="A952" s="19"/>
      <c r="B952" s="19"/>
      <c r="C952" s="19"/>
      <c r="D952" s="19"/>
      <c r="E952" s="19"/>
      <c r="F952" s="19"/>
      <c r="G952" s="19"/>
      <c r="H952" s="19"/>
      <c r="I952" s="19"/>
      <c r="J952" s="19"/>
    </row>
    <row r="953" spans="1:10">
      <c r="A953" s="19"/>
      <c r="B953" s="19"/>
      <c r="C953" s="19"/>
      <c r="D953" s="19"/>
      <c r="E953" s="19"/>
      <c r="F953" s="19"/>
      <c r="G953" s="19"/>
      <c r="H953" s="19"/>
      <c r="I953" s="19"/>
      <c r="J953" s="19"/>
    </row>
    <row r="954" spans="1:10">
      <c r="A954" s="19"/>
      <c r="B954" s="19"/>
      <c r="C954" s="19"/>
      <c r="D954" s="19"/>
      <c r="E954" s="19"/>
      <c r="F954" s="19"/>
      <c r="G954" s="19"/>
      <c r="H954" s="19"/>
      <c r="I954" s="19"/>
      <c r="J954" s="19"/>
    </row>
    <row r="955" spans="1:10">
      <c r="A955" s="19"/>
      <c r="B955" s="19"/>
      <c r="C955" s="19"/>
      <c r="D955" s="19"/>
      <c r="E955" s="19"/>
      <c r="F955" s="19"/>
      <c r="G955" s="19"/>
      <c r="H955" s="19"/>
      <c r="I955" s="19"/>
      <c r="J955" s="19"/>
    </row>
    <row r="956" spans="1:10">
      <c r="A956" s="19"/>
      <c r="B956" s="19"/>
      <c r="C956" s="19"/>
      <c r="D956" s="19"/>
      <c r="E956" s="19"/>
      <c r="F956" s="19"/>
      <c r="G956" s="19"/>
      <c r="H956" s="19"/>
      <c r="I956" s="19"/>
      <c r="J956" s="19"/>
    </row>
    <row r="957" spans="1:10">
      <c r="A957" s="19"/>
      <c r="B957" s="19"/>
      <c r="C957" s="19"/>
      <c r="D957" s="19"/>
      <c r="E957" s="19"/>
      <c r="F957" s="19"/>
      <c r="G957" s="19"/>
      <c r="H957" s="19"/>
      <c r="I957" s="19"/>
      <c r="J957" s="19"/>
    </row>
    <row r="958" spans="1:10">
      <c r="A958" s="19"/>
      <c r="B958" s="19"/>
      <c r="C958" s="19"/>
      <c r="D958" s="19"/>
      <c r="E958" s="19"/>
      <c r="F958" s="19"/>
      <c r="G958" s="19"/>
      <c r="H958" s="19"/>
      <c r="I958" s="19"/>
      <c r="J958" s="19"/>
    </row>
    <row r="959" spans="1:10">
      <c r="A959" s="19"/>
      <c r="B959" s="19"/>
      <c r="C959" s="19"/>
      <c r="D959" s="19"/>
      <c r="E959" s="19"/>
      <c r="F959" s="19"/>
      <c r="G959" s="19"/>
      <c r="H959" s="19"/>
      <c r="I959" s="19"/>
      <c r="J959" s="19"/>
    </row>
    <row r="960" spans="1:10">
      <c r="A960" s="19"/>
      <c r="B960" s="19"/>
      <c r="C960" s="19"/>
      <c r="D960" s="19"/>
      <c r="E960" s="19"/>
      <c r="F960" s="19"/>
      <c r="G960" s="19"/>
      <c r="H960" s="19"/>
      <c r="I960" s="19"/>
      <c r="J960" s="19"/>
    </row>
    <row r="961" spans="1:10">
      <c r="A961" s="19"/>
      <c r="B961" s="19"/>
      <c r="C961" s="19"/>
      <c r="D961" s="19"/>
      <c r="E961" s="19"/>
      <c r="F961" s="19"/>
      <c r="G961" s="19"/>
      <c r="H961" s="19"/>
      <c r="I961" s="19"/>
      <c r="J961" s="19"/>
    </row>
    <row r="962" spans="1:10">
      <c r="A962" s="19"/>
      <c r="B962" s="19"/>
      <c r="C962" s="19"/>
      <c r="D962" s="19"/>
      <c r="E962" s="19"/>
      <c r="F962" s="19"/>
      <c r="G962" s="19"/>
      <c r="H962" s="19"/>
      <c r="I962" s="19"/>
      <c r="J962" s="19"/>
    </row>
    <row r="963" spans="1:10">
      <c r="A963" s="19"/>
      <c r="B963" s="19"/>
      <c r="C963" s="19"/>
      <c r="D963" s="19"/>
      <c r="E963" s="19"/>
      <c r="F963" s="19"/>
      <c r="G963" s="19"/>
      <c r="H963" s="19"/>
      <c r="I963" s="19"/>
      <c r="J963" s="19"/>
    </row>
    <row r="964" spans="1:10">
      <c r="A964" s="19"/>
      <c r="B964" s="19"/>
      <c r="C964" s="19"/>
      <c r="D964" s="19"/>
      <c r="E964" s="19"/>
      <c r="F964" s="19"/>
      <c r="G964" s="19"/>
      <c r="H964" s="19"/>
      <c r="I964" s="19"/>
      <c r="J964" s="19"/>
    </row>
    <row r="965" spans="1:10">
      <c r="A965" s="19"/>
      <c r="B965" s="19"/>
      <c r="C965" s="19"/>
      <c r="D965" s="19"/>
      <c r="E965" s="19"/>
      <c r="F965" s="19"/>
      <c r="G965" s="19"/>
      <c r="H965" s="19"/>
      <c r="I965" s="19"/>
      <c r="J965" s="19"/>
    </row>
    <row r="966" spans="1:10">
      <c r="A966" s="19"/>
      <c r="B966" s="19"/>
      <c r="C966" s="19"/>
      <c r="D966" s="19"/>
      <c r="E966" s="19"/>
      <c r="F966" s="19"/>
      <c r="G966" s="19"/>
      <c r="H966" s="19"/>
      <c r="I966" s="19"/>
      <c r="J966" s="19"/>
    </row>
    <row r="967" spans="1:10">
      <c r="A967" s="19"/>
      <c r="B967" s="19"/>
      <c r="C967" s="19"/>
      <c r="D967" s="19"/>
      <c r="E967" s="19"/>
      <c r="F967" s="19"/>
      <c r="G967" s="19"/>
      <c r="H967" s="19"/>
      <c r="I967" s="19"/>
      <c r="J967" s="19"/>
    </row>
    <row r="968" spans="1:10">
      <c r="A968" s="19"/>
      <c r="B968" s="19"/>
      <c r="C968" s="19"/>
      <c r="D968" s="19"/>
      <c r="E968" s="19"/>
      <c r="F968" s="19"/>
      <c r="G968" s="19"/>
      <c r="H968" s="19"/>
      <c r="I968" s="19"/>
      <c r="J968" s="19"/>
    </row>
    <row r="969" spans="1:10">
      <c r="A969" s="19"/>
      <c r="B969" s="19"/>
      <c r="C969" s="19"/>
      <c r="D969" s="19"/>
      <c r="E969" s="19"/>
      <c r="F969" s="19"/>
      <c r="G969" s="19"/>
      <c r="H969" s="19"/>
      <c r="I969" s="19"/>
      <c r="J969" s="19"/>
    </row>
    <row r="970" spans="1:10">
      <c r="A970" s="19"/>
      <c r="B970" s="19"/>
      <c r="C970" s="19"/>
      <c r="D970" s="19"/>
      <c r="E970" s="19"/>
      <c r="F970" s="19"/>
      <c r="G970" s="19"/>
      <c r="H970" s="19"/>
      <c r="I970" s="19"/>
      <c r="J970" s="19"/>
    </row>
    <row r="971" spans="1:10">
      <c r="A971" s="19"/>
      <c r="B971" s="19"/>
      <c r="C971" s="19"/>
      <c r="D971" s="19"/>
      <c r="E971" s="19"/>
      <c r="F971" s="19"/>
      <c r="G971" s="19"/>
      <c r="H971" s="19"/>
      <c r="I971" s="19"/>
      <c r="J971" s="19"/>
    </row>
    <row r="972" spans="1:10">
      <c r="A972" s="19"/>
      <c r="B972" s="19"/>
      <c r="C972" s="19"/>
      <c r="D972" s="19"/>
      <c r="E972" s="19"/>
      <c r="F972" s="19"/>
      <c r="G972" s="19"/>
      <c r="H972" s="19"/>
      <c r="I972" s="19"/>
      <c r="J972" s="19"/>
    </row>
    <row r="973" spans="1:10">
      <c r="A973" s="19"/>
      <c r="B973" s="19"/>
      <c r="C973" s="19"/>
      <c r="D973" s="19"/>
      <c r="E973" s="19"/>
      <c r="F973" s="19"/>
      <c r="G973" s="19"/>
      <c r="H973" s="19"/>
      <c r="I973" s="19"/>
      <c r="J973" s="19"/>
    </row>
    <row r="974" spans="1:10">
      <c r="A974" s="19"/>
      <c r="B974" s="19"/>
      <c r="C974" s="19"/>
      <c r="D974" s="19"/>
      <c r="E974" s="19"/>
      <c r="F974" s="19"/>
      <c r="G974" s="19"/>
      <c r="H974" s="19"/>
      <c r="I974" s="19"/>
      <c r="J974" s="19"/>
    </row>
    <row r="975" spans="1:10">
      <c r="A975" s="19"/>
      <c r="B975" s="19"/>
      <c r="C975" s="19"/>
      <c r="D975" s="19"/>
      <c r="E975" s="19"/>
      <c r="F975" s="19"/>
      <c r="G975" s="19"/>
      <c r="H975" s="19"/>
      <c r="I975" s="19"/>
      <c r="J975" s="19"/>
    </row>
    <row r="976" spans="1:10">
      <c r="A976" s="19"/>
      <c r="B976" s="19"/>
      <c r="C976" s="19"/>
      <c r="D976" s="19"/>
      <c r="E976" s="19"/>
      <c r="F976" s="19"/>
      <c r="G976" s="19"/>
      <c r="H976" s="19"/>
      <c r="I976" s="19"/>
      <c r="J976" s="19"/>
    </row>
    <row r="977" spans="1:10">
      <c r="A977" s="19"/>
      <c r="B977" s="19"/>
      <c r="C977" s="19"/>
      <c r="D977" s="19"/>
      <c r="E977" s="19"/>
      <c r="F977" s="19"/>
      <c r="G977" s="19"/>
      <c r="H977" s="19"/>
      <c r="I977" s="19"/>
      <c r="J977" s="19"/>
    </row>
    <row r="978" spans="1:10">
      <c r="A978" s="19"/>
      <c r="B978" s="19"/>
      <c r="C978" s="19"/>
      <c r="D978" s="19"/>
      <c r="E978" s="19"/>
      <c r="F978" s="19"/>
      <c r="G978" s="19"/>
      <c r="H978" s="19"/>
      <c r="I978" s="19"/>
      <c r="J978" s="19"/>
    </row>
    <row r="979" spans="1:10">
      <c r="A979" s="19"/>
      <c r="B979" s="19"/>
      <c r="C979" s="19"/>
      <c r="D979" s="19"/>
      <c r="E979" s="19"/>
      <c r="F979" s="19"/>
      <c r="G979" s="19"/>
      <c r="H979" s="19"/>
      <c r="I979" s="19"/>
      <c r="J979" s="19"/>
    </row>
    <row r="980" spans="1:10">
      <c r="A980" s="19"/>
      <c r="B980" s="19"/>
      <c r="C980" s="19"/>
      <c r="D980" s="19"/>
      <c r="E980" s="19"/>
      <c r="F980" s="19"/>
      <c r="G980" s="19"/>
      <c r="H980" s="19"/>
      <c r="I980" s="19"/>
      <c r="J980" s="19"/>
    </row>
    <row r="981" spans="1:10">
      <c r="A981" s="19"/>
      <c r="B981" s="19"/>
      <c r="C981" s="19"/>
      <c r="D981" s="19"/>
      <c r="E981" s="19"/>
      <c r="F981" s="19"/>
      <c r="G981" s="19"/>
      <c r="H981" s="19"/>
      <c r="I981" s="19"/>
      <c r="J981" s="19"/>
    </row>
    <row r="982" spans="1:10">
      <c r="A982" s="19"/>
      <c r="B982" s="19"/>
      <c r="C982" s="19"/>
      <c r="D982" s="19"/>
      <c r="E982" s="19"/>
      <c r="F982" s="19"/>
      <c r="G982" s="19"/>
      <c r="H982" s="19"/>
      <c r="I982" s="19"/>
      <c r="J982" s="19"/>
    </row>
    <row r="983" spans="1:10">
      <c r="A983" s="19"/>
      <c r="B983" s="19"/>
      <c r="C983" s="19"/>
      <c r="D983" s="19"/>
      <c r="E983" s="19"/>
      <c r="F983" s="19"/>
      <c r="G983" s="19"/>
      <c r="H983" s="19"/>
      <c r="I983" s="19"/>
      <c r="J983" s="19"/>
    </row>
    <row r="984" spans="1:10">
      <c r="A984" s="19"/>
      <c r="B984" s="19"/>
      <c r="C984" s="19"/>
      <c r="D984" s="19"/>
      <c r="E984" s="19"/>
      <c r="F984" s="19"/>
      <c r="G984" s="19"/>
      <c r="H984" s="19"/>
      <c r="I984" s="19"/>
      <c r="J984" s="19"/>
    </row>
    <row r="985" spans="1:10">
      <c r="A985" s="19"/>
      <c r="B985" s="19"/>
      <c r="C985" s="19"/>
      <c r="D985" s="19"/>
      <c r="E985" s="19"/>
      <c r="F985" s="19"/>
      <c r="G985" s="19"/>
      <c r="H985" s="19"/>
      <c r="I985" s="19"/>
      <c r="J985" s="19"/>
    </row>
    <row r="986" spans="1:10">
      <c r="A986" s="19"/>
      <c r="B986" s="19"/>
      <c r="C986" s="19"/>
      <c r="D986" s="19"/>
      <c r="E986" s="19"/>
      <c r="F986" s="19"/>
      <c r="G986" s="19"/>
      <c r="H986" s="19"/>
      <c r="I986" s="19"/>
      <c r="J986" s="19"/>
    </row>
    <row r="987" spans="1:10">
      <c r="A987" s="19"/>
      <c r="B987" s="19"/>
      <c r="C987" s="19"/>
      <c r="D987" s="19"/>
      <c r="E987" s="19"/>
      <c r="F987" s="19"/>
      <c r="G987" s="19"/>
      <c r="H987" s="19"/>
      <c r="I987" s="19"/>
      <c r="J987" s="19"/>
    </row>
    <row r="988" spans="1:10">
      <c r="A988" s="19"/>
      <c r="B988" s="19"/>
      <c r="C988" s="19"/>
      <c r="D988" s="19"/>
      <c r="E988" s="19"/>
      <c r="F988" s="19"/>
      <c r="G988" s="19"/>
      <c r="H988" s="19"/>
      <c r="I988" s="19"/>
      <c r="J988" s="19"/>
    </row>
    <row r="989" spans="1:10">
      <c r="A989" s="19"/>
      <c r="B989" s="19"/>
      <c r="C989" s="19"/>
      <c r="D989" s="19"/>
      <c r="E989" s="19"/>
      <c r="F989" s="19"/>
      <c r="G989" s="19"/>
      <c r="H989" s="19"/>
      <c r="I989" s="19"/>
      <c r="J989" s="19"/>
    </row>
    <row r="990" spans="1:10">
      <c r="A990" s="19"/>
      <c r="B990" s="19"/>
      <c r="C990" s="19"/>
      <c r="D990" s="19"/>
      <c r="E990" s="19"/>
      <c r="F990" s="19"/>
      <c r="G990" s="19"/>
      <c r="H990" s="19"/>
      <c r="I990" s="19"/>
      <c r="J990" s="19"/>
    </row>
    <row r="991" spans="1:10">
      <c r="A991" s="19"/>
      <c r="B991" s="19"/>
      <c r="C991" s="19"/>
      <c r="D991" s="19"/>
      <c r="E991" s="19"/>
      <c r="F991" s="19"/>
      <c r="G991" s="19"/>
      <c r="H991" s="19"/>
      <c r="I991" s="19"/>
      <c r="J991" s="19"/>
    </row>
    <row r="992" spans="1:10">
      <c r="A992" s="19"/>
      <c r="B992" s="19"/>
      <c r="C992" s="19"/>
      <c r="D992" s="19"/>
      <c r="E992" s="19"/>
      <c r="F992" s="19"/>
      <c r="G992" s="19"/>
      <c r="H992" s="19"/>
      <c r="I992" s="19"/>
      <c r="J992" s="19"/>
    </row>
    <row r="993" spans="1:10">
      <c r="A993" s="19"/>
      <c r="B993" s="19"/>
      <c r="C993" s="19"/>
      <c r="D993" s="19"/>
      <c r="E993" s="19"/>
      <c r="F993" s="19"/>
      <c r="G993" s="19"/>
      <c r="H993" s="19"/>
      <c r="I993" s="19"/>
      <c r="J993" s="19"/>
    </row>
    <row r="994" spans="1:10">
      <c r="A994" s="19"/>
      <c r="B994" s="19"/>
      <c r="C994" s="19"/>
      <c r="D994" s="19"/>
      <c r="E994" s="19"/>
      <c r="F994" s="19"/>
      <c r="G994" s="19"/>
      <c r="H994" s="19"/>
      <c r="I994" s="19"/>
      <c r="J994" s="19"/>
    </row>
    <row r="995" spans="1:10">
      <c r="A995" s="19"/>
      <c r="B995" s="19"/>
      <c r="C995" s="19"/>
      <c r="D995" s="19"/>
      <c r="E995" s="19"/>
      <c r="F995" s="19"/>
      <c r="G995" s="19"/>
      <c r="H995" s="19"/>
      <c r="I995" s="19"/>
      <c r="J995" s="19"/>
    </row>
    <row r="996" spans="1:10">
      <c r="A996" s="19"/>
      <c r="B996" s="19"/>
      <c r="C996" s="19"/>
      <c r="D996" s="19"/>
      <c r="E996" s="19"/>
      <c r="F996" s="19"/>
      <c r="G996" s="19"/>
      <c r="H996" s="19"/>
      <c r="I996" s="19"/>
      <c r="J996" s="19"/>
    </row>
    <row r="997" spans="1:10">
      <c r="A997" s="19"/>
      <c r="B997" s="19"/>
      <c r="C997" s="19"/>
      <c r="D997" s="19"/>
      <c r="E997" s="19"/>
      <c r="F997" s="19"/>
      <c r="G997" s="19"/>
      <c r="H997" s="19"/>
      <c r="I997" s="19"/>
      <c r="J997" s="19"/>
    </row>
    <row r="998" spans="1:10">
      <c r="A998" s="19"/>
      <c r="B998" s="19"/>
      <c r="C998" s="19"/>
      <c r="D998" s="19"/>
      <c r="E998" s="19"/>
      <c r="F998" s="19"/>
      <c r="G998" s="19"/>
      <c r="H998" s="19"/>
      <c r="I998" s="19"/>
      <c r="J998" s="19"/>
    </row>
    <row r="999" spans="1:10">
      <c r="A999" s="19"/>
      <c r="B999" s="19"/>
      <c r="C999" s="19"/>
      <c r="D999" s="19"/>
      <c r="E999" s="19"/>
      <c r="F999" s="19"/>
      <c r="G999" s="19"/>
      <c r="H999" s="19"/>
      <c r="I999" s="19"/>
      <c r="J999" s="19"/>
    </row>
    <row r="1000" spans="1:10">
      <c r="A1000" s="19"/>
      <c r="B1000" s="19"/>
      <c r="C1000" s="19"/>
      <c r="D1000" s="19"/>
      <c r="E1000" s="19"/>
      <c r="F1000" s="19"/>
      <c r="G1000" s="19"/>
      <c r="H1000" s="19"/>
      <c r="I1000" s="19"/>
      <c r="J1000" s="19"/>
    </row>
    <row r="1001" spans="1:10">
      <c r="A1001" s="19"/>
      <c r="B1001" s="19"/>
      <c r="C1001" s="19"/>
      <c r="D1001" s="19"/>
      <c r="E1001" s="19"/>
      <c r="F1001" s="19"/>
      <c r="G1001" s="19"/>
      <c r="H1001" s="19"/>
      <c r="I1001" s="19"/>
      <c r="J1001" s="19"/>
    </row>
    <row r="1002" spans="1:10">
      <c r="A1002" s="19"/>
      <c r="B1002" s="19"/>
      <c r="C1002" s="19"/>
      <c r="D1002" s="19"/>
      <c r="E1002" s="19"/>
      <c r="F1002" s="19"/>
      <c r="G1002" s="19"/>
      <c r="H1002" s="19"/>
      <c r="I1002" s="19"/>
      <c r="J1002" s="19"/>
    </row>
    <row r="1003" spans="1:10">
      <c r="A1003" s="19"/>
      <c r="B1003" s="19"/>
      <c r="C1003" s="19"/>
      <c r="D1003" s="19"/>
      <c r="E1003" s="19"/>
      <c r="F1003" s="19"/>
      <c r="G1003" s="19"/>
      <c r="H1003" s="19"/>
      <c r="I1003" s="19"/>
      <c r="J1003" s="19"/>
    </row>
    <row r="1004" spans="1:10">
      <c r="A1004" s="19"/>
      <c r="B1004" s="19"/>
      <c r="C1004" s="19"/>
      <c r="D1004" s="19"/>
      <c r="E1004" s="19"/>
      <c r="F1004" s="19"/>
      <c r="G1004" s="19"/>
      <c r="H1004" s="19"/>
      <c r="I1004" s="19"/>
      <c r="J1004" s="19"/>
    </row>
    <row r="1005" spans="1:10">
      <c r="A1005" s="19"/>
      <c r="B1005" s="19"/>
      <c r="C1005" s="19"/>
      <c r="D1005" s="19"/>
      <c r="E1005" s="19"/>
      <c r="F1005" s="19"/>
      <c r="G1005" s="19"/>
      <c r="H1005" s="19"/>
      <c r="I1005" s="19"/>
      <c r="J1005" s="19"/>
    </row>
    <row r="1006" spans="1:10">
      <c r="A1006" s="19"/>
      <c r="B1006" s="19"/>
      <c r="C1006" s="19"/>
      <c r="D1006" s="19"/>
      <c r="E1006" s="19"/>
      <c r="F1006" s="19"/>
      <c r="G1006" s="19"/>
      <c r="H1006" s="19"/>
      <c r="I1006" s="19"/>
      <c r="J1006" s="19"/>
    </row>
    <row r="1007" spans="1:10">
      <c r="A1007" s="19"/>
      <c r="B1007" s="19"/>
      <c r="C1007" s="19"/>
      <c r="D1007" s="19"/>
      <c r="E1007" s="19"/>
      <c r="F1007" s="19"/>
      <c r="G1007" s="19"/>
      <c r="H1007" s="19"/>
      <c r="I1007" s="19"/>
      <c r="J1007" s="19"/>
    </row>
    <row r="1008" spans="1:10">
      <c r="A1008" s="19"/>
      <c r="B1008" s="19"/>
      <c r="C1008" s="19"/>
      <c r="D1008" s="19"/>
      <c r="E1008" s="19"/>
      <c r="F1008" s="19"/>
      <c r="G1008" s="19"/>
      <c r="H1008" s="19"/>
      <c r="I1008" s="19"/>
      <c r="J1008" s="19"/>
    </row>
    <row r="1009" spans="1:10">
      <c r="A1009" s="19"/>
      <c r="B1009" s="19"/>
      <c r="C1009" s="19"/>
      <c r="D1009" s="19"/>
      <c r="E1009" s="19"/>
      <c r="F1009" s="19"/>
      <c r="G1009" s="19"/>
      <c r="H1009" s="19"/>
      <c r="I1009" s="19"/>
      <c r="J1009" s="19"/>
    </row>
    <row r="1010" spans="1:10">
      <c r="A1010" s="19"/>
      <c r="B1010" s="19"/>
      <c r="C1010" s="19"/>
      <c r="D1010" s="19"/>
      <c r="E1010" s="19"/>
      <c r="F1010" s="19"/>
      <c r="G1010" s="19"/>
      <c r="H1010" s="19"/>
      <c r="I1010" s="19"/>
      <c r="J1010" s="19"/>
    </row>
    <row r="1011" spans="1:10">
      <c r="A1011" s="19"/>
      <c r="B1011" s="19"/>
      <c r="C1011" s="19"/>
      <c r="D1011" s="19"/>
      <c r="E1011" s="19"/>
      <c r="F1011" s="19"/>
      <c r="G1011" s="19"/>
      <c r="H1011" s="19"/>
      <c r="I1011" s="19"/>
      <c r="J1011" s="19"/>
    </row>
    <row r="1012" spans="1:10">
      <c r="A1012" s="19"/>
      <c r="B1012" s="19"/>
      <c r="C1012" s="19"/>
      <c r="D1012" s="19"/>
      <c r="E1012" s="19"/>
      <c r="F1012" s="19"/>
      <c r="G1012" s="19"/>
      <c r="H1012" s="19"/>
      <c r="I1012" s="19"/>
      <c r="J1012" s="19"/>
    </row>
    <row r="1013" spans="1:10">
      <c r="A1013" s="19"/>
      <c r="B1013" s="19"/>
      <c r="C1013" s="19"/>
      <c r="D1013" s="19"/>
      <c r="E1013" s="19"/>
      <c r="F1013" s="19"/>
      <c r="G1013" s="19"/>
      <c r="H1013" s="19"/>
      <c r="I1013" s="19"/>
      <c r="J1013" s="19"/>
    </row>
    <row r="1014" spans="1:10">
      <c r="A1014" s="19"/>
      <c r="B1014" s="19"/>
      <c r="C1014" s="19"/>
      <c r="D1014" s="19"/>
      <c r="E1014" s="19"/>
      <c r="F1014" s="19"/>
      <c r="G1014" s="19"/>
      <c r="H1014" s="19"/>
      <c r="I1014" s="19"/>
      <c r="J1014" s="19"/>
    </row>
    <row r="1015" spans="1:10">
      <c r="A1015" s="19"/>
      <c r="B1015" s="19"/>
      <c r="C1015" s="19"/>
      <c r="D1015" s="19"/>
      <c r="E1015" s="19"/>
      <c r="F1015" s="19"/>
      <c r="G1015" s="19"/>
      <c r="H1015" s="19"/>
      <c r="I1015" s="19"/>
      <c r="J1015" s="19"/>
    </row>
    <row r="1016" spans="1:10">
      <c r="A1016" s="19"/>
      <c r="B1016" s="19"/>
      <c r="C1016" s="19"/>
      <c r="D1016" s="19"/>
      <c r="E1016" s="19"/>
      <c r="F1016" s="19"/>
      <c r="G1016" s="19"/>
      <c r="H1016" s="19"/>
      <c r="I1016" s="19"/>
      <c r="J1016" s="19"/>
    </row>
    <row r="1017" spans="1:10">
      <c r="A1017" s="19"/>
      <c r="B1017" s="19"/>
      <c r="C1017" s="19"/>
      <c r="D1017" s="19"/>
      <c r="E1017" s="19"/>
      <c r="F1017" s="19"/>
      <c r="G1017" s="19"/>
      <c r="H1017" s="19"/>
      <c r="I1017" s="19"/>
      <c r="J1017" s="19"/>
    </row>
    <row r="1018" spans="1:10">
      <c r="A1018" s="19"/>
      <c r="B1018" s="19"/>
      <c r="C1018" s="19"/>
      <c r="D1018" s="19"/>
      <c r="E1018" s="19"/>
      <c r="F1018" s="19"/>
      <c r="G1018" s="19"/>
      <c r="H1018" s="19"/>
      <c r="I1018" s="19"/>
      <c r="J1018" s="19"/>
    </row>
    <row r="1019" spans="1:10">
      <c r="A1019" s="19"/>
      <c r="B1019" s="19"/>
      <c r="C1019" s="19"/>
      <c r="D1019" s="19"/>
      <c r="E1019" s="19"/>
      <c r="F1019" s="19"/>
      <c r="G1019" s="19"/>
      <c r="H1019" s="19"/>
      <c r="I1019" s="19"/>
      <c r="J1019" s="19"/>
    </row>
    <row r="1020" spans="1:10">
      <c r="A1020" s="19"/>
      <c r="B1020" s="19"/>
      <c r="C1020" s="19"/>
      <c r="D1020" s="19"/>
      <c r="E1020" s="19"/>
      <c r="F1020" s="19"/>
      <c r="G1020" s="19"/>
      <c r="H1020" s="19"/>
      <c r="I1020" s="19"/>
      <c r="J1020" s="19"/>
    </row>
    <row r="1021" spans="1:10">
      <c r="A1021" s="19"/>
      <c r="B1021" s="19"/>
      <c r="C1021" s="19"/>
      <c r="D1021" s="19"/>
      <c r="E1021" s="19"/>
      <c r="F1021" s="19"/>
      <c r="G1021" s="19"/>
      <c r="H1021" s="19"/>
      <c r="I1021" s="19"/>
      <c r="J1021" s="19"/>
    </row>
    <row r="1022" spans="1:10">
      <c r="A1022" s="19"/>
      <c r="B1022" s="19"/>
      <c r="C1022" s="19"/>
      <c r="D1022" s="19"/>
      <c r="E1022" s="19"/>
      <c r="F1022" s="19"/>
      <c r="G1022" s="19"/>
      <c r="H1022" s="19"/>
      <c r="I1022" s="19"/>
      <c r="J1022" s="19"/>
    </row>
    <row r="1023" spans="1:10">
      <c r="A1023" s="19"/>
      <c r="B1023" s="19"/>
      <c r="C1023" s="19"/>
      <c r="D1023" s="19"/>
      <c r="E1023" s="19"/>
      <c r="F1023" s="19"/>
      <c r="G1023" s="19"/>
      <c r="H1023" s="19"/>
      <c r="I1023" s="19"/>
      <c r="J1023" s="19"/>
    </row>
    <row r="1024" spans="1:10">
      <c r="A1024" s="19"/>
      <c r="B1024" s="19"/>
      <c r="C1024" s="19"/>
      <c r="D1024" s="19"/>
      <c r="E1024" s="19"/>
      <c r="F1024" s="19"/>
      <c r="G1024" s="19"/>
      <c r="H1024" s="19"/>
      <c r="I1024" s="19"/>
      <c r="J1024" s="19"/>
    </row>
    <row r="1025" spans="1:10">
      <c r="A1025" s="19"/>
      <c r="B1025" s="19"/>
      <c r="C1025" s="19"/>
      <c r="D1025" s="19"/>
      <c r="E1025" s="19"/>
      <c r="F1025" s="19"/>
      <c r="G1025" s="19"/>
      <c r="H1025" s="19"/>
      <c r="I1025" s="19"/>
      <c r="J1025" s="19"/>
    </row>
    <row r="1026" spans="1:10">
      <c r="A1026" s="19"/>
      <c r="B1026" s="19"/>
      <c r="C1026" s="19"/>
      <c r="D1026" s="19"/>
      <c r="E1026" s="19"/>
      <c r="F1026" s="19"/>
      <c r="G1026" s="19"/>
      <c r="H1026" s="19"/>
      <c r="I1026" s="19"/>
      <c r="J1026" s="19"/>
    </row>
    <row r="1027" spans="1:10">
      <c r="A1027" s="19"/>
      <c r="B1027" s="19"/>
      <c r="C1027" s="19"/>
      <c r="D1027" s="19"/>
      <c r="E1027" s="19"/>
      <c r="F1027" s="19"/>
      <c r="G1027" s="19"/>
      <c r="H1027" s="19"/>
      <c r="I1027" s="19"/>
      <c r="J1027" s="19"/>
    </row>
    <row r="1028" spans="1:10">
      <c r="A1028" s="19"/>
      <c r="B1028" s="19"/>
      <c r="C1028" s="19"/>
      <c r="D1028" s="19"/>
      <c r="E1028" s="19"/>
      <c r="F1028" s="19"/>
      <c r="G1028" s="19"/>
      <c r="H1028" s="19"/>
      <c r="I1028" s="19"/>
      <c r="J1028" s="19"/>
    </row>
    <row r="1029" spans="1:10">
      <c r="A1029" s="19"/>
      <c r="B1029" s="19"/>
      <c r="C1029" s="19"/>
      <c r="D1029" s="19"/>
      <c r="E1029" s="19"/>
      <c r="F1029" s="19"/>
      <c r="G1029" s="19"/>
      <c r="H1029" s="19"/>
      <c r="I1029" s="19"/>
      <c r="J1029" s="19"/>
    </row>
    <row r="1030" spans="1:10">
      <c r="A1030" s="19"/>
      <c r="B1030" s="19"/>
      <c r="C1030" s="19"/>
      <c r="D1030" s="19"/>
      <c r="E1030" s="19"/>
      <c r="F1030" s="19"/>
      <c r="G1030" s="19"/>
      <c r="H1030" s="19"/>
      <c r="I1030" s="19"/>
      <c r="J1030" s="19"/>
    </row>
    <row r="1031" spans="1:10">
      <c r="A1031" s="19"/>
      <c r="B1031" s="19"/>
      <c r="C1031" s="19"/>
      <c r="D1031" s="19"/>
      <c r="E1031" s="19"/>
      <c r="F1031" s="19"/>
      <c r="G1031" s="19"/>
      <c r="H1031" s="19"/>
      <c r="I1031" s="19"/>
      <c r="J1031" s="19"/>
    </row>
    <row r="1032" spans="1:10">
      <c r="A1032" s="19"/>
      <c r="B1032" s="19"/>
      <c r="C1032" s="19"/>
      <c r="D1032" s="19"/>
      <c r="E1032" s="19"/>
      <c r="F1032" s="19"/>
      <c r="G1032" s="19"/>
      <c r="H1032" s="19"/>
      <c r="I1032" s="19"/>
      <c r="J1032" s="19"/>
    </row>
    <row r="1033" spans="1:10">
      <c r="A1033" s="19"/>
      <c r="B1033" s="19"/>
      <c r="C1033" s="19"/>
      <c r="D1033" s="19"/>
      <c r="E1033" s="19"/>
      <c r="F1033" s="19"/>
      <c r="G1033" s="19"/>
      <c r="H1033" s="19"/>
      <c r="I1033" s="19"/>
      <c r="J1033" s="19"/>
    </row>
    <row r="1034" spans="1:10">
      <c r="A1034" s="19"/>
      <c r="B1034" s="19"/>
      <c r="C1034" s="19"/>
      <c r="D1034" s="19"/>
      <c r="E1034" s="19"/>
      <c r="F1034" s="19"/>
      <c r="G1034" s="19"/>
      <c r="H1034" s="19"/>
      <c r="I1034" s="19"/>
      <c r="J1034" s="19"/>
    </row>
    <row r="1035" spans="1:10">
      <c r="A1035" s="19"/>
      <c r="B1035" s="19"/>
      <c r="C1035" s="19"/>
      <c r="D1035" s="19"/>
      <c r="E1035" s="19"/>
      <c r="F1035" s="19"/>
      <c r="G1035" s="19"/>
      <c r="H1035" s="19"/>
      <c r="I1035" s="19"/>
      <c r="J1035" s="19"/>
    </row>
    <row r="1036" spans="1:10">
      <c r="A1036" s="19"/>
      <c r="B1036" s="19"/>
      <c r="C1036" s="19"/>
      <c r="D1036" s="19"/>
      <c r="E1036" s="19"/>
      <c r="F1036" s="19"/>
      <c r="G1036" s="19"/>
      <c r="H1036" s="19"/>
      <c r="I1036" s="19"/>
      <c r="J1036" s="19"/>
    </row>
    <row r="1037" spans="1:10">
      <c r="A1037" s="19"/>
      <c r="B1037" s="19"/>
      <c r="C1037" s="19"/>
      <c r="D1037" s="19"/>
      <c r="E1037" s="19"/>
      <c r="F1037" s="19"/>
      <c r="G1037" s="19"/>
      <c r="H1037" s="19"/>
      <c r="I1037" s="19"/>
      <c r="J1037" s="19"/>
    </row>
    <row r="1038" spans="1:10">
      <c r="A1038" s="19"/>
      <c r="B1038" s="19"/>
      <c r="C1038" s="19"/>
      <c r="D1038" s="19"/>
      <c r="E1038" s="19"/>
      <c r="F1038" s="19"/>
      <c r="G1038" s="19"/>
      <c r="H1038" s="19"/>
      <c r="I1038" s="19"/>
      <c r="J1038" s="19"/>
    </row>
    <row r="1039" spans="1:10">
      <c r="A1039" s="19"/>
      <c r="B1039" s="19"/>
      <c r="C1039" s="19"/>
      <c r="D1039" s="19"/>
      <c r="E1039" s="19"/>
      <c r="F1039" s="19"/>
      <c r="G1039" s="19"/>
      <c r="H1039" s="19"/>
      <c r="I1039" s="19"/>
      <c r="J1039" s="19"/>
    </row>
    <row r="1040" spans="1:10">
      <c r="A1040" s="19"/>
      <c r="B1040" s="19"/>
      <c r="C1040" s="19"/>
      <c r="D1040" s="19"/>
      <c r="E1040" s="19"/>
      <c r="F1040" s="19"/>
      <c r="G1040" s="19"/>
      <c r="H1040" s="19"/>
      <c r="I1040" s="19"/>
      <c r="J1040" s="19"/>
    </row>
    <row r="1041" spans="1:10">
      <c r="A1041" s="19"/>
      <c r="B1041" s="19"/>
      <c r="C1041" s="19"/>
      <c r="D1041" s="19"/>
      <c r="E1041" s="19"/>
      <c r="F1041" s="19"/>
      <c r="G1041" s="19"/>
      <c r="H1041" s="19"/>
      <c r="I1041" s="19"/>
      <c r="J1041" s="19"/>
    </row>
    <row r="1042" spans="1:10">
      <c r="A1042" s="19"/>
      <c r="B1042" s="19"/>
      <c r="C1042" s="19"/>
      <c r="D1042" s="19"/>
      <c r="E1042" s="19"/>
      <c r="F1042" s="19"/>
      <c r="G1042" s="19"/>
      <c r="H1042" s="19"/>
      <c r="I1042" s="19"/>
      <c r="J1042" s="19"/>
    </row>
    <row r="1043" spans="1:10">
      <c r="A1043" s="19"/>
      <c r="B1043" s="19"/>
      <c r="C1043" s="19"/>
      <c r="D1043" s="19"/>
      <c r="E1043" s="19"/>
      <c r="F1043" s="19"/>
      <c r="G1043" s="19"/>
      <c r="H1043" s="19"/>
      <c r="I1043" s="19"/>
      <c r="J1043" s="19"/>
    </row>
    <row r="1044" spans="1:10">
      <c r="A1044" s="19"/>
      <c r="B1044" s="19"/>
      <c r="C1044" s="19"/>
      <c r="D1044" s="19"/>
      <c r="E1044" s="19"/>
      <c r="F1044" s="19"/>
      <c r="G1044" s="19"/>
      <c r="H1044" s="19"/>
      <c r="I1044" s="19"/>
      <c r="J1044" s="19"/>
    </row>
    <row r="1045" spans="1:10">
      <c r="A1045" s="19"/>
      <c r="B1045" s="19"/>
      <c r="C1045" s="19"/>
      <c r="D1045" s="19"/>
      <c r="E1045" s="19"/>
      <c r="F1045" s="19"/>
      <c r="G1045" s="19"/>
      <c r="H1045" s="19"/>
      <c r="I1045" s="19"/>
      <c r="J1045" s="19"/>
    </row>
    <row r="1046" spans="1:10">
      <c r="A1046" s="19"/>
      <c r="B1046" s="19"/>
      <c r="C1046" s="19"/>
      <c r="D1046" s="19"/>
      <c r="E1046" s="19"/>
      <c r="F1046" s="19"/>
      <c r="G1046" s="19"/>
      <c r="H1046" s="19"/>
      <c r="I1046" s="19"/>
      <c r="J1046" s="19"/>
    </row>
    <row r="1047" spans="1:10">
      <c r="A1047" s="19"/>
      <c r="B1047" s="19"/>
      <c r="C1047" s="19"/>
      <c r="D1047" s="19"/>
      <c r="E1047" s="19"/>
      <c r="F1047" s="19"/>
      <c r="G1047" s="19"/>
      <c r="H1047" s="19"/>
      <c r="I1047" s="19"/>
      <c r="J1047" s="19"/>
    </row>
    <row r="1048" spans="1:10">
      <c r="A1048" s="19"/>
      <c r="B1048" s="19"/>
      <c r="C1048" s="19"/>
      <c r="D1048" s="19"/>
      <c r="E1048" s="19"/>
      <c r="F1048" s="19"/>
      <c r="G1048" s="19"/>
      <c r="H1048" s="19"/>
      <c r="I1048" s="19"/>
      <c r="J1048" s="19"/>
    </row>
    <row r="1049" spans="1:10">
      <c r="A1049" s="19"/>
      <c r="B1049" s="19"/>
      <c r="C1049" s="19"/>
      <c r="D1049" s="19"/>
      <c r="E1049" s="19"/>
      <c r="F1049" s="19"/>
      <c r="G1049" s="19"/>
      <c r="H1049" s="19"/>
      <c r="I1049" s="19"/>
      <c r="J1049" s="19"/>
    </row>
    <row r="1050" spans="1:10">
      <c r="A1050" s="19"/>
      <c r="B1050" s="19"/>
      <c r="C1050" s="19"/>
      <c r="D1050" s="19"/>
      <c r="E1050" s="19"/>
      <c r="F1050" s="19"/>
      <c r="G1050" s="19"/>
      <c r="H1050" s="19"/>
      <c r="I1050" s="19"/>
      <c r="J1050" s="19"/>
    </row>
    <row r="1051" spans="1:10">
      <c r="A1051" s="19"/>
      <c r="B1051" s="19"/>
      <c r="C1051" s="19"/>
      <c r="D1051" s="19"/>
      <c r="E1051" s="19"/>
      <c r="F1051" s="19"/>
      <c r="G1051" s="19"/>
      <c r="H1051" s="19"/>
      <c r="I1051" s="19"/>
      <c r="J1051" s="19"/>
    </row>
    <row r="1052" spans="1:10">
      <c r="A1052" s="19"/>
      <c r="B1052" s="19"/>
      <c r="C1052" s="19"/>
      <c r="D1052" s="19"/>
      <c r="E1052" s="19"/>
      <c r="F1052" s="19"/>
      <c r="G1052" s="19"/>
      <c r="H1052" s="19"/>
      <c r="I1052" s="19"/>
      <c r="J1052" s="19"/>
    </row>
    <row r="1053" spans="1:10">
      <c r="A1053" s="19"/>
      <c r="B1053" s="19"/>
      <c r="C1053" s="19"/>
      <c r="D1053" s="19"/>
      <c r="E1053" s="19"/>
      <c r="F1053" s="19"/>
      <c r="G1053" s="19"/>
      <c r="H1053" s="19"/>
      <c r="I1053" s="19"/>
      <c r="J1053" s="19"/>
    </row>
    <row r="1054" spans="1:10">
      <c r="A1054" s="19"/>
      <c r="B1054" s="19"/>
      <c r="C1054" s="19"/>
      <c r="D1054" s="19"/>
      <c r="E1054" s="19"/>
      <c r="F1054" s="19"/>
      <c r="G1054" s="19"/>
      <c r="H1054" s="19"/>
      <c r="I1054" s="19"/>
      <c r="J1054" s="19"/>
    </row>
    <row r="1055" spans="1:10">
      <c r="A1055" s="19"/>
      <c r="B1055" s="19"/>
      <c r="C1055" s="19"/>
      <c r="D1055" s="19"/>
      <c r="E1055" s="19"/>
      <c r="F1055" s="19"/>
      <c r="G1055" s="19"/>
      <c r="H1055" s="19"/>
      <c r="I1055" s="19"/>
      <c r="J1055" s="19"/>
    </row>
    <row r="1056" spans="1:10">
      <c r="A1056" s="19"/>
      <c r="B1056" s="19"/>
      <c r="C1056" s="19"/>
      <c r="D1056" s="19"/>
      <c r="E1056" s="19"/>
      <c r="F1056" s="19"/>
      <c r="G1056" s="19"/>
      <c r="H1056" s="19"/>
      <c r="I1056" s="19"/>
      <c r="J1056" s="19"/>
    </row>
    <row r="1057" spans="1:10">
      <c r="A1057" s="19"/>
      <c r="B1057" s="19"/>
      <c r="C1057" s="19"/>
      <c r="D1057" s="19"/>
      <c r="E1057" s="19"/>
      <c r="F1057" s="19"/>
      <c r="G1057" s="19"/>
      <c r="H1057" s="19"/>
      <c r="I1057" s="19"/>
      <c r="J1057" s="19"/>
    </row>
    <row r="1058" spans="1:10">
      <c r="A1058" s="19"/>
      <c r="B1058" s="19"/>
      <c r="C1058" s="19"/>
      <c r="D1058" s="19"/>
      <c r="E1058" s="19"/>
      <c r="F1058" s="19"/>
      <c r="G1058" s="19"/>
      <c r="H1058" s="19"/>
      <c r="I1058" s="19"/>
      <c r="J1058" s="19"/>
    </row>
    <row r="1059" spans="1:10">
      <c r="A1059" s="19"/>
      <c r="B1059" s="19"/>
      <c r="C1059" s="19"/>
      <c r="D1059" s="19"/>
      <c r="E1059" s="19"/>
      <c r="F1059" s="19"/>
      <c r="G1059" s="19"/>
      <c r="H1059" s="19"/>
      <c r="I1059" s="19"/>
      <c r="J1059" s="19"/>
    </row>
    <row r="1060" spans="1:10">
      <c r="A1060" s="19"/>
      <c r="B1060" s="19"/>
      <c r="C1060" s="19"/>
      <c r="D1060" s="19"/>
      <c r="E1060" s="19"/>
      <c r="F1060" s="19"/>
      <c r="G1060" s="19"/>
      <c r="H1060" s="19"/>
      <c r="I1060" s="19"/>
      <c r="J1060" s="19"/>
    </row>
    <row r="1061" spans="1:10">
      <c r="A1061" s="19"/>
      <c r="B1061" s="19"/>
      <c r="C1061" s="19"/>
      <c r="D1061" s="19"/>
      <c r="E1061" s="19"/>
      <c r="F1061" s="19"/>
      <c r="G1061" s="19"/>
      <c r="H1061" s="19"/>
      <c r="I1061" s="19"/>
      <c r="J1061" s="19"/>
    </row>
    <row r="1062" spans="1:10">
      <c r="A1062" s="19"/>
      <c r="B1062" s="19"/>
      <c r="C1062" s="19"/>
      <c r="D1062" s="19"/>
      <c r="E1062" s="19"/>
      <c r="F1062" s="19"/>
      <c r="G1062" s="19"/>
      <c r="H1062" s="19"/>
      <c r="I1062" s="19"/>
      <c r="J1062" s="19"/>
    </row>
    <row r="1063" spans="1:10">
      <c r="A1063" s="19"/>
      <c r="B1063" s="19"/>
      <c r="C1063" s="19"/>
      <c r="D1063" s="19"/>
      <c r="E1063" s="19"/>
      <c r="F1063" s="19"/>
      <c r="G1063" s="19"/>
      <c r="H1063" s="19"/>
      <c r="I1063" s="19"/>
      <c r="J1063" s="19"/>
    </row>
    <row r="1064" spans="1:10">
      <c r="A1064" s="19"/>
      <c r="B1064" s="19"/>
      <c r="C1064" s="19"/>
      <c r="D1064" s="19"/>
      <c r="E1064" s="19"/>
      <c r="F1064" s="19"/>
      <c r="G1064" s="19"/>
      <c r="H1064" s="19"/>
      <c r="I1064" s="19"/>
      <c r="J1064" s="19"/>
    </row>
    <row r="1065" spans="1:10">
      <c r="A1065" s="19"/>
      <c r="B1065" s="19"/>
      <c r="C1065" s="19"/>
      <c r="D1065" s="19"/>
      <c r="E1065" s="19"/>
      <c r="F1065" s="19"/>
      <c r="G1065" s="19"/>
      <c r="H1065" s="19"/>
      <c r="I1065" s="19"/>
      <c r="J1065" s="19"/>
    </row>
    <row r="1066" spans="1:10">
      <c r="A1066" s="19"/>
      <c r="B1066" s="19"/>
      <c r="C1066" s="19"/>
      <c r="D1066" s="19"/>
      <c r="E1066" s="19"/>
      <c r="F1066" s="19"/>
      <c r="G1066" s="19"/>
      <c r="H1066" s="19"/>
      <c r="I1066" s="19"/>
      <c r="J1066" s="19"/>
    </row>
    <row r="1067" spans="1:10">
      <c r="A1067" s="19"/>
      <c r="B1067" s="19"/>
      <c r="C1067" s="19"/>
      <c r="D1067" s="19"/>
      <c r="E1067" s="19"/>
      <c r="F1067" s="19"/>
      <c r="G1067" s="19"/>
      <c r="H1067" s="19"/>
      <c r="I1067" s="19"/>
      <c r="J1067" s="19"/>
    </row>
    <row r="1068" spans="1:10">
      <c r="A1068" s="19"/>
      <c r="B1068" s="19"/>
      <c r="C1068" s="19"/>
      <c r="D1068" s="19"/>
      <c r="E1068" s="19"/>
      <c r="F1068" s="19"/>
      <c r="G1068" s="19"/>
      <c r="H1068" s="19"/>
      <c r="I1068" s="19"/>
      <c r="J1068" s="19"/>
    </row>
    <row r="1069" spans="1:10">
      <c r="A1069" s="19"/>
      <c r="B1069" s="19"/>
      <c r="C1069" s="19"/>
      <c r="D1069" s="19"/>
      <c r="E1069" s="19"/>
      <c r="F1069" s="19"/>
      <c r="G1069" s="19"/>
      <c r="H1069" s="19"/>
      <c r="I1069" s="19"/>
      <c r="J1069" s="19"/>
    </row>
    <row r="1070" spans="1:10">
      <c r="A1070" s="19"/>
      <c r="B1070" s="19"/>
      <c r="C1070" s="19"/>
      <c r="D1070" s="19"/>
      <c r="E1070" s="19"/>
      <c r="F1070" s="19"/>
      <c r="G1070" s="19"/>
      <c r="H1070" s="19"/>
      <c r="I1070" s="19"/>
      <c r="J1070" s="19"/>
    </row>
    <row r="1071" spans="1:10">
      <c r="A1071" s="19"/>
      <c r="B1071" s="19"/>
      <c r="C1071" s="19"/>
      <c r="D1071" s="19"/>
      <c r="E1071" s="19"/>
      <c r="F1071" s="19"/>
      <c r="G1071" s="19"/>
      <c r="H1071" s="19"/>
      <c r="I1071" s="19"/>
      <c r="J1071" s="19"/>
    </row>
    <row r="1072" spans="1:10">
      <c r="A1072" s="19"/>
      <c r="B1072" s="19"/>
      <c r="C1072" s="19"/>
      <c r="D1072" s="19"/>
      <c r="E1072" s="19"/>
      <c r="F1072" s="19"/>
      <c r="G1072" s="19"/>
      <c r="H1072" s="19"/>
      <c r="I1072" s="19"/>
      <c r="J1072" s="19"/>
    </row>
    <row r="1073" spans="1:10">
      <c r="A1073" s="19"/>
      <c r="B1073" s="19"/>
      <c r="C1073" s="19"/>
      <c r="D1073" s="19"/>
      <c r="E1073" s="19"/>
      <c r="F1073" s="19"/>
      <c r="G1073" s="19"/>
      <c r="H1073" s="19"/>
      <c r="I1073" s="19"/>
      <c r="J1073" s="19"/>
    </row>
    <row r="1074" spans="1:10">
      <c r="A1074" s="19"/>
      <c r="B1074" s="19"/>
      <c r="C1074" s="19"/>
      <c r="D1074" s="19"/>
      <c r="E1074" s="19"/>
      <c r="F1074" s="19"/>
      <c r="G1074" s="19"/>
      <c r="H1074" s="19"/>
      <c r="I1074" s="19"/>
      <c r="J1074" s="19"/>
    </row>
    <row r="1075" spans="1:10">
      <c r="A1075" s="19"/>
      <c r="B1075" s="19"/>
      <c r="C1075" s="19"/>
      <c r="D1075" s="19"/>
      <c r="E1075" s="19"/>
      <c r="F1075" s="19"/>
      <c r="G1075" s="19"/>
      <c r="H1075" s="19"/>
      <c r="I1075" s="19"/>
      <c r="J1075" s="19"/>
    </row>
    <row r="1076" spans="1:10">
      <c r="A1076" s="19"/>
      <c r="B1076" s="19"/>
      <c r="C1076" s="19"/>
      <c r="D1076" s="19"/>
      <c r="E1076" s="19"/>
      <c r="F1076" s="19"/>
      <c r="G1076" s="19"/>
      <c r="H1076" s="19"/>
      <c r="I1076" s="19"/>
      <c r="J1076" s="19"/>
    </row>
    <row r="1077" spans="1:10">
      <c r="A1077" s="19"/>
      <c r="B1077" s="19"/>
      <c r="C1077" s="19"/>
      <c r="D1077" s="19"/>
      <c r="E1077" s="19"/>
      <c r="F1077" s="19"/>
      <c r="G1077" s="19"/>
      <c r="H1077" s="19"/>
      <c r="I1077" s="19"/>
      <c r="J1077" s="19"/>
    </row>
    <row r="1078" spans="1:10">
      <c r="A1078" s="19"/>
      <c r="B1078" s="19"/>
      <c r="C1078" s="19"/>
      <c r="D1078" s="19"/>
      <c r="E1078" s="19"/>
      <c r="F1078" s="19"/>
      <c r="G1078" s="19"/>
      <c r="H1078" s="19"/>
      <c r="I1078" s="19"/>
      <c r="J1078" s="19"/>
    </row>
    <row r="1079" spans="1:10">
      <c r="A1079" s="19"/>
      <c r="B1079" s="19"/>
      <c r="C1079" s="19"/>
      <c r="D1079" s="19"/>
      <c r="E1079" s="19"/>
      <c r="F1079" s="19"/>
      <c r="G1079" s="19"/>
      <c r="H1079" s="19"/>
      <c r="I1079" s="19"/>
      <c r="J1079" s="19"/>
    </row>
    <row r="1080" spans="1:10">
      <c r="A1080" s="19"/>
      <c r="B1080" s="19"/>
      <c r="C1080" s="19"/>
      <c r="D1080" s="19"/>
      <c r="E1080" s="19"/>
      <c r="F1080" s="19"/>
      <c r="G1080" s="19"/>
      <c r="H1080" s="19"/>
      <c r="I1080" s="19"/>
      <c r="J1080" s="19"/>
    </row>
    <row r="1081" spans="1:10">
      <c r="A1081" s="19"/>
      <c r="B1081" s="19"/>
      <c r="C1081" s="19"/>
      <c r="D1081" s="19"/>
      <c r="E1081" s="19"/>
      <c r="F1081" s="19"/>
      <c r="G1081" s="19"/>
      <c r="H1081" s="19"/>
      <c r="I1081" s="19"/>
      <c r="J1081" s="19"/>
    </row>
    <row r="1082" spans="1:10">
      <c r="A1082" s="19"/>
      <c r="B1082" s="19"/>
      <c r="C1082" s="19"/>
      <c r="D1082" s="19"/>
      <c r="E1082" s="19"/>
      <c r="F1082" s="19"/>
      <c r="G1082" s="19"/>
      <c r="H1082" s="19"/>
      <c r="I1082" s="19"/>
      <c r="J1082" s="19"/>
    </row>
    <row r="1083" spans="1:10">
      <c r="A1083" s="19"/>
      <c r="B1083" s="19"/>
      <c r="C1083" s="19"/>
      <c r="D1083" s="19"/>
      <c r="E1083" s="19"/>
      <c r="F1083" s="19"/>
      <c r="G1083" s="19"/>
      <c r="H1083" s="19"/>
      <c r="I1083" s="19"/>
      <c r="J1083" s="19"/>
    </row>
    <row r="1084" spans="1:10">
      <c r="A1084" s="19"/>
      <c r="B1084" s="19"/>
      <c r="C1084" s="19"/>
      <c r="D1084" s="19"/>
      <c r="E1084" s="19"/>
      <c r="F1084" s="19"/>
      <c r="G1084" s="19"/>
      <c r="H1084" s="19"/>
      <c r="I1084" s="19"/>
      <c r="J1084" s="19"/>
    </row>
    <row r="1085" spans="1:10">
      <c r="A1085" s="19"/>
      <c r="B1085" s="19"/>
      <c r="C1085" s="19"/>
      <c r="D1085" s="19"/>
      <c r="E1085" s="19"/>
      <c r="F1085" s="19"/>
      <c r="G1085" s="19"/>
      <c r="H1085" s="19"/>
      <c r="I1085" s="19"/>
      <c r="J1085" s="19"/>
    </row>
    <row r="1086" spans="1:10">
      <c r="A1086" s="19"/>
      <c r="B1086" s="19"/>
      <c r="C1086" s="19"/>
      <c r="D1086" s="19"/>
      <c r="E1086" s="19"/>
      <c r="F1086" s="19"/>
      <c r="G1086" s="19"/>
      <c r="H1086" s="19"/>
      <c r="I1086" s="19"/>
      <c r="J1086" s="19"/>
    </row>
    <row r="1087" spans="1:10">
      <c r="A1087" s="19"/>
      <c r="B1087" s="19"/>
      <c r="C1087" s="19"/>
      <c r="D1087" s="19"/>
      <c r="E1087" s="19"/>
      <c r="F1087" s="19"/>
      <c r="G1087" s="19"/>
      <c r="H1087" s="19"/>
      <c r="I1087" s="19"/>
      <c r="J1087" s="19"/>
    </row>
    <row r="1088" spans="1:10">
      <c r="A1088" s="19"/>
      <c r="B1088" s="19"/>
      <c r="C1088" s="19"/>
      <c r="D1088" s="19"/>
      <c r="E1088" s="19"/>
      <c r="F1088" s="19"/>
      <c r="G1088" s="19"/>
      <c r="H1088" s="19"/>
      <c r="I1088" s="19"/>
      <c r="J1088" s="19"/>
    </row>
    <row r="1089" spans="1:10">
      <c r="A1089" s="19"/>
      <c r="B1089" s="19"/>
      <c r="C1089" s="19"/>
      <c r="D1089" s="19"/>
      <c r="E1089" s="19"/>
      <c r="F1089" s="19"/>
      <c r="G1089" s="19"/>
      <c r="H1089" s="19"/>
      <c r="I1089" s="19"/>
      <c r="J1089" s="19"/>
    </row>
    <row r="1090" spans="1:10">
      <c r="A1090" s="19"/>
      <c r="B1090" s="19"/>
      <c r="C1090" s="19"/>
      <c r="D1090" s="19"/>
      <c r="E1090" s="19"/>
      <c r="F1090" s="19"/>
      <c r="G1090" s="19"/>
      <c r="H1090" s="19"/>
      <c r="I1090" s="19"/>
      <c r="J1090" s="19"/>
    </row>
    <row r="1091" spans="1:10">
      <c r="A1091" s="19"/>
      <c r="B1091" s="19"/>
      <c r="C1091" s="19"/>
      <c r="D1091" s="19"/>
      <c r="E1091" s="19"/>
      <c r="F1091" s="19"/>
      <c r="G1091" s="19"/>
      <c r="H1091" s="19"/>
      <c r="I1091" s="19"/>
      <c r="J1091" s="19"/>
    </row>
    <row r="1092" spans="1:10">
      <c r="A1092" s="19"/>
      <c r="B1092" s="19"/>
      <c r="C1092" s="19"/>
      <c r="D1092" s="19"/>
      <c r="E1092" s="19"/>
      <c r="F1092" s="19"/>
      <c r="G1092" s="19"/>
      <c r="H1092" s="19"/>
      <c r="I1092" s="19"/>
      <c r="J1092" s="19"/>
    </row>
    <row r="1093" spans="1:10">
      <c r="A1093" s="19"/>
      <c r="B1093" s="19"/>
      <c r="C1093" s="19"/>
      <c r="D1093" s="19"/>
      <c r="E1093" s="19"/>
      <c r="F1093" s="19"/>
      <c r="G1093" s="19"/>
      <c r="H1093" s="19"/>
      <c r="I1093" s="19"/>
      <c r="J1093" s="19"/>
    </row>
    <row r="1094" spans="1:10">
      <c r="A1094" s="19"/>
      <c r="B1094" s="19"/>
      <c r="C1094" s="19"/>
      <c r="D1094" s="19"/>
      <c r="E1094" s="19"/>
      <c r="F1094" s="19"/>
      <c r="G1094" s="19"/>
      <c r="H1094" s="19"/>
      <c r="I1094" s="19"/>
      <c r="J1094" s="19"/>
    </row>
    <row r="1095" spans="1:10">
      <c r="A1095" s="19"/>
      <c r="B1095" s="19"/>
      <c r="C1095" s="19"/>
      <c r="D1095" s="19"/>
      <c r="E1095" s="19"/>
      <c r="F1095" s="19"/>
      <c r="G1095" s="19"/>
      <c r="H1095" s="19"/>
      <c r="I1095" s="19"/>
      <c r="J1095" s="19"/>
    </row>
    <row r="1096" spans="1:10">
      <c r="A1096" s="19"/>
      <c r="B1096" s="19"/>
      <c r="C1096" s="19"/>
      <c r="D1096" s="19"/>
      <c r="E1096" s="19"/>
      <c r="F1096" s="19"/>
      <c r="G1096" s="19"/>
      <c r="H1096" s="19"/>
      <c r="I1096" s="19"/>
      <c r="J1096" s="19"/>
    </row>
    <row r="1097" spans="1:10">
      <c r="A1097" s="19"/>
      <c r="B1097" s="19"/>
      <c r="C1097" s="19"/>
      <c r="D1097" s="19"/>
      <c r="E1097" s="19"/>
      <c r="F1097" s="19"/>
      <c r="G1097" s="19"/>
      <c r="H1097" s="19"/>
      <c r="I1097" s="19"/>
      <c r="J1097" s="19"/>
    </row>
    <row r="1098" spans="1:10">
      <c r="A1098" s="19"/>
      <c r="B1098" s="19"/>
      <c r="C1098" s="19"/>
      <c r="D1098" s="19"/>
      <c r="E1098" s="19"/>
      <c r="F1098" s="19"/>
      <c r="G1098" s="19"/>
      <c r="H1098" s="19"/>
      <c r="I1098" s="19"/>
      <c r="J1098" s="19"/>
    </row>
    <row r="1099" spans="1:10">
      <c r="A1099" s="19"/>
      <c r="B1099" s="19"/>
      <c r="C1099" s="19"/>
      <c r="D1099" s="19"/>
      <c r="E1099" s="19"/>
      <c r="F1099" s="19"/>
      <c r="G1099" s="19"/>
      <c r="H1099" s="19"/>
      <c r="I1099" s="19"/>
      <c r="J1099" s="19"/>
    </row>
    <row r="1100" spans="1:10">
      <c r="A1100" s="19"/>
      <c r="B1100" s="19"/>
      <c r="C1100" s="19"/>
      <c r="D1100" s="19"/>
      <c r="E1100" s="19"/>
      <c r="F1100" s="19"/>
      <c r="G1100" s="19"/>
      <c r="H1100" s="19"/>
      <c r="I1100" s="19"/>
      <c r="J1100" s="19"/>
    </row>
    <row r="1101" spans="1:10">
      <c r="A1101" s="19"/>
      <c r="B1101" s="19"/>
      <c r="C1101" s="19"/>
      <c r="D1101" s="19"/>
      <c r="E1101" s="19"/>
      <c r="F1101" s="19"/>
      <c r="G1101" s="19"/>
      <c r="H1101" s="19"/>
      <c r="I1101" s="19"/>
      <c r="J1101" s="19"/>
    </row>
    <row r="1102" spans="1:10">
      <c r="A1102" s="19"/>
      <c r="B1102" s="19"/>
      <c r="C1102" s="19"/>
      <c r="D1102" s="19"/>
      <c r="E1102" s="19"/>
      <c r="F1102" s="19"/>
      <c r="G1102" s="19"/>
      <c r="H1102" s="19"/>
      <c r="I1102" s="19"/>
      <c r="J1102" s="19"/>
    </row>
    <row r="1103" spans="1:10">
      <c r="A1103" s="19"/>
      <c r="B1103" s="19"/>
      <c r="C1103" s="19"/>
      <c r="D1103" s="19"/>
      <c r="E1103" s="19"/>
      <c r="F1103" s="19"/>
      <c r="G1103" s="19"/>
      <c r="H1103" s="19"/>
      <c r="I1103" s="19"/>
      <c r="J1103" s="19"/>
    </row>
    <row r="1104" spans="1:10">
      <c r="A1104" s="19"/>
      <c r="B1104" s="19"/>
      <c r="C1104" s="19"/>
      <c r="D1104" s="19"/>
      <c r="E1104" s="19"/>
      <c r="F1104" s="19"/>
      <c r="G1104" s="19"/>
      <c r="H1104" s="19"/>
      <c r="I1104" s="19"/>
      <c r="J1104" s="19"/>
    </row>
    <row r="1105" spans="1:10">
      <c r="A1105" s="19"/>
      <c r="B1105" s="19"/>
      <c r="C1105" s="19"/>
      <c r="D1105" s="19"/>
      <c r="E1105" s="19"/>
      <c r="F1105" s="19"/>
      <c r="G1105" s="19"/>
      <c r="H1105" s="19"/>
      <c r="I1105" s="19"/>
      <c r="J1105" s="19"/>
    </row>
    <row r="1106" spans="1:10">
      <c r="A1106" s="19"/>
      <c r="B1106" s="19"/>
      <c r="C1106" s="19"/>
      <c r="D1106" s="19"/>
      <c r="E1106" s="19"/>
      <c r="F1106" s="19"/>
      <c r="G1106" s="19"/>
      <c r="H1106" s="19"/>
      <c r="I1106" s="19"/>
      <c r="J1106" s="19"/>
    </row>
    <row r="1107" spans="1:10">
      <c r="A1107" s="19"/>
      <c r="B1107" s="19"/>
      <c r="C1107" s="19"/>
      <c r="D1107" s="19"/>
      <c r="E1107" s="19"/>
      <c r="F1107" s="19"/>
      <c r="G1107" s="19"/>
      <c r="H1107" s="19"/>
      <c r="I1107" s="19"/>
      <c r="J1107" s="19"/>
    </row>
    <row r="1108" spans="1:10">
      <c r="A1108" s="19"/>
      <c r="B1108" s="19"/>
      <c r="C1108" s="19"/>
      <c r="D1108" s="19"/>
      <c r="E1108" s="19"/>
      <c r="F1108" s="19"/>
      <c r="G1108" s="19"/>
      <c r="H1108" s="19"/>
      <c r="I1108" s="19"/>
      <c r="J1108" s="19"/>
    </row>
    <row r="1109" spans="1:10">
      <c r="A1109" s="19"/>
      <c r="B1109" s="19"/>
      <c r="C1109" s="19"/>
      <c r="D1109" s="19"/>
      <c r="E1109" s="19"/>
      <c r="F1109" s="19"/>
      <c r="G1109" s="19"/>
      <c r="H1109" s="19"/>
      <c r="I1109" s="19"/>
      <c r="J1109" s="19"/>
    </row>
    <row r="1110" spans="1:10">
      <c r="A1110" s="19"/>
      <c r="B1110" s="19"/>
      <c r="C1110" s="19"/>
      <c r="D1110" s="19"/>
      <c r="E1110" s="19"/>
      <c r="F1110" s="19"/>
      <c r="G1110" s="19"/>
      <c r="H1110" s="19"/>
      <c r="I1110" s="19"/>
      <c r="J1110" s="19"/>
    </row>
    <row r="1111" spans="1:10">
      <c r="A1111" s="19"/>
      <c r="B1111" s="19"/>
      <c r="C1111" s="19"/>
      <c r="D1111" s="19"/>
      <c r="E1111" s="19"/>
      <c r="F1111" s="19"/>
      <c r="G1111" s="19"/>
      <c r="H1111" s="19"/>
      <c r="I1111" s="19"/>
      <c r="J1111" s="19"/>
    </row>
    <row r="1112" spans="1:10">
      <c r="A1112" s="19"/>
      <c r="B1112" s="19"/>
      <c r="C1112" s="19"/>
      <c r="D1112" s="19"/>
      <c r="E1112" s="19"/>
      <c r="F1112" s="19"/>
      <c r="G1112" s="19"/>
      <c r="H1112" s="19"/>
      <c r="I1112" s="19"/>
      <c r="J1112" s="19"/>
    </row>
    <row r="1113" spans="1:10">
      <c r="A1113" s="19"/>
      <c r="B1113" s="19"/>
      <c r="C1113" s="19"/>
      <c r="D1113" s="19"/>
      <c r="E1113" s="19"/>
      <c r="F1113" s="19"/>
      <c r="G1113" s="19"/>
      <c r="H1113" s="19"/>
      <c r="I1113" s="19"/>
      <c r="J1113" s="19"/>
    </row>
    <row r="1114" spans="1:10">
      <c r="A1114" s="19"/>
      <c r="B1114" s="19"/>
      <c r="C1114" s="19"/>
      <c r="D1114" s="19"/>
      <c r="E1114" s="19"/>
      <c r="F1114" s="19"/>
      <c r="G1114" s="19"/>
      <c r="H1114" s="19"/>
      <c r="I1114" s="19"/>
      <c r="J1114" s="19"/>
    </row>
    <row r="1115" spans="1:10">
      <c r="A1115" s="19"/>
      <c r="B1115" s="19"/>
      <c r="C1115" s="19"/>
      <c r="D1115" s="19"/>
      <c r="E1115" s="19"/>
      <c r="F1115" s="19"/>
      <c r="G1115" s="19"/>
      <c r="H1115" s="19"/>
      <c r="I1115" s="19"/>
      <c r="J1115" s="19"/>
    </row>
    <row r="1116" spans="1:10">
      <c r="A1116" s="19"/>
      <c r="B1116" s="19"/>
      <c r="C1116" s="19"/>
      <c r="D1116" s="19"/>
      <c r="E1116" s="19"/>
      <c r="F1116" s="19"/>
      <c r="G1116" s="19"/>
      <c r="H1116" s="19"/>
      <c r="I1116" s="19"/>
      <c r="J1116" s="19"/>
    </row>
    <row r="1117" spans="1:10">
      <c r="A1117" s="19"/>
      <c r="B1117" s="19"/>
      <c r="C1117" s="19"/>
      <c r="D1117" s="19"/>
      <c r="E1117" s="19"/>
      <c r="F1117" s="19"/>
      <c r="G1117" s="19"/>
      <c r="H1117" s="19"/>
      <c r="I1117" s="19"/>
      <c r="J1117" s="19"/>
    </row>
    <row r="1118" spans="1:10">
      <c r="A1118" s="19"/>
      <c r="B1118" s="19"/>
      <c r="C1118" s="19"/>
      <c r="D1118" s="19"/>
      <c r="E1118" s="19"/>
      <c r="F1118" s="19"/>
      <c r="G1118" s="19"/>
      <c r="H1118" s="19"/>
      <c r="I1118" s="19"/>
      <c r="J1118" s="19"/>
    </row>
    <row r="1119" spans="1:10">
      <c r="A1119" s="19"/>
      <c r="B1119" s="19"/>
      <c r="C1119" s="19"/>
      <c r="D1119" s="19"/>
      <c r="E1119" s="19"/>
      <c r="F1119" s="19"/>
      <c r="G1119" s="19"/>
      <c r="H1119" s="19"/>
      <c r="I1119" s="19"/>
      <c r="J1119" s="19"/>
    </row>
    <row r="1120" spans="1:10">
      <c r="A1120" s="19"/>
      <c r="B1120" s="19"/>
      <c r="C1120" s="19"/>
      <c r="D1120" s="19"/>
      <c r="E1120" s="19"/>
      <c r="F1120" s="19"/>
      <c r="G1120" s="19"/>
      <c r="H1120" s="19"/>
      <c r="I1120" s="19"/>
      <c r="J1120" s="19"/>
    </row>
    <row r="1121" spans="1:10">
      <c r="A1121" s="19"/>
      <c r="B1121" s="19"/>
      <c r="C1121" s="19"/>
      <c r="D1121" s="19"/>
      <c r="E1121" s="19"/>
      <c r="F1121" s="19"/>
      <c r="G1121" s="19"/>
      <c r="H1121" s="19"/>
      <c r="I1121" s="19"/>
      <c r="J1121" s="19"/>
    </row>
    <row r="1122" spans="1:10">
      <c r="A1122" s="19"/>
      <c r="B1122" s="19"/>
      <c r="C1122" s="19"/>
      <c r="D1122" s="19"/>
      <c r="E1122" s="19"/>
      <c r="F1122" s="19"/>
      <c r="G1122" s="19"/>
      <c r="H1122" s="19"/>
      <c r="I1122" s="19"/>
      <c r="J1122" s="19"/>
    </row>
    <row r="1123" spans="1:10">
      <c r="A1123" s="19"/>
      <c r="B1123" s="19"/>
      <c r="C1123" s="19"/>
      <c r="D1123" s="19"/>
      <c r="E1123" s="19"/>
      <c r="F1123" s="19"/>
      <c r="G1123" s="19"/>
      <c r="H1123" s="19"/>
      <c r="I1123" s="19"/>
      <c r="J1123" s="19"/>
    </row>
    <row r="1124" spans="1:10">
      <c r="A1124" s="19"/>
      <c r="B1124" s="19"/>
      <c r="C1124" s="19"/>
      <c r="D1124" s="19"/>
      <c r="E1124" s="19"/>
      <c r="F1124" s="19"/>
      <c r="G1124" s="19"/>
      <c r="H1124" s="19"/>
      <c r="I1124" s="19"/>
      <c r="J1124" s="19"/>
    </row>
    <row r="1125" spans="1:10">
      <c r="A1125" s="19"/>
      <c r="B1125" s="19"/>
      <c r="C1125" s="19"/>
      <c r="D1125" s="19"/>
      <c r="E1125" s="19"/>
      <c r="F1125" s="19"/>
      <c r="G1125" s="19"/>
      <c r="H1125" s="19"/>
      <c r="I1125" s="19"/>
      <c r="J1125" s="19"/>
    </row>
    <row r="1126" spans="1:10">
      <c r="A1126" s="19"/>
      <c r="B1126" s="19"/>
      <c r="C1126" s="19"/>
      <c r="D1126" s="19"/>
      <c r="E1126" s="19"/>
      <c r="F1126" s="19"/>
      <c r="G1126" s="19"/>
      <c r="H1126" s="19"/>
      <c r="I1126" s="19"/>
      <c r="J1126" s="19"/>
    </row>
    <row r="1127" spans="1:10">
      <c r="A1127" s="19"/>
      <c r="B1127" s="19"/>
      <c r="C1127" s="19"/>
      <c r="D1127" s="19"/>
      <c r="E1127" s="19"/>
      <c r="F1127" s="19"/>
      <c r="G1127" s="19"/>
      <c r="H1127" s="19"/>
      <c r="I1127" s="19"/>
      <c r="J1127" s="19"/>
    </row>
    <row r="1128" spans="1:10">
      <c r="A1128" s="19"/>
      <c r="B1128" s="19"/>
      <c r="C1128" s="19"/>
      <c r="D1128" s="19"/>
      <c r="E1128" s="19"/>
      <c r="F1128" s="19"/>
      <c r="G1128" s="19"/>
      <c r="H1128" s="19"/>
      <c r="I1128" s="19"/>
      <c r="J1128" s="19"/>
    </row>
    <row r="1129" spans="1:10">
      <c r="A1129" s="19"/>
      <c r="B1129" s="19"/>
      <c r="C1129" s="19"/>
      <c r="D1129" s="19"/>
      <c r="E1129" s="19"/>
      <c r="F1129" s="19"/>
      <c r="G1129" s="19"/>
      <c r="H1129" s="19"/>
      <c r="I1129" s="19"/>
      <c r="J1129" s="19"/>
    </row>
    <row r="1130" spans="1:10">
      <c r="A1130" s="19"/>
      <c r="B1130" s="19"/>
      <c r="C1130" s="19"/>
      <c r="D1130" s="19"/>
      <c r="E1130" s="19"/>
      <c r="F1130" s="19"/>
      <c r="G1130" s="19"/>
      <c r="H1130" s="19"/>
      <c r="I1130" s="19"/>
      <c r="J1130" s="19"/>
    </row>
    <row r="1131" spans="1:10">
      <c r="A1131" s="19"/>
      <c r="B1131" s="19"/>
      <c r="C1131" s="19"/>
      <c r="D1131" s="19"/>
      <c r="E1131" s="19"/>
      <c r="F1131" s="19"/>
      <c r="G1131" s="19"/>
      <c r="H1131" s="19"/>
      <c r="I1131" s="19"/>
      <c r="J1131" s="19"/>
    </row>
    <row r="1132" spans="1:10">
      <c r="A1132" s="19"/>
      <c r="B1132" s="19"/>
      <c r="C1132" s="19"/>
      <c r="D1132" s="19"/>
      <c r="E1132" s="19"/>
      <c r="F1132" s="19"/>
      <c r="G1132" s="19"/>
      <c r="H1132" s="19"/>
      <c r="I1132" s="19"/>
      <c r="J1132" s="19"/>
    </row>
    <row r="1133" spans="1:10">
      <c r="A1133" s="19"/>
      <c r="B1133" s="19"/>
      <c r="C1133" s="19"/>
      <c r="D1133" s="19"/>
      <c r="E1133" s="19"/>
      <c r="F1133" s="19"/>
      <c r="G1133" s="19"/>
      <c r="H1133" s="19"/>
      <c r="I1133" s="19"/>
      <c r="J1133" s="19"/>
    </row>
    <row r="1134" spans="1:10">
      <c r="A1134" s="19"/>
      <c r="B1134" s="19"/>
      <c r="C1134" s="19"/>
      <c r="D1134" s="19"/>
      <c r="E1134" s="19"/>
      <c r="F1134" s="19"/>
      <c r="G1134" s="19"/>
      <c r="H1134" s="19"/>
      <c r="I1134" s="19"/>
      <c r="J1134" s="19"/>
    </row>
    <row r="1135" spans="1:10">
      <c r="A1135" s="19"/>
      <c r="B1135" s="19"/>
      <c r="C1135" s="19"/>
      <c r="D1135" s="19"/>
      <c r="E1135" s="19"/>
      <c r="F1135" s="19"/>
      <c r="G1135" s="19"/>
      <c r="H1135" s="19"/>
      <c r="I1135" s="19"/>
      <c r="J1135" s="19"/>
    </row>
    <row r="1136" spans="1:10">
      <c r="A1136" s="19"/>
      <c r="B1136" s="19"/>
      <c r="C1136" s="19"/>
      <c r="D1136" s="19"/>
      <c r="E1136" s="19"/>
      <c r="F1136" s="19"/>
      <c r="G1136" s="19"/>
      <c r="H1136" s="19"/>
      <c r="I1136" s="19"/>
      <c r="J1136" s="19"/>
    </row>
    <row r="1137" spans="1:10">
      <c r="A1137" s="19"/>
      <c r="B1137" s="19"/>
      <c r="C1137" s="19"/>
      <c r="D1137" s="19"/>
      <c r="E1137" s="19"/>
      <c r="F1137" s="19"/>
      <c r="G1137" s="19"/>
      <c r="H1137" s="19"/>
      <c r="I1137" s="19"/>
      <c r="J1137" s="19"/>
    </row>
    <row r="1138" spans="1:10">
      <c r="A1138" s="19"/>
      <c r="B1138" s="19"/>
      <c r="C1138" s="19"/>
      <c r="D1138" s="19"/>
      <c r="E1138" s="19"/>
      <c r="F1138" s="19"/>
      <c r="G1138" s="19"/>
      <c r="H1138" s="19"/>
      <c r="I1138" s="19"/>
      <c r="J1138" s="19"/>
    </row>
    <row r="1139" spans="1:10">
      <c r="A1139" s="19"/>
      <c r="B1139" s="19"/>
      <c r="C1139" s="19"/>
      <c r="D1139" s="19"/>
      <c r="E1139" s="19"/>
      <c r="F1139" s="19"/>
      <c r="G1139" s="19"/>
      <c r="H1139" s="19"/>
      <c r="I1139" s="19"/>
      <c r="J1139" s="19"/>
    </row>
    <row r="1140" spans="1:10">
      <c r="A1140" s="19"/>
      <c r="B1140" s="19"/>
      <c r="C1140" s="19"/>
      <c r="D1140" s="19"/>
      <c r="E1140" s="19"/>
      <c r="F1140" s="19"/>
      <c r="G1140" s="19"/>
      <c r="H1140" s="19"/>
      <c r="I1140" s="19"/>
      <c r="J1140" s="19"/>
    </row>
    <row r="1141" spans="1:10">
      <c r="A1141" s="19"/>
      <c r="B1141" s="19"/>
      <c r="C1141" s="19"/>
      <c r="D1141" s="19"/>
      <c r="E1141" s="19"/>
      <c r="F1141" s="19"/>
      <c r="G1141" s="19"/>
      <c r="H1141" s="19"/>
      <c r="I1141" s="19"/>
      <c r="J1141" s="19"/>
    </row>
    <row r="1142" spans="1:10">
      <c r="A1142" s="19"/>
      <c r="B1142" s="19"/>
      <c r="C1142" s="19"/>
      <c r="D1142" s="19"/>
      <c r="E1142" s="19"/>
      <c r="F1142" s="19"/>
      <c r="G1142" s="19"/>
      <c r="H1142" s="19"/>
      <c r="I1142" s="19"/>
      <c r="J1142" s="19"/>
    </row>
    <row r="1143" spans="1:10">
      <c r="A1143" s="19"/>
      <c r="B1143" s="19"/>
      <c r="C1143" s="19"/>
      <c r="D1143" s="19"/>
      <c r="E1143" s="19"/>
      <c r="F1143" s="19"/>
      <c r="G1143" s="19"/>
      <c r="H1143" s="19"/>
      <c r="I1143" s="19"/>
      <c r="J1143" s="19"/>
    </row>
    <row r="1144" spans="1:10">
      <c r="A1144" s="19"/>
      <c r="B1144" s="19"/>
      <c r="C1144" s="19"/>
      <c r="D1144" s="19"/>
      <c r="E1144" s="19"/>
      <c r="F1144" s="19"/>
      <c r="G1144" s="19"/>
      <c r="H1144" s="19"/>
      <c r="I1144" s="19"/>
      <c r="J1144" s="19"/>
    </row>
    <row r="1145" spans="1:10">
      <c r="A1145" s="19"/>
      <c r="B1145" s="19"/>
      <c r="C1145" s="19"/>
      <c r="D1145" s="19"/>
      <c r="E1145" s="19"/>
      <c r="F1145" s="19"/>
      <c r="G1145" s="19"/>
      <c r="H1145" s="19"/>
      <c r="I1145" s="19"/>
      <c r="J1145" s="19"/>
    </row>
    <row r="1146" spans="1:10">
      <c r="A1146" s="19"/>
      <c r="B1146" s="19"/>
      <c r="C1146" s="19"/>
      <c r="D1146" s="19"/>
      <c r="E1146" s="19"/>
      <c r="F1146" s="19"/>
      <c r="G1146" s="19"/>
      <c r="H1146" s="19"/>
      <c r="I1146" s="19"/>
      <c r="J1146" s="19"/>
    </row>
    <row r="1147" spans="1:10">
      <c r="A1147" s="19"/>
      <c r="B1147" s="19"/>
      <c r="C1147" s="19"/>
      <c r="D1147" s="19"/>
      <c r="E1147" s="19"/>
      <c r="F1147" s="19"/>
      <c r="G1147" s="19"/>
      <c r="H1147" s="19"/>
      <c r="I1147" s="19"/>
      <c r="J1147" s="19"/>
    </row>
    <row r="1148" spans="1:10">
      <c r="A1148" s="19"/>
      <c r="B1148" s="19"/>
      <c r="C1148" s="19"/>
      <c r="D1148" s="19"/>
      <c r="E1148" s="19"/>
      <c r="F1148" s="19"/>
      <c r="G1148" s="19"/>
      <c r="H1148" s="19"/>
      <c r="I1148" s="19"/>
      <c r="J1148" s="19"/>
    </row>
    <row r="1149" spans="1:10">
      <c r="A1149" s="19"/>
      <c r="B1149" s="19"/>
      <c r="C1149" s="19"/>
      <c r="D1149" s="19"/>
      <c r="E1149" s="19"/>
      <c r="F1149" s="19"/>
      <c r="G1149" s="19"/>
      <c r="H1149" s="19"/>
      <c r="I1149" s="19"/>
      <c r="J1149" s="19"/>
    </row>
    <row r="1150" spans="1:10">
      <c r="A1150" s="19"/>
      <c r="B1150" s="19"/>
      <c r="C1150" s="19"/>
      <c r="D1150" s="19"/>
      <c r="E1150" s="19"/>
      <c r="F1150" s="19"/>
      <c r="G1150" s="19"/>
      <c r="H1150" s="19"/>
      <c r="I1150" s="19"/>
      <c r="J1150" s="19"/>
    </row>
    <row r="1151" spans="1:10">
      <c r="A1151" s="19"/>
      <c r="B1151" s="19"/>
      <c r="C1151" s="19"/>
      <c r="D1151" s="19"/>
      <c r="E1151" s="19"/>
      <c r="F1151" s="19"/>
      <c r="G1151" s="19"/>
      <c r="H1151" s="19"/>
      <c r="I1151" s="19"/>
      <c r="J1151" s="19"/>
    </row>
    <row r="1152" spans="1:10">
      <c r="A1152" s="19"/>
      <c r="B1152" s="19"/>
      <c r="C1152" s="19"/>
      <c r="D1152" s="19"/>
      <c r="E1152" s="19"/>
      <c r="F1152" s="19"/>
      <c r="G1152" s="19"/>
      <c r="H1152" s="19"/>
      <c r="I1152" s="19"/>
      <c r="J1152" s="19"/>
    </row>
    <row r="1153" spans="1:10">
      <c r="A1153" s="19"/>
      <c r="B1153" s="19"/>
      <c r="C1153" s="19"/>
      <c r="D1153" s="19"/>
      <c r="E1153" s="19"/>
      <c r="F1153" s="19"/>
      <c r="G1153" s="19"/>
      <c r="H1153" s="19"/>
      <c r="I1153" s="19"/>
      <c r="J1153" s="19"/>
    </row>
    <row r="1154" spans="1:10">
      <c r="A1154" s="19"/>
      <c r="B1154" s="19"/>
      <c r="C1154" s="19"/>
      <c r="D1154" s="19"/>
      <c r="E1154" s="19"/>
      <c r="F1154" s="19"/>
      <c r="G1154" s="19"/>
      <c r="H1154" s="19"/>
      <c r="I1154" s="19"/>
      <c r="J1154" s="19"/>
    </row>
    <row r="1155" spans="1:10">
      <c r="A1155" s="19"/>
      <c r="B1155" s="19"/>
      <c r="C1155" s="19"/>
      <c r="D1155" s="19"/>
      <c r="E1155" s="19"/>
      <c r="F1155" s="19"/>
      <c r="G1155" s="19"/>
      <c r="H1155" s="19"/>
      <c r="I1155" s="19"/>
      <c r="J1155" s="19"/>
    </row>
    <row r="1156" spans="1:10">
      <c r="A1156" s="19"/>
      <c r="B1156" s="19"/>
      <c r="C1156" s="19"/>
      <c r="D1156" s="19"/>
      <c r="E1156" s="19"/>
      <c r="F1156" s="19"/>
      <c r="G1156" s="19"/>
      <c r="H1156" s="19"/>
      <c r="I1156" s="19"/>
      <c r="J1156" s="19"/>
    </row>
    <row r="1157" spans="1:10">
      <c r="A1157" s="19"/>
      <c r="B1157" s="19"/>
      <c r="C1157" s="19"/>
      <c r="D1157" s="19"/>
      <c r="E1157" s="19"/>
      <c r="F1157" s="19"/>
      <c r="G1157" s="19"/>
      <c r="H1157" s="19"/>
      <c r="I1157" s="19"/>
      <c r="J1157" s="19"/>
    </row>
    <row r="1158" spans="1:10">
      <c r="A1158" s="19"/>
      <c r="B1158" s="19"/>
      <c r="C1158" s="19"/>
      <c r="D1158" s="19"/>
      <c r="E1158" s="19"/>
      <c r="F1158" s="19"/>
      <c r="G1158" s="19"/>
      <c r="H1158" s="19"/>
      <c r="I1158" s="19"/>
      <c r="J1158" s="19"/>
    </row>
    <row r="1159" spans="1:10">
      <c r="A1159" s="19"/>
      <c r="B1159" s="19"/>
      <c r="C1159" s="19"/>
      <c r="D1159" s="19"/>
      <c r="E1159" s="19"/>
      <c r="F1159" s="19"/>
      <c r="G1159" s="19"/>
      <c r="H1159" s="19"/>
      <c r="I1159" s="19"/>
      <c r="J1159" s="19"/>
    </row>
    <row r="1160" spans="1:10">
      <c r="A1160" s="19"/>
      <c r="B1160" s="19"/>
      <c r="C1160" s="19"/>
      <c r="D1160" s="19"/>
      <c r="E1160" s="19"/>
      <c r="F1160" s="19"/>
      <c r="G1160" s="19"/>
      <c r="H1160" s="19"/>
      <c r="I1160" s="19"/>
      <c r="J1160" s="19"/>
    </row>
    <row r="1161" spans="1:10">
      <c r="A1161" s="19"/>
      <c r="B1161" s="19"/>
      <c r="C1161" s="19"/>
      <c r="D1161" s="19"/>
      <c r="E1161" s="19"/>
      <c r="F1161" s="19"/>
      <c r="G1161" s="19"/>
      <c r="H1161" s="19"/>
      <c r="I1161" s="19"/>
      <c r="J1161" s="19"/>
    </row>
    <row r="1162" spans="1:10">
      <c r="A1162" s="19"/>
      <c r="B1162" s="19"/>
      <c r="C1162" s="19"/>
      <c r="D1162" s="19"/>
      <c r="E1162" s="19"/>
      <c r="F1162" s="19"/>
      <c r="G1162" s="19"/>
      <c r="H1162" s="19"/>
      <c r="I1162" s="19"/>
      <c r="J1162" s="19"/>
    </row>
    <row r="1163" spans="1:10">
      <c r="A1163" s="19"/>
      <c r="B1163" s="19"/>
      <c r="C1163" s="19"/>
      <c r="D1163" s="19"/>
      <c r="E1163" s="19"/>
      <c r="F1163" s="19"/>
      <c r="G1163" s="19"/>
      <c r="H1163" s="19"/>
      <c r="I1163" s="19"/>
      <c r="J1163" s="19"/>
    </row>
    <row r="1164" spans="1:10">
      <c r="A1164" s="19"/>
      <c r="B1164" s="19"/>
      <c r="C1164" s="19"/>
      <c r="D1164" s="19"/>
      <c r="E1164" s="19"/>
      <c r="F1164" s="19"/>
      <c r="G1164" s="19"/>
      <c r="H1164" s="19"/>
      <c r="I1164" s="19"/>
      <c r="J1164" s="19"/>
    </row>
    <row r="1165" spans="1:10">
      <c r="A1165" s="19"/>
      <c r="B1165" s="19"/>
      <c r="C1165" s="19"/>
      <c r="D1165" s="19"/>
      <c r="E1165" s="19"/>
      <c r="F1165" s="19"/>
      <c r="G1165" s="19"/>
      <c r="H1165" s="19"/>
      <c r="I1165" s="19"/>
      <c r="J1165" s="19"/>
    </row>
    <row r="1166" spans="1:10">
      <c r="A1166" s="19"/>
      <c r="B1166" s="19"/>
      <c r="C1166" s="19"/>
      <c r="D1166" s="19"/>
      <c r="E1166" s="19"/>
      <c r="F1166" s="19"/>
      <c r="G1166" s="19"/>
      <c r="H1166" s="19"/>
      <c r="I1166" s="19"/>
      <c r="J1166" s="19"/>
    </row>
    <row r="1167" spans="1:10">
      <c r="A1167" s="19"/>
      <c r="B1167" s="19"/>
      <c r="C1167" s="19"/>
      <c r="D1167" s="19"/>
      <c r="E1167" s="19"/>
      <c r="F1167" s="19"/>
      <c r="G1167" s="19"/>
      <c r="H1167" s="19"/>
      <c r="I1167" s="19"/>
      <c r="J1167" s="19"/>
    </row>
    <row r="1168" spans="1:10">
      <c r="A1168" s="19"/>
      <c r="B1168" s="19"/>
      <c r="C1168" s="19"/>
      <c r="D1168" s="19"/>
      <c r="E1168" s="19"/>
      <c r="F1168" s="19"/>
      <c r="G1168" s="19"/>
      <c r="H1168" s="19"/>
      <c r="I1168" s="19"/>
      <c r="J1168" s="19"/>
    </row>
    <row r="1169" spans="1:10">
      <c r="A1169" s="19"/>
      <c r="B1169" s="19"/>
      <c r="C1169" s="19"/>
      <c r="D1169" s="19"/>
      <c r="E1169" s="19"/>
      <c r="F1169" s="19"/>
      <c r="G1169" s="19"/>
      <c r="H1169" s="19"/>
      <c r="I1169" s="19"/>
      <c r="J1169" s="19"/>
    </row>
    <row r="1170" spans="1:10">
      <c r="A1170" s="19"/>
      <c r="B1170" s="19"/>
      <c r="C1170" s="19"/>
      <c r="D1170" s="19"/>
      <c r="E1170" s="19"/>
      <c r="F1170" s="19"/>
      <c r="G1170" s="19"/>
      <c r="H1170" s="19"/>
      <c r="I1170" s="19"/>
      <c r="J1170" s="19"/>
    </row>
    <row r="1171" spans="1:10">
      <c r="A1171" s="19"/>
      <c r="B1171" s="19"/>
      <c r="C1171" s="19"/>
      <c r="D1171" s="19"/>
      <c r="E1171" s="19"/>
      <c r="F1171" s="19"/>
      <c r="G1171" s="19"/>
      <c r="H1171" s="19"/>
      <c r="I1171" s="19"/>
      <c r="J1171" s="19"/>
    </row>
    <row r="1172" spans="1:10">
      <c r="A1172" s="19"/>
      <c r="B1172" s="19"/>
      <c r="C1172" s="19"/>
      <c r="D1172" s="19"/>
      <c r="E1172" s="19"/>
      <c r="F1172" s="19"/>
      <c r="G1172" s="19"/>
      <c r="H1172" s="19"/>
      <c r="I1172" s="19"/>
      <c r="J1172" s="19"/>
    </row>
    <row r="1173" spans="1:10">
      <c r="A1173" s="19"/>
      <c r="B1173" s="19"/>
      <c r="C1173" s="19"/>
      <c r="D1173" s="19"/>
      <c r="E1173" s="19"/>
      <c r="F1173" s="19"/>
      <c r="G1173" s="19"/>
      <c r="H1173" s="19"/>
      <c r="I1173" s="19"/>
      <c r="J1173" s="19"/>
    </row>
    <row r="1174" spans="1:10">
      <c r="A1174" s="19"/>
      <c r="B1174" s="19"/>
      <c r="C1174" s="19"/>
      <c r="D1174" s="19"/>
      <c r="E1174" s="19"/>
      <c r="F1174" s="19"/>
      <c r="G1174" s="19"/>
      <c r="H1174" s="19"/>
      <c r="I1174" s="19"/>
      <c r="J1174" s="19"/>
    </row>
    <row r="1175" spans="1:10">
      <c r="A1175" s="19"/>
      <c r="B1175" s="19"/>
      <c r="C1175" s="19"/>
      <c r="D1175" s="19"/>
      <c r="E1175" s="19"/>
      <c r="F1175" s="19"/>
      <c r="G1175" s="19"/>
      <c r="H1175" s="19"/>
      <c r="I1175" s="19"/>
      <c r="J1175" s="19"/>
    </row>
    <row r="1176" spans="1:10">
      <c r="A1176" s="19"/>
      <c r="B1176" s="19"/>
      <c r="C1176" s="19"/>
      <c r="D1176" s="19"/>
      <c r="E1176" s="19"/>
      <c r="F1176" s="19"/>
      <c r="G1176" s="19"/>
      <c r="H1176" s="19"/>
      <c r="I1176" s="19"/>
      <c r="J1176" s="19"/>
    </row>
    <row r="1177" spans="1:10">
      <c r="A1177" s="19"/>
      <c r="B1177" s="19"/>
      <c r="C1177" s="19"/>
      <c r="D1177" s="19"/>
      <c r="E1177" s="19"/>
      <c r="F1177" s="19"/>
      <c r="G1177" s="19"/>
      <c r="H1177" s="19"/>
      <c r="I1177" s="19"/>
      <c r="J1177" s="19"/>
    </row>
    <row r="1178" spans="1:10">
      <c r="A1178" s="19"/>
      <c r="B1178" s="19"/>
      <c r="C1178" s="19"/>
      <c r="D1178" s="19"/>
      <c r="E1178" s="19"/>
      <c r="F1178" s="19"/>
      <c r="G1178" s="19"/>
      <c r="H1178" s="19"/>
      <c r="I1178" s="19"/>
      <c r="J1178" s="19"/>
    </row>
    <row r="1179" spans="1:10">
      <c r="A1179" s="19"/>
      <c r="B1179" s="19"/>
      <c r="C1179" s="19"/>
      <c r="D1179" s="19"/>
      <c r="E1179" s="19"/>
      <c r="F1179" s="19"/>
      <c r="G1179" s="19"/>
      <c r="H1179" s="19"/>
      <c r="I1179" s="19"/>
      <c r="J1179" s="19"/>
    </row>
    <row r="1180" spans="1:10">
      <c r="A1180" s="19"/>
      <c r="B1180" s="19"/>
      <c r="C1180" s="19"/>
      <c r="D1180" s="19"/>
      <c r="E1180" s="19"/>
      <c r="F1180" s="19"/>
      <c r="G1180" s="19"/>
      <c r="H1180" s="19"/>
      <c r="I1180" s="19"/>
      <c r="J1180" s="19"/>
    </row>
    <row r="1181" spans="1:10">
      <c r="A1181" s="19"/>
      <c r="B1181" s="19"/>
      <c r="C1181" s="19"/>
      <c r="D1181" s="19"/>
      <c r="E1181" s="19"/>
      <c r="F1181" s="19"/>
      <c r="G1181" s="19"/>
      <c r="H1181" s="19"/>
      <c r="I1181" s="19"/>
      <c r="J1181" s="19"/>
    </row>
    <row r="1182" spans="1:10">
      <c r="A1182" s="19"/>
      <c r="B1182" s="19"/>
      <c r="C1182" s="19"/>
      <c r="D1182" s="19"/>
      <c r="E1182" s="19"/>
      <c r="F1182" s="19"/>
      <c r="G1182" s="19"/>
      <c r="H1182" s="19"/>
      <c r="I1182" s="19"/>
      <c r="J1182" s="19"/>
    </row>
    <row r="1183" spans="1:10">
      <c r="A1183" s="19"/>
      <c r="B1183" s="19"/>
      <c r="C1183" s="19"/>
      <c r="D1183" s="19"/>
      <c r="E1183" s="19"/>
      <c r="F1183" s="19"/>
      <c r="G1183" s="19"/>
      <c r="H1183" s="19"/>
      <c r="I1183" s="19"/>
      <c r="J1183" s="19"/>
    </row>
    <row r="1184" spans="1:10">
      <c r="A1184" s="19"/>
      <c r="B1184" s="19"/>
      <c r="C1184" s="19"/>
      <c r="D1184" s="19"/>
      <c r="E1184" s="19"/>
      <c r="F1184" s="19"/>
      <c r="G1184" s="19"/>
      <c r="H1184" s="19"/>
      <c r="I1184" s="19"/>
      <c r="J1184" s="19"/>
    </row>
    <row r="1185" spans="1:10">
      <c r="A1185" s="19"/>
      <c r="B1185" s="19"/>
      <c r="C1185" s="19"/>
      <c r="D1185" s="19"/>
      <c r="E1185" s="19"/>
      <c r="F1185" s="19"/>
      <c r="G1185" s="19"/>
      <c r="H1185" s="19"/>
      <c r="I1185" s="19"/>
      <c r="J1185" s="19"/>
    </row>
    <row r="1186" spans="1:10">
      <c r="A1186" s="19"/>
      <c r="B1186" s="19"/>
      <c r="C1186" s="19"/>
      <c r="D1186" s="19"/>
      <c r="E1186" s="19"/>
      <c r="F1186" s="19"/>
      <c r="G1186" s="19"/>
      <c r="H1186" s="19"/>
      <c r="I1186" s="19"/>
      <c r="J1186" s="19"/>
    </row>
    <row r="1187" spans="1:10">
      <c r="A1187" s="19"/>
      <c r="B1187" s="19"/>
      <c r="C1187" s="19"/>
      <c r="D1187" s="19"/>
      <c r="E1187" s="19"/>
      <c r="F1187" s="19"/>
      <c r="G1187" s="19"/>
      <c r="H1187" s="19"/>
      <c r="I1187" s="19"/>
      <c r="J1187" s="19"/>
    </row>
    <row r="1188" spans="1:10">
      <c r="A1188" s="19"/>
      <c r="B1188" s="19"/>
      <c r="C1188" s="19"/>
      <c r="D1188" s="19"/>
      <c r="E1188" s="19"/>
      <c r="F1188" s="19"/>
      <c r="G1188" s="19"/>
      <c r="H1188" s="19"/>
      <c r="I1188" s="19"/>
      <c r="J1188" s="19"/>
    </row>
    <row r="1189" spans="1:10">
      <c r="A1189" s="19"/>
      <c r="B1189" s="19"/>
      <c r="C1189" s="19"/>
      <c r="D1189" s="19"/>
      <c r="E1189" s="19"/>
      <c r="F1189" s="19"/>
      <c r="G1189" s="19"/>
      <c r="H1189" s="19"/>
      <c r="I1189" s="19"/>
      <c r="J1189" s="19"/>
    </row>
    <row r="1190" spans="1:10">
      <c r="A1190" s="19"/>
      <c r="B1190" s="19"/>
      <c r="C1190" s="19"/>
      <c r="D1190" s="19"/>
      <c r="E1190" s="19"/>
      <c r="F1190" s="19"/>
      <c r="G1190" s="19"/>
      <c r="H1190" s="19"/>
      <c r="I1190" s="19"/>
      <c r="J1190" s="19"/>
    </row>
    <row r="1191" spans="1:10">
      <c r="A1191" s="19"/>
      <c r="B1191" s="19"/>
      <c r="C1191" s="19"/>
      <c r="D1191" s="19"/>
      <c r="E1191" s="19"/>
      <c r="F1191" s="19"/>
      <c r="G1191" s="19"/>
      <c r="H1191" s="19"/>
      <c r="I1191" s="19"/>
      <c r="J1191" s="19"/>
    </row>
    <row r="1192" spans="1:10">
      <c r="A1192" s="19"/>
      <c r="B1192" s="19"/>
      <c r="C1192" s="19"/>
      <c r="D1192" s="19"/>
      <c r="E1192" s="19"/>
      <c r="F1192" s="19"/>
      <c r="G1192" s="19"/>
      <c r="H1192" s="19"/>
      <c r="I1192" s="19"/>
      <c r="J1192" s="19"/>
    </row>
    <row r="1193" spans="1:10">
      <c r="A1193" s="19"/>
      <c r="B1193" s="19"/>
      <c r="C1193" s="19"/>
      <c r="D1193" s="19"/>
      <c r="E1193" s="19"/>
      <c r="F1193" s="19"/>
      <c r="G1193" s="19"/>
      <c r="H1193" s="19"/>
      <c r="I1193" s="19"/>
      <c r="J1193" s="19"/>
    </row>
    <row r="1194" spans="1:10">
      <c r="A1194" s="19"/>
      <c r="B1194" s="19"/>
      <c r="C1194" s="19"/>
      <c r="D1194" s="19"/>
      <c r="E1194" s="19"/>
      <c r="F1194" s="19"/>
      <c r="G1194" s="19"/>
      <c r="H1194" s="19"/>
      <c r="I1194" s="19"/>
      <c r="J1194" s="19"/>
    </row>
    <row r="1195" spans="1:10">
      <c r="A1195" s="19"/>
      <c r="B1195" s="19"/>
      <c r="C1195" s="19"/>
      <c r="D1195" s="19"/>
      <c r="E1195" s="19"/>
      <c r="F1195" s="19"/>
      <c r="G1195" s="19"/>
      <c r="H1195" s="19"/>
      <c r="I1195" s="19"/>
      <c r="J1195" s="19"/>
    </row>
    <row r="1196" spans="1:10">
      <c r="A1196" s="19"/>
      <c r="B1196" s="19"/>
      <c r="C1196" s="19"/>
      <c r="D1196" s="19"/>
      <c r="E1196" s="19"/>
      <c r="F1196" s="19"/>
      <c r="G1196" s="19"/>
      <c r="H1196" s="19"/>
      <c r="I1196" s="19"/>
      <c r="J1196" s="19"/>
    </row>
    <row r="1197" spans="1:10">
      <c r="A1197" s="19"/>
      <c r="B1197" s="19"/>
      <c r="C1197" s="19"/>
      <c r="D1197" s="19"/>
      <c r="E1197" s="19"/>
      <c r="F1197" s="19"/>
      <c r="G1197" s="19"/>
      <c r="H1197" s="19"/>
      <c r="I1197" s="19"/>
      <c r="J1197" s="19"/>
    </row>
    <row r="1198" spans="1:10">
      <c r="A1198" s="19"/>
      <c r="B1198" s="19"/>
      <c r="C1198" s="19"/>
      <c r="D1198" s="19"/>
      <c r="E1198" s="19"/>
      <c r="F1198" s="19"/>
      <c r="G1198" s="19"/>
      <c r="H1198" s="19"/>
      <c r="I1198" s="19"/>
      <c r="J1198" s="19"/>
    </row>
    <row r="1199" spans="1:10">
      <c r="A1199" s="19"/>
      <c r="B1199" s="19"/>
      <c r="C1199" s="19"/>
      <c r="D1199" s="19"/>
      <c r="E1199" s="19"/>
      <c r="F1199" s="19"/>
      <c r="G1199" s="19"/>
      <c r="H1199" s="19"/>
      <c r="I1199" s="19"/>
      <c r="J1199" s="19"/>
    </row>
    <row r="1200" spans="1:10">
      <c r="A1200" s="19"/>
      <c r="B1200" s="19"/>
      <c r="C1200" s="19"/>
      <c r="D1200" s="19"/>
      <c r="E1200" s="19"/>
      <c r="F1200" s="19"/>
      <c r="G1200" s="19"/>
      <c r="H1200" s="19"/>
      <c r="I1200" s="19"/>
      <c r="J1200" s="19"/>
    </row>
    <row r="1201" spans="1:10">
      <c r="A1201" s="19"/>
      <c r="B1201" s="19"/>
      <c r="C1201" s="19"/>
      <c r="D1201" s="19"/>
      <c r="E1201" s="19"/>
      <c r="F1201" s="19"/>
      <c r="G1201" s="19"/>
      <c r="H1201" s="19"/>
      <c r="I1201" s="19"/>
      <c r="J1201" s="19"/>
    </row>
    <row r="1202" spans="1:10">
      <c r="A1202" s="19"/>
      <c r="B1202" s="19"/>
      <c r="C1202" s="19"/>
      <c r="D1202" s="19"/>
      <c r="E1202" s="19"/>
      <c r="F1202" s="19"/>
      <c r="G1202" s="19"/>
      <c r="H1202" s="19"/>
      <c r="I1202" s="19"/>
      <c r="J1202" s="19"/>
    </row>
    <row r="1203" spans="1:10">
      <c r="A1203" s="19"/>
      <c r="B1203" s="19"/>
      <c r="C1203" s="19"/>
      <c r="D1203" s="19"/>
      <c r="E1203" s="19"/>
      <c r="F1203" s="19"/>
      <c r="G1203" s="19"/>
      <c r="H1203" s="19"/>
      <c r="I1203" s="19"/>
      <c r="J1203" s="19"/>
    </row>
    <row r="1204" spans="1:10">
      <c r="A1204" s="19"/>
      <c r="B1204" s="19"/>
      <c r="C1204" s="19"/>
      <c r="D1204" s="19"/>
      <c r="E1204" s="19"/>
      <c r="F1204" s="19"/>
      <c r="G1204" s="19"/>
      <c r="H1204" s="19"/>
      <c r="I1204" s="19"/>
      <c r="J1204" s="19"/>
    </row>
    <row r="1205" spans="1:10">
      <c r="A1205" s="19"/>
      <c r="B1205" s="19"/>
      <c r="C1205" s="19"/>
      <c r="D1205" s="19"/>
      <c r="E1205" s="19"/>
      <c r="F1205" s="19"/>
      <c r="G1205" s="19"/>
      <c r="H1205" s="19"/>
      <c r="I1205" s="19"/>
      <c r="J1205" s="19"/>
    </row>
    <row r="1206" spans="1:10">
      <c r="A1206" s="19"/>
      <c r="B1206" s="19"/>
      <c r="C1206" s="19"/>
      <c r="D1206" s="19"/>
      <c r="E1206" s="19"/>
      <c r="F1206" s="19"/>
      <c r="G1206" s="19"/>
      <c r="H1206" s="19"/>
      <c r="I1206" s="19"/>
      <c r="J1206" s="19"/>
    </row>
    <row r="1207" spans="1:10">
      <c r="A1207" s="19"/>
      <c r="B1207" s="19"/>
      <c r="C1207" s="19"/>
      <c r="D1207" s="19"/>
      <c r="E1207" s="19"/>
      <c r="F1207" s="19"/>
      <c r="G1207" s="19"/>
      <c r="H1207" s="19"/>
      <c r="I1207" s="19"/>
      <c r="J1207" s="19"/>
    </row>
    <row r="1208" spans="1:10">
      <c r="A1208" s="19"/>
      <c r="B1208" s="19"/>
      <c r="C1208" s="19"/>
      <c r="D1208" s="19"/>
      <c r="E1208" s="19"/>
      <c r="F1208" s="19"/>
      <c r="G1208" s="19"/>
      <c r="H1208" s="19"/>
      <c r="I1208" s="19"/>
      <c r="J1208" s="19"/>
    </row>
    <row r="1209" spans="1:10">
      <c r="A1209" s="19"/>
      <c r="B1209" s="19"/>
      <c r="C1209" s="19"/>
      <c r="D1209" s="19"/>
      <c r="E1209" s="19"/>
      <c r="F1209" s="19"/>
      <c r="G1209" s="19"/>
      <c r="H1209" s="19"/>
      <c r="I1209" s="19"/>
      <c r="J1209" s="19"/>
    </row>
    <row r="1210" spans="1:10">
      <c r="A1210" s="19"/>
      <c r="B1210" s="19"/>
      <c r="C1210" s="19"/>
      <c r="D1210" s="19"/>
      <c r="E1210" s="19"/>
      <c r="F1210" s="19"/>
      <c r="G1210" s="19"/>
      <c r="H1210" s="19"/>
      <c r="I1210" s="19"/>
      <c r="J1210" s="19"/>
    </row>
    <row r="1211" spans="1:10">
      <c r="A1211" s="19"/>
      <c r="B1211" s="19"/>
      <c r="C1211" s="19"/>
      <c r="D1211" s="19"/>
      <c r="E1211" s="19"/>
      <c r="F1211" s="19"/>
      <c r="G1211" s="19"/>
      <c r="H1211" s="19"/>
      <c r="I1211" s="19"/>
      <c r="J1211" s="19"/>
    </row>
    <row r="1212" spans="1:10">
      <c r="A1212" s="19"/>
      <c r="B1212" s="19"/>
      <c r="C1212" s="19"/>
      <c r="D1212" s="19"/>
      <c r="E1212" s="19"/>
      <c r="F1212" s="19"/>
      <c r="G1212" s="19"/>
      <c r="H1212" s="19"/>
      <c r="I1212" s="19"/>
      <c r="J1212" s="19"/>
    </row>
    <row r="1213" spans="1:10">
      <c r="A1213" s="19"/>
      <c r="B1213" s="19"/>
      <c r="C1213" s="19"/>
      <c r="D1213" s="19"/>
      <c r="E1213" s="19"/>
      <c r="F1213" s="19"/>
      <c r="G1213" s="19"/>
      <c r="H1213" s="19"/>
      <c r="I1213" s="19"/>
      <c r="J1213" s="19"/>
    </row>
    <row r="1214" spans="1:10">
      <c r="A1214" s="19"/>
      <c r="B1214" s="19"/>
      <c r="C1214" s="19"/>
      <c r="D1214" s="19"/>
      <c r="E1214" s="19"/>
      <c r="F1214" s="19"/>
      <c r="G1214" s="19"/>
      <c r="H1214" s="19"/>
      <c r="I1214" s="19"/>
      <c r="J1214" s="19"/>
    </row>
    <row r="1215" spans="1:10">
      <c r="A1215" s="19"/>
      <c r="B1215" s="19"/>
      <c r="C1215" s="19"/>
      <c r="D1215" s="19"/>
      <c r="E1215" s="19"/>
      <c r="F1215" s="19"/>
      <c r="G1215" s="19"/>
      <c r="H1215" s="19"/>
      <c r="I1215" s="19"/>
      <c r="J1215" s="19"/>
    </row>
    <row r="1216" spans="1:10">
      <c r="A1216" s="19"/>
      <c r="B1216" s="19"/>
      <c r="C1216" s="19"/>
      <c r="D1216" s="19"/>
      <c r="E1216" s="19"/>
      <c r="F1216" s="19"/>
      <c r="G1216" s="19"/>
      <c r="H1216" s="19"/>
      <c r="I1216" s="19"/>
      <c r="J1216" s="19"/>
    </row>
    <row r="1217" spans="1:10">
      <c r="A1217" s="19"/>
      <c r="B1217" s="19"/>
      <c r="C1217" s="19"/>
      <c r="D1217" s="19"/>
      <c r="E1217" s="19"/>
      <c r="F1217" s="19"/>
      <c r="G1217" s="19"/>
      <c r="H1217" s="19"/>
      <c r="I1217" s="19"/>
      <c r="J1217" s="19"/>
    </row>
    <row r="1218" spans="1:10">
      <c r="A1218" s="19"/>
      <c r="B1218" s="19"/>
      <c r="C1218" s="19"/>
      <c r="D1218" s="19"/>
      <c r="E1218" s="19"/>
      <c r="F1218" s="19"/>
      <c r="G1218" s="19"/>
      <c r="H1218" s="19"/>
      <c r="I1218" s="19"/>
      <c r="J1218" s="19"/>
    </row>
    <row r="1219" spans="1:10">
      <c r="A1219" s="19"/>
      <c r="B1219" s="19"/>
      <c r="C1219" s="19"/>
      <c r="D1219" s="19"/>
      <c r="E1219" s="19"/>
      <c r="F1219" s="19"/>
      <c r="G1219" s="19"/>
      <c r="H1219" s="19"/>
      <c r="I1219" s="19"/>
      <c r="J1219" s="19"/>
    </row>
    <row r="1220" spans="1:10">
      <c r="A1220" s="19"/>
      <c r="B1220" s="19"/>
      <c r="C1220" s="19"/>
      <c r="D1220" s="19"/>
      <c r="E1220" s="19"/>
      <c r="F1220" s="19"/>
      <c r="G1220" s="19"/>
      <c r="H1220" s="19"/>
      <c r="I1220" s="19"/>
      <c r="J1220" s="19"/>
    </row>
    <row r="1221" spans="1:10">
      <c r="A1221" s="19"/>
      <c r="B1221" s="19"/>
      <c r="C1221" s="19"/>
      <c r="D1221" s="19"/>
      <c r="E1221" s="19"/>
      <c r="F1221" s="19"/>
      <c r="G1221" s="19"/>
      <c r="H1221" s="19"/>
      <c r="I1221" s="19"/>
      <c r="J1221" s="19"/>
    </row>
    <row r="1222" spans="1:10">
      <c r="A1222" s="19"/>
      <c r="B1222" s="19"/>
      <c r="C1222" s="19"/>
      <c r="D1222" s="19"/>
      <c r="E1222" s="19"/>
      <c r="F1222" s="19"/>
      <c r="G1222" s="19"/>
      <c r="H1222" s="19"/>
      <c r="I1222" s="19"/>
      <c r="J1222" s="19"/>
    </row>
    <row r="1223" spans="1:10">
      <c r="A1223" s="19"/>
      <c r="B1223" s="19"/>
      <c r="C1223" s="19"/>
      <c r="D1223" s="19"/>
      <c r="E1223" s="19"/>
      <c r="F1223" s="19"/>
      <c r="G1223" s="19"/>
      <c r="H1223" s="19"/>
      <c r="I1223" s="19"/>
      <c r="J1223" s="19"/>
    </row>
    <row r="1224" spans="1:10">
      <c r="A1224" s="19"/>
      <c r="B1224" s="19"/>
      <c r="C1224" s="19"/>
      <c r="D1224" s="19"/>
      <c r="E1224" s="19"/>
      <c r="F1224" s="19"/>
      <c r="G1224" s="19"/>
      <c r="H1224" s="19"/>
      <c r="I1224" s="19"/>
      <c r="J1224" s="19"/>
    </row>
    <row r="1225" spans="1:10">
      <c r="A1225" s="19"/>
      <c r="B1225" s="19"/>
      <c r="C1225" s="19"/>
      <c r="D1225" s="19"/>
      <c r="E1225" s="19"/>
      <c r="F1225" s="19"/>
      <c r="G1225" s="19"/>
      <c r="H1225" s="19"/>
      <c r="I1225" s="19"/>
      <c r="J1225" s="19"/>
    </row>
    <row r="1226" spans="1:10">
      <c r="A1226" s="19"/>
      <c r="B1226" s="19"/>
      <c r="C1226" s="19"/>
      <c r="D1226" s="19"/>
      <c r="E1226" s="19"/>
      <c r="F1226" s="19"/>
      <c r="G1226" s="19"/>
      <c r="H1226" s="19"/>
      <c r="I1226" s="19"/>
      <c r="J1226" s="19"/>
    </row>
    <row r="1227" spans="1:10">
      <c r="A1227" s="19"/>
      <c r="B1227" s="19"/>
      <c r="C1227" s="19"/>
      <c r="D1227" s="19"/>
      <c r="E1227" s="19"/>
      <c r="F1227" s="19"/>
      <c r="G1227" s="19"/>
      <c r="H1227" s="19"/>
      <c r="I1227" s="19"/>
      <c r="J1227" s="19"/>
    </row>
    <row r="1228" spans="1:10">
      <c r="A1228" s="19"/>
      <c r="B1228" s="19"/>
      <c r="C1228" s="19"/>
      <c r="D1228" s="19"/>
      <c r="E1228" s="19"/>
      <c r="F1228" s="19"/>
      <c r="G1228" s="19"/>
      <c r="H1228" s="19"/>
      <c r="I1228" s="19"/>
      <c r="J1228" s="19"/>
    </row>
    <row r="1229" spans="1:10">
      <c r="A1229" s="19"/>
      <c r="B1229" s="19"/>
      <c r="C1229" s="19"/>
      <c r="D1229" s="19"/>
      <c r="E1229" s="19"/>
      <c r="F1229" s="19"/>
      <c r="G1229" s="19"/>
      <c r="H1229" s="19"/>
      <c r="I1229" s="19"/>
      <c r="J1229" s="19"/>
    </row>
    <row r="1230" spans="1:10">
      <c r="A1230" s="19"/>
      <c r="B1230" s="19"/>
      <c r="C1230" s="19"/>
      <c r="D1230" s="19"/>
      <c r="E1230" s="19"/>
      <c r="F1230" s="19"/>
      <c r="G1230" s="19"/>
      <c r="H1230" s="19"/>
      <c r="I1230" s="19"/>
      <c r="J1230" s="19"/>
    </row>
    <row r="1231" spans="1:10">
      <c r="A1231" s="19"/>
      <c r="B1231" s="19"/>
      <c r="C1231" s="19"/>
      <c r="D1231" s="19"/>
      <c r="E1231" s="19"/>
      <c r="F1231" s="19"/>
      <c r="G1231" s="19"/>
      <c r="H1231" s="19"/>
      <c r="I1231" s="19"/>
      <c r="J1231" s="19"/>
    </row>
    <row r="1232" spans="1:10">
      <c r="A1232" s="19"/>
      <c r="B1232" s="19"/>
      <c r="C1232" s="19"/>
      <c r="D1232" s="19"/>
      <c r="E1232" s="19"/>
      <c r="F1232" s="19"/>
      <c r="G1232" s="19"/>
      <c r="H1232" s="19"/>
      <c r="I1232" s="19"/>
      <c r="J1232" s="19"/>
    </row>
    <row r="1233" spans="1:10">
      <c r="A1233" s="19"/>
      <c r="B1233" s="19"/>
      <c r="C1233" s="19"/>
      <c r="D1233" s="19"/>
      <c r="E1233" s="19"/>
      <c r="F1233" s="19"/>
      <c r="G1233" s="19"/>
      <c r="H1233" s="19"/>
      <c r="I1233" s="19"/>
      <c r="J1233" s="19"/>
    </row>
    <row r="1234" spans="1:10">
      <c r="A1234" s="19"/>
      <c r="B1234" s="19"/>
      <c r="C1234" s="19"/>
      <c r="D1234" s="19"/>
      <c r="E1234" s="19"/>
      <c r="F1234" s="19"/>
      <c r="G1234" s="19"/>
      <c r="H1234" s="19"/>
      <c r="I1234" s="19"/>
      <c r="J1234" s="19"/>
    </row>
    <row r="1235" spans="1:10">
      <c r="A1235" s="19"/>
      <c r="B1235" s="19"/>
      <c r="C1235" s="19"/>
      <c r="D1235" s="19"/>
      <c r="E1235" s="19"/>
      <c r="F1235" s="19"/>
      <c r="G1235" s="19"/>
      <c r="H1235" s="19"/>
      <c r="I1235" s="19"/>
      <c r="J1235" s="19"/>
    </row>
    <row r="1236" spans="1:10">
      <c r="A1236" s="19"/>
      <c r="B1236" s="19"/>
      <c r="C1236" s="19"/>
      <c r="D1236" s="19"/>
      <c r="E1236" s="19"/>
      <c r="F1236" s="19"/>
      <c r="G1236" s="19"/>
      <c r="H1236" s="19"/>
      <c r="I1236" s="19"/>
      <c r="J1236" s="19"/>
    </row>
    <row r="1237" spans="1:10">
      <c r="A1237" s="19"/>
      <c r="B1237" s="19"/>
      <c r="C1237" s="19"/>
      <c r="D1237" s="19"/>
      <c r="E1237" s="19"/>
      <c r="F1237" s="19"/>
      <c r="G1237" s="19"/>
      <c r="H1237" s="19"/>
      <c r="I1237" s="19"/>
      <c r="J1237" s="19"/>
    </row>
    <row r="1238" spans="1:10">
      <c r="A1238" s="19"/>
      <c r="B1238" s="19"/>
      <c r="C1238" s="19"/>
      <c r="D1238" s="19"/>
      <c r="E1238" s="19"/>
      <c r="F1238" s="19"/>
      <c r="G1238" s="19"/>
      <c r="H1238" s="19"/>
      <c r="I1238" s="19"/>
      <c r="J1238" s="19"/>
    </row>
    <row r="1239" spans="1:10">
      <c r="A1239" s="19"/>
      <c r="B1239" s="19"/>
      <c r="C1239" s="19"/>
      <c r="D1239" s="19"/>
      <c r="E1239" s="19"/>
      <c r="F1239" s="19"/>
      <c r="G1239" s="19"/>
      <c r="H1239" s="19"/>
      <c r="I1239" s="19"/>
      <c r="J1239" s="19"/>
    </row>
    <row r="1240" spans="1:10">
      <c r="A1240" s="19"/>
      <c r="B1240" s="19"/>
      <c r="C1240" s="19"/>
      <c r="D1240" s="19"/>
      <c r="E1240" s="19"/>
      <c r="F1240" s="19"/>
      <c r="G1240" s="19"/>
      <c r="H1240" s="19"/>
      <c r="I1240" s="19"/>
      <c r="J1240" s="19"/>
    </row>
    <row r="1241" spans="1:10">
      <c r="A1241" s="19"/>
      <c r="B1241" s="19"/>
      <c r="C1241" s="19"/>
      <c r="D1241" s="19"/>
      <c r="E1241" s="19"/>
      <c r="F1241" s="19"/>
      <c r="G1241" s="19"/>
      <c r="H1241" s="19"/>
      <c r="I1241" s="19"/>
      <c r="J1241" s="19"/>
    </row>
    <row r="1242" spans="1:10">
      <c r="A1242" s="19"/>
      <c r="B1242" s="19"/>
      <c r="C1242" s="19"/>
      <c r="D1242" s="19"/>
      <c r="E1242" s="19"/>
      <c r="F1242" s="19"/>
      <c r="G1242" s="19"/>
      <c r="H1242" s="19"/>
      <c r="I1242" s="19"/>
      <c r="J1242" s="19"/>
    </row>
    <row r="1243" spans="1:10">
      <c r="A1243" s="19"/>
      <c r="B1243" s="19"/>
      <c r="C1243" s="19"/>
      <c r="D1243" s="19"/>
      <c r="E1243" s="19"/>
      <c r="F1243" s="19"/>
      <c r="G1243" s="19"/>
      <c r="H1243" s="19"/>
      <c r="I1243" s="19"/>
      <c r="J1243" s="19"/>
    </row>
    <row r="1244" spans="1:10">
      <c r="A1244" s="19"/>
      <c r="B1244" s="19"/>
      <c r="C1244" s="19"/>
      <c r="D1244" s="19"/>
      <c r="E1244" s="19"/>
      <c r="F1244" s="19"/>
      <c r="G1244" s="19"/>
      <c r="H1244" s="19"/>
      <c r="I1244" s="19"/>
      <c r="J1244" s="19"/>
    </row>
    <row r="1245" spans="1:10">
      <c r="A1245" s="19"/>
      <c r="B1245" s="19"/>
      <c r="C1245" s="19"/>
      <c r="D1245" s="19"/>
      <c r="E1245" s="19"/>
      <c r="F1245" s="19"/>
      <c r="G1245" s="19"/>
      <c r="H1245" s="19"/>
      <c r="I1245" s="19"/>
      <c r="J1245" s="19"/>
    </row>
    <row r="1246" spans="1:10">
      <c r="A1246" s="19"/>
      <c r="B1246" s="19"/>
      <c r="C1246" s="19"/>
      <c r="D1246" s="19"/>
      <c r="E1246" s="19"/>
      <c r="F1246" s="19"/>
      <c r="G1246" s="19"/>
      <c r="H1246" s="19"/>
      <c r="I1246" s="19"/>
      <c r="J1246" s="19"/>
    </row>
    <row r="1247" spans="1:10">
      <c r="A1247" s="19"/>
      <c r="B1247" s="19"/>
      <c r="C1247" s="19"/>
      <c r="D1247" s="19"/>
      <c r="E1247" s="19"/>
      <c r="F1247" s="19"/>
      <c r="G1247" s="19"/>
      <c r="H1247" s="19"/>
      <c r="I1247" s="19"/>
      <c r="J1247" s="19"/>
    </row>
    <row r="1248" spans="1:10">
      <c r="A1248" s="19"/>
      <c r="B1248" s="19"/>
      <c r="C1248" s="19"/>
      <c r="D1248" s="19"/>
      <c r="E1248" s="19"/>
      <c r="F1248" s="19"/>
      <c r="G1248" s="19"/>
      <c r="H1248" s="19"/>
      <c r="I1248" s="19"/>
      <c r="J1248" s="19"/>
    </row>
    <row r="1249" spans="1:10">
      <c r="A1249" s="19"/>
      <c r="B1249" s="19"/>
      <c r="C1249" s="19"/>
      <c r="D1249" s="19"/>
      <c r="E1249" s="19"/>
      <c r="F1249" s="19"/>
      <c r="G1249" s="19"/>
      <c r="H1249" s="19"/>
      <c r="I1249" s="19"/>
      <c r="J1249" s="19"/>
    </row>
    <row r="1250" spans="1:10">
      <c r="A1250" s="19"/>
      <c r="B1250" s="19"/>
      <c r="C1250" s="19"/>
      <c r="D1250" s="19"/>
      <c r="E1250" s="19"/>
      <c r="F1250" s="19"/>
      <c r="G1250" s="19"/>
      <c r="H1250" s="19"/>
      <c r="I1250" s="19"/>
      <c r="J1250" s="19"/>
    </row>
    <row r="1251" spans="1:10">
      <c r="A1251" s="19"/>
      <c r="B1251" s="19"/>
      <c r="C1251" s="19"/>
      <c r="D1251" s="19"/>
      <c r="E1251" s="19"/>
      <c r="F1251" s="19"/>
      <c r="G1251" s="19"/>
      <c r="H1251" s="19"/>
      <c r="I1251" s="19"/>
      <c r="J1251" s="19"/>
    </row>
    <row r="1252" spans="1:10">
      <c r="A1252" s="19"/>
      <c r="B1252" s="19"/>
      <c r="C1252" s="19"/>
      <c r="D1252" s="19"/>
      <c r="E1252" s="19"/>
      <c r="F1252" s="19"/>
      <c r="G1252" s="19"/>
      <c r="H1252" s="19"/>
      <c r="I1252" s="19"/>
      <c r="J1252" s="19"/>
    </row>
    <row r="1253" spans="1:10">
      <c r="A1253" s="19"/>
      <c r="B1253" s="19"/>
      <c r="C1253" s="19"/>
      <c r="D1253" s="19"/>
      <c r="E1253" s="19"/>
      <c r="F1253" s="19"/>
      <c r="G1253" s="19"/>
      <c r="H1253" s="19"/>
      <c r="I1253" s="19"/>
      <c r="J1253" s="19"/>
    </row>
    <row r="1254" spans="1:10">
      <c r="A1254" s="19"/>
      <c r="B1254" s="19"/>
      <c r="C1254" s="19"/>
      <c r="D1254" s="19"/>
      <c r="E1254" s="19"/>
      <c r="F1254" s="19"/>
      <c r="G1254" s="19"/>
      <c r="H1254" s="19"/>
      <c r="I1254" s="19"/>
      <c r="J1254" s="19"/>
    </row>
    <row r="1255" spans="1:10">
      <c r="A1255" s="19"/>
      <c r="B1255" s="19"/>
      <c r="C1255" s="19"/>
      <c r="D1255" s="19"/>
      <c r="E1255" s="19"/>
      <c r="F1255" s="19"/>
      <c r="G1255" s="19"/>
      <c r="H1255" s="19"/>
      <c r="I1255" s="19"/>
      <c r="J1255" s="19"/>
    </row>
    <row r="1256" spans="1:10">
      <c r="A1256" s="19"/>
      <c r="B1256" s="19"/>
      <c r="C1256" s="19"/>
      <c r="D1256" s="19"/>
      <c r="E1256" s="19"/>
      <c r="F1256" s="19"/>
      <c r="G1256" s="19"/>
      <c r="H1256" s="19"/>
      <c r="I1256" s="19"/>
      <c r="J1256" s="19"/>
    </row>
    <row r="1257" spans="1:10">
      <c r="A1257" s="19"/>
      <c r="B1257" s="19"/>
      <c r="C1257" s="19"/>
      <c r="D1257" s="19"/>
      <c r="E1257" s="19"/>
      <c r="F1257" s="19"/>
      <c r="G1257" s="19"/>
      <c r="H1257" s="19"/>
      <c r="I1257" s="19"/>
      <c r="J1257" s="19"/>
    </row>
    <row r="1258" spans="1:10">
      <c r="A1258" s="19"/>
      <c r="B1258" s="19"/>
      <c r="C1258" s="19"/>
      <c r="D1258" s="19"/>
      <c r="E1258" s="19"/>
      <c r="F1258" s="19"/>
      <c r="G1258" s="19"/>
      <c r="H1258" s="19"/>
      <c r="I1258" s="19"/>
      <c r="J1258" s="19"/>
    </row>
    <row r="1259" spans="1:10">
      <c r="A1259" s="19"/>
      <c r="B1259" s="19"/>
      <c r="C1259" s="19"/>
      <c r="D1259" s="19"/>
      <c r="E1259" s="19"/>
      <c r="F1259" s="19"/>
      <c r="G1259" s="19"/>
      <c r="H1259" s="19"/>
      <c r="I1259" s="19"/>
      <c r="J1259" s="19"/>
    </row>
    <row r="1260" spans="1:10">
      <c r="A1260" s="19"/>
      <c r="B1260" s="19"/>
      <c r="C1260" s="19"/>
      <c r="D1260" s="19"/>
      <c r="E1260" s="19"/>
      <c r="F1260" s="19"/>
      <c r="G1260" s="19"/>
      <c r="H1260" s="19"/>
      <c r="I1260" s="19"/>
      <c r="J1260" s="19"/>
    </row>
    <row r="1261" spans="1:10">
      <c r="A1261" s="19"/>
      <c r="B1261" s="19"/>
      <c r="C1261" s="19"/>
      <c r="D1261" s="19"/>
      <c r="E1261" s="19"/>
      <c r="F1261" s="19"/>
      <c r="G1261" s="19"/>
      <c r="H1261" s="19"/>
      <c r="I1261" s="19"/>
      <c r="J1261" s="19"/>
    </row>
    <row r="1262" spans="1:10">
      <c r="A1262" s="19"/>
      <c r="B1262" s="19"/>
      <c r="C1262" s="19"/>
      <c r="D1262" s="19"/>
      <c r="E1262" s="19"/>
      <c r="F1262" s="19"/>
      <c r="G1262" s="19"/>
      <c r="H1262" s="19"/>
      <c r="I1262" s="19"/>
      <c r="J1262" s="19"/>
    </row>
    <row r="1263" spans="1:10">
      <c r="A1263" s="19"/>
      <c r="B1263" s="19"/>
      <c r="C1263" s="19"/>
      <c r="D1263" s="19"/>
      <c r="E1263" s="19"/>
      <c r="F1263" s="19"/>
      <c r="G1263" s="19"/>
      <c r="H1263" s="19"/>
      <c r="I1263" s="19"/>
      <c r="J1263" s="19"/>
    </row>
    <row r="1264" spans="1:10">
      <c r="A1264" s="19"/>
      <c r="B1264" s="19"/>
      <c r="C1264" s="19"/>
      <c r="D1264" s="19"/>
      <c r="E1264" s="19"/>
      <c r="F1264" s="19"/>
      <c r="G1264" s="19"/>
      <c r="H1264" s="19"/>
      <c r="I1264" s="19"/>
      <c r="J1264" s="19"/>
    </row>
    <row r="1265" spans="1:10">
      <c r="A1265" s="19"/>
      <c r="B1265" s="19"/>
      <c r="C1265" s="19"/>
      <c r="D1265" s="19"/>
      <c r="E1265" s="19"/>
      <c r="F1265" s="19"/>
      <c r="G1265" s="19"/>
      <c r="H1265" s="19"/>
      <c r="I1265" s="19"/>
      <c r="J1265" s="19"/>
    </row>
    <row r="1266" spans="1:10">
      <c r="A1266" s="19"/>
      <c r="B1266" s="19"/>
      <c r="C1266" s="19"/>
      <c r="D1266" s="19"/>
      <c r="E1266" s="19"/>
      <c r="F1266" s="19"/>
      <c r="G1266" s="19"/>
      <c r="H1266" s="19"/>
      <c r="I1266" s="19"/>
      <c r="J1266" s="19"/>
    </row>
    <row r="1267" spans="1:10">
      <c r="A1267" s="19"/>
      <c r="B1267" s="19"/>
      <c r="C1267" s="19"/>
      <c r="D1267" s="19"/>
      <c r="E1267" s="19"/>
      <c r="F1267" s="19"/>
      <c r="G1267" s="19"/>
      <c r="H1267" s="19"/>
      <c r="I1267" s="19"/>
      <c r="J1267" s="19"/>
    </row>
    <row r="1268" spans="1:10">
      <c r="A1268" s="19"/>
      <c r="B1268" s="19"/>
      <c r="C1268" s="19"/>
      <c r="D1268" s="19"/>
      <c r="E1268" s="19"/>
      <c r="F1268" s="19"/>
      <c r="G1268" s="19"/>
      <c r="H1268" s="19"/>
      <c r="I1268" s="19"/>
      <c r="J1268" s="19"/>
    </row>
    <row r="1269" spans="1:10">
      <c r="A1269" s="19"/>
      <c r="B1269" s="19"/>
      <c r="C1269" s="19"/>
      <c r="D1269" s="19"/>
      <c r="E1269" s="19"/>
      <c r="F1269" s="19"/>
      <c r="G1269" s="19"/>
      <c r="H1269" s="19"/>
      <c r="I1269" s="19"/>
      <c r="J1269" s="19"/>
    </row>
    <row r="1270" spans="1:10">
      <c r="A1270" s="19"/>
      <c r="B1270" s="19"/>
      <c r="C1270" s="19"/>
      <c r="D1270" s="19"/>
      <c r="E1270" s="19"/>
      <c r="F1270" s="19"/>
      <c r="G1270" s="19"/>
      <c r="H1270" s="19"/>
      <c r="I1270" s="19"/>
      <c r="J1270" s="19"/>
    </row>
    <row r="1271" spans="1:10">
      <c r="A1271" s="19"/>
      <c r="B1271" s="19"/>
      <c r="C1271" s="19"/>
      <c r="D1271" s="19"/>
      <c r="E1271" s="19"/>
      <c r="F1271" s="19"/>
      <c r="G1271" s="19"/>
      <c r="H1271" s="19"/>
      <c r="I1271" s="19"/>
      <c r="J1271" s="19"/>
    </row>
    <row r="1272" spans="1:10">
      <c r="A1272" s="19"/>
      <c r="B1272" s="19"/>
      <c r="C1272" s="19"/>
      <c r="D1272" s="19"/>
      <c r="E1272" s="19"/>
      <c r="F1272" s="19"/>
      <c r="G1272" s="19"/>
      <c r="H1272" s="19"/>
      <c r="I1272" s="19"/>
      <c r="J1272" s="19"/>
    </row>
    <row r="1273" spans="1:10">
      <c r="A1273" s="19"/>
      <c r="B1273" s="19"/>
      <c r="C1273" s="19"/>
      <c r="D1273" s="19"/>
      <c r="E1273" s="19"/>
      <c r="F1273" s="19"/>
      <c r="G1273" s="19"/>
      <c r="H1273" s="19"/>
      <c r="I1273" s="19"/>
      <c r="J1273" s="19"/>
    </row>
    <row r="1274" spans="1:10">
      <c r="A1274" s="19"/>
      <c r="B1274" s="19"/>
      <c r="C1274" s="19"/>
      <c r="D1274" s="19"/>
      <c r="E1274" s="19"/>
      <c r="F1274" s="19"/>
      <c r="G1274" s="19"/>
      <c r="H1274" s="19"/>
      <c r="I1274" s="19"/>
      <c r="J1274" s="19"/>
    </row>
    <row r="1275" spans="1:10">
      <c r="A1275" s="19"/>
      <c r="B1275" s="19"/>
      <c r="C1275" s="19"/>
      <c r="D1275" s="19"/>
      <c r="E1275" s="19"/>
      <c r="F1275" s="19"/>
      <c r="G1275" s="19"/>
      <c r="H1275" s="19"/>
      <c r="I1275" s="19"/>
      <c r="J1275" s="19"/>
    </row>
    <row r="1276" spans="1:10">
      <c r="A1276" s="19"/>
      <c r="B1276" s="19"/>
      <c r="C1276" s="19"/>
      <c r="D1276" s="19"/>
      <c r="E1276" s="19"/>
      <c r="F1276" s="19"/>
      <c r="G1276" s="19"/>
      <c r="H1276" s="19"/>
      <c r="I1276" s="19"/>
      <c r="J1276" s="19"/>
    </row>
    <row r="1277" spans="1:10">
      <c r="A1277" s="19"/>
      <c r="B1277" s="19"/>
      <c r="C1277" s="19"/>
      <c r="D1277" s="19"/>
      <c r="E1277" s="19"/>
      <c r="F1277" s="19"/>
      <c r="G1277" s="19"/>
      <c r="H1277" s="19"/>
      <c r="I1277" s="19"/>
      <c r="J1277" s="19"/>
    </row>
    <row r="1278" spans="1:10">
      <c r="A1278" s="19"/>
      <c r="B1278" s="19"/>
      <c r="C1278" s="19"/>
      <c r="D1278" s="19"/>
      <c r="E1278" s="19"/>
      <c r="F1278" s="19"/>
      <c r="G1278" s="19"/>
      <c r="H1278" s="19"/>
      <c r="I1278" s="19"/>
      <c r="J1278" s="19"/>
    </row>
    <row r="1279" spans="1:10">
      <c r="A1279" s="19"/>
      <c r="B1279" s="19"/>
      <c r="C1279" s="19"/>
      <c r="D1279" s="19"/>
      <c r="E1279" s="19"/>
      <c r="F1279" s="19"/>
      <c r="G1279" s="19"/>
      <c r="H1279" s="19"/>
      <c r="I1279" s="19"/>
      <c r="J1279" s="19"/>
    </row>
    <row r="1280" spans="1:10">
      <c r="A1280" s="19"/>
      <c r="B1280" s="19"/>
      <c r="C1280" s="19"/>
      <c r="D1280" s="19"/>
      <c r="E1280" s="19"/>
      <c r="F1280" s="19"/>
      <c r="G1280" s="19"/>
      <c r="H1280" s="19"/>
      <c r="I1280" s="19"/>
      <c r="J1280" s="19"/>
    </row>
    <row r="1281" spans="1:10">
      <c r="A1281" s="19"/>
      <c r="B1281" s="19"/>
      <c r="C1281" s="19"/>
      <c r="D1281" s="19"/>
      <c r="E1281" s="19"/>
      <c r="F1281" s="19"/>
      <c r="G1281" s="19"/>
      <c r="H1281" s="19"/>
      <c r="I1281" s="19"/>
      <c r="J1281" s="19"/>
    </row>
    <row r="1282" spans="1:10">
      <c r="A1282" s="19"/>
      <c r="B1282" s="19"/>
      <c r="C1282" s="19"/>
      <c r="D1282" s="19"/>
      <c r="E1282" s="19"/>
      <c r="F1282" s="19"/>
      <c r="G1282" s="19"/>
      <c r="H1282" s="19"/>
      <c r="I1282" s="19"/>
      <c r="J1282" s="19"/>
    </row>
    <row r="1283" spans="1:10">
      <c r="A1283" s="19"/>
      <c r="B1283" s="19"/>
      <c r="C1283" s="19"/>
      <c r="D1283" s="19"/>
      <c r="E1283" s="19"/>
      <c r="F1283" s="19"/>
      <c r="G1283" s="19"/>
      <c r="H1283" s="19"/>
      <c r="I1283" s="19"/>
      <c r="J1283" s="19"/>
    </row>
    <row r="1284" spans="1:10">
      <c r="A1284" s="19"/>
      <c r="B1284" s="19"/>
      <c r="C1284" s="19"/>
      <c r="D1284" s="19"/>
      <c r="E1284" s="19"/>
      <c r="F1284" s="19"/>
      <c r="G1284" s="19"/>
      <c r="H1284" s="19"/>
      <c r="I1284" s="19"/>
      <c r="J1284" s="19"/>
    </row>
    <row r="1285" spans="1:10">
      <c r="A1285" s="19"/>
      <c r="B1285" s="19"/>
      <c r="C1285" s="19"/>
      <c r="D1285" s="19"/>
      <c r="E1285" s="19"/>
      <c r="F1285" s="19"/>
      <c r="G1285" s="19"/>
      <c r="H1285" s="19"/>
      <c r="I1285" s="19"/>
      <c r="J1285" s="19"/>
    </row>
    <row r="1286" spans="1:10">
      <c r="A1286" s="19"/>
      <c r="B1286" s="19"/>
      <c r="C1286" s="19"/>
      <c r="D1286" s="19"/>
      <c r="E1286" s="19"/>
      <c r="F1286" s="19"/>
      <c r="G1286" s="19"/>
      <c r="H1286" s="19"/>
      <c r="I1286" s="19"/>
      <c r="J1286" s="19"/>
    </row>
    <row r="1287" spans="1:10">
      <c r="A1287" s="19"/>
      <c r="B1287" s="19"/>
      <c r="C1287" s="19"/>
      <c r="D1287" s="19"/>
      <c r="E1287" s="19"/>
      <c r="F1287" s="19"/>
      <c r="G1287" s="19"/>
      <c r="H1287" s="19"/>
      <c r="I1287" s="19"/>
      <c r="J1287" s="19"/>
    </row>
    <row r="1288" spans="1:10">
      <c r="A1288" s="19"/>
      <c r="B1288" s="19"/>
      <c r="C1288" s="19"/>
      <c r="D1288" s="19"/>
      <c r="E1288" s="19"/>
      <c r="F1288" s="19"/>
      <c r="G1288" s="19"/>
      <c r="H1288" s="19"/>
      <c r="I1288" s="19"/>
      <c r="J1288" s="19"/>
    </row>
    <row r="1289" spans="1:10">
      <c r="A1289" s="19"/>
      <c r="B1289" s="19"/>
      <c r="C1289" s="19"/>
      <c r="D1289" s="19"/>
      <c r="E1289" s="19"/>
      <c r="F1289" s="19"/>
      <c r="G1289" s="19"/>
      <c r="H1289" s="19"/>
      <c r="I1289" s="19"/>
      <c r="J1289" s="19"/>
    </row>
    <row r="1290" spans="1:10">
      <c r="A1290" s="19"/>
      <c r="B1290" s="19"/>
      <c r="C1290" s="19"/>
      <c r="D1290" s="19"/>
      <c r="E1290" s="19"/>
      <c r="F1290" s="19"/>
      <c r="G1290" s="19"/>
      <c r="H1290" s="19"/>
      <c r="I1290" s="19"/>
      <c r="J1290" s="19"/>
    </row>
    <row r="1291" spans="1:10">
      <c r="A1291" s="19"/>
      <c r="B1291" s="19"/>
      <c r="C1291" s="19"/>
      <c r="D1291" s="19"/>
      <c r="E1291" s="19"/>
      <c r="F1291" s="19"/>
      <c r="G1291" s="19"/>
      <c r="H1291" s="19"/>
      <c r="I1291" s="19"/>
      <c r="J1291" s="19"/>
    </row>
    <row r="1292" spans="1:10">
      <c r="A1292" s="19"/>
      <c r="B1292" s="19"/>
      <c r="C1292" s="19"/>
      <c r="D1292" s="19"/>
      <c r="E1292" s="19"/>
      <c r="F1292" s="19"/>
      <c r="G1292" s="19"/>
      <c r="H1292" s="19"/>
      <c r="I1292" s="19"/>
      <c r="J1292" s="19"/>
    </row>
    <row r="1293" spans="1:10">
      <c r="A1293" s="19"/>
      <c r="B1293" s="19"/>
      <c r="C1293" s="19"/>
      <c r="D1293" s="19"/>
      <c r="E1293" s="19"/>
      <c r="F1293" s="19"/>
      <c r="G1293" s="19"/>
      <c r="H1293" s="19"/>
      <c r="I1293" s="19"/>
      <c r="J1293" s="19"/>
    </row>
    <row r="1294" spans="1:10">
      <c r="A1294" s="19"/>
      <c r="B1294" s="19"/>
      <c r="C1294" s="19"/>
      <c r="D1294" s="19"/>
      <c r="E1294" s="19"/>
      <c r="F1294" s="19"/>
      <c r="G1294" s="19"/>
      <c r="H1294" s="19"/>
      <c r="I1294" s="19"/>
      <c r="J1294" s="19"/>
    </row>
    <row r="1295" spans="1:10">
      <c r="A1295" s="19"/>
      <c r="B1295" s="19"/>
      <c r="C1295" s="19"/>
      <c r="D1295" s="19"/>
      <c r="E1295" s="19"/>
      <c r="F1295" s="19"/>
      <c r="G1295" s="19"/>
      <c r="H1295" s="19"/>
      <c r="I1295" s="19"/>
      <c r="J1295" s="19"/>
    </row>
    <row r="1296" spans="1:10">
      <c r="A1296" s="19"/>
      <c r="B1296" s="19"/>
      <c r="C1296" s="19"/>
      <c r="D1296" s="19"/>
      <c r="E1296" s="19"/>
      <c r="F1296" s="19"/>
      <c r="G1296" s="19"/>
      <c r="H1296" s="19"/>
      <c r="I1296" s="19"/>
      <c r="J1296" s="19"/>
    </row>
    <row r="1297" spans="1:10">
      <c r="A1297" s="19"/>
      <c r="B1297" s="19"/>
      <c r="C1297" s="19"/>
      <c r="D1297" s="19"/>
      <c r="E1297" s="19"/>
      <c r="F1297" s="19"/>
      <c r="G1297" s="19"/>
      <c r="H1297" s="19"/>
      <c r="I1297" s="19"/>
      <c r="J1297" s="19"/>
    </row>
    <row r="1298" spans="1:10">
      <c r="A1298" s="19"/>
      <c r="B1298" s="19"/>
      <c r="C1298" s="19"/>
      <c r="D1298" s="19"/>
      <c r="E1298" s="19"/>
      <c r="F1298" s="19"/>
      <c r="G1298" s="19"/>
      <c r="H1298" s="19"/>
      <c r="I1298" s="19"/>
      <c r="J1298" s="19"/>
    </row>
    <row r="1299" spans="1:10">
      <c r="A1299" s="19"/>
      <c r="B1299" s="19"/>
      <c r="C1299" s="19"/>
      <c r="D1299" s="19"/>
      <c r="E1299" s="19"/>
      <c r="F1299" s="19"/>
      <c r="G1299" s="19"/>
      <c r="H1299" s="19"/>
      <c r="I1299" s="19"/>
      <c r="J1299" s="19"/>
    </row>
    <row r="1300" spans="1:10">
      <c r="A1300" s="19"/>
      <c r="B1300" s="19"/>
      <c r="C1300" s="19"/>
      <c r="D1300" s="19"/>
      <c r="E1300" s="19"/>
      <c r="F1300" s="19"/>
      <c r="G1300" s="19"/>
      <c r="H1300" s="19"/>
      <c r="I1300" s="19"/>
      <c r="J1300" s="19"/>
    </row>
    <row r="1301" spans="1:10">
      <c r="A1301" s="19"/>
      <c r="B1301" s="19"/>
      <c r="C1301" s="19"/>
      <c r="D1301" s="19"/>
      <c r="E1301" s="19"/>
      <c r="F1301" s="19"/>
      <c r="G1301" s="19"/>
      <c r="H1301" s="19"/>
      <c r="I1301" s="19"/>
      <c r="J1301" s="19"/>
    </row>
    <row r="1302" spans="1:10">
      <c r="A1302" s="19"/>
      <c r="B1302" s="19"/>
      <c r="C1302" s="19"/>
      <c r="D1302" s="19"/>
      <c r="E1302" s="19"/>
      <c r="F1302" s="19"/>
      <c r="G1302" s="19"/>
      <c r="H1302" s="19"/>
      <c r="I1302" s="19"/>
      <c r="J1302" s="19"/>
    </row>
    <row r="1303" spans="1:10">
      <c r="A1303" s="19"/>
      <c r="B1303" s="19"/>
      <c r="C1303" s="19"/>
      <c r="D1303" s="19"/>
      <c r="E1303" s="19"/>
      <c r="F1303" s="19"/>
      <c r="G1303" s="19"/>
      <c r="H1303" s="19"/>
      <c r="I1303" s="19"/>
      <c r="J1303" s="19"/>
    </row>
    <row r="1304" spans="1:10">
      <c r="A1304" s="19"/>
      <c r="B1304" s="19"/>
      <c r="C1304" s="19"/>
      <c r="D1304" s="19"/>
      <c r="E1304" s="19"/>
      <c r="F1304" s="19"/>
      <c r="G1304" s="19"/>
      <c r="H1304" s="19"/>
      <c r="I1304" s="19"/>
      <c r="J1304" s="19"/>
    </row>
    <row r="1305" spans="1:10">
      <c r="A1305" s="19"/>
      <c r="B1305" s="19"/>
      <c r="C1305" s="19"/>
      <c r="D1305" s="19"/>
      <c r="E1305" s="19"/>
      <c r="F1305" s="19"/>
      <c r="G1305" s="19"/>
      <c r="H1305" s="19"/>
      <c r="I1305" s="19"/>
      <c r="J1305" s="19"/>
    </row>
    <row r="1306" spans="1:10">
      <c r="A1306" s="19"/>
      <c r="B1306" s="19"/>
      <c r="C1306" s="19"/>
      <c r="D1306" s="19"/>
      <c r="E1306" s="19"/>
      <c r="F1306" s="19"/>
      <c r="G1306" s="19"/>
      <c r="H1306" s="19"/>
      <c r="I1306" s="19"/>
      <c r="J1306" s="19"/>
    </row>
    <row r="1307" spans="1:10">
      <c r="A1307" s="19"/>
      <c r="B1307" s="19"/>
      <c r="C1307" s="19"/>
      <c r="D1307" s="19"/>
      <c r="E1307" s="19"/>
      <c r="F1307" s="19"/>
      <c r="G1307" s="19"/>
      <c r="H1307" s="19"/>
      <c r="I1307" s="19"/>
      <c r="J1307" s="19"/>
    </row>
    <row r="1308" spans="1:10">
      <c r="A1308" s="19"/>
      <c r="B1308" s="19"/>
      <c r="C1308" s="19"/>
      <c r="D1308" s="19"/>
      <c r="E1308" s="19"/>
      <c r="F1308" s="19"/>
      <c r="G1308" s="19"/>
      <c r="H1308" s="19"/>
      <c r="I1308" s="19"/>
      <c r="J1308" s="19"/>
    </row>
    <row r="1309" spans="1:10">
      <c r="A1309" s="19"/>
      <c r="B1309" s="19"/>
      <c r="C1309" s="19"/>
      <c r="D1309" s="19"/>
      <c r="E1309" s="19"/>
      <c r="F1309" s="19"/>
      <c r="G1309" s="19"/>
      <c r="H1309" s="19"/>
      <c r="I1309" s="19"/>
      <c r="J1309" s="19"/>
    </row>
    <row r="1310" spans="1:10">
      <c r="A1310" s="19"/>
      <c r="B1310" s="19"/>
      <c r="C1310" s="19"/>
      <c r="D1310" s="19"/>
      <c r="E1310" s="19"/>
      <c r="F1310" s="19"/>
      <c r="G1310" s="19"/>
      <c r="H1310" s="19"/>
      <c r="I1310" s="19"/>
      <c r="J1310" s="19"/>
    </row>
    <row r="1311" spans="1:10">
      <c r="A1311" s="19"/>
      <c r="B1311" s="19"/>
      <c r="C1311" s="19"/>
      <c r="D1311" s="19"/>
      <c r="E1311" s="19"/>
      <c r="F1311" s="19"/>
      <c r="G1311" s="19"/>
      <c r="H1311" s="19"/>
      <c r="I1311" s="19"/>
      <c r="J1311" s="19"/>
    </row>
    <row r="1312" spans="1:10">
      <c r="A1312" s="19"/>
      <c r="B1312" s="19"/>
      <c r="C1312" s="19"/>
      <c r="D1312" s="19"/>
      <c r="E1312" s="19"/>
      <c r="F1312" s="19"/>
      <c r="G1312" s="19"/>
      <c r="H1312" s="19"/>
      <c r="I1312" s="19"/>
      <c r="J1312" s="19"/>
    </row>
    <row r="1313" spans="1:10">
      <c r="A1313" s="19"/>
      <c r="B1313" s="19"/>
      <c r="C1313" s="19"/>
      <c r="D1313" s="19"/>
      <c r="E1313" s="19"/>
      <c r="F1313" s="19"/>
      <c r="G1313" s="19"/>
      <c r="H1313" s="19"/>
      <c r="I1313" s="19"/>
      <c r="J1313" s="19"/>
    </row>
    <row r="1314" spans="1:10">
      <c r="A1314" s="19"/>
      <c r="B1314" s="19"/>
      <c r="C1314" s="19"/>
      <c r="D1314" s="19"/>
      <c r="E1314" s="19"/>
      <c r="F1314" s="19"/>
      <c r="G1314" s="19"/>
      <c r="H1314" s="19"/>
      <c r="I1314" s="19"/>
      <c r="J1314" s="19"/>
    </row>
    <row r="1315" spans="1:10">
      <c r="A1315" s="19"/>
      <c r="B1315" s="19"/>
      <c r="C1315" s="19"/>
      <c r="D1315" s="19"/>
      <c r="E1315" s="19"/>
      <c r="F1315" s="19"/>
      <c r="G1315" s="19"/>
      <c r="H1315" s="19"/>
      <c r="I1315" s="19"/>
      <c r="J1315" s="19"/>
    </row>
    <row r="1316" spans="1:10">
      <c r="A1316" s="19"/>
      <c r="B1316" s="19"/>
      <c r="C1316" s="19"/>
      <c r="D1316" s="19"/>
      <c r="E1316" s="19"/>
      <c r="F1316" s="19"/>
      <c r="G1316" s="19"/>
      <c r="H1316" s="19"/>
      <c r="I1316" s="19"/>
      <c r="J1316" s="19"/>
    </row>
    <row r="1317" spans="1:10">
      <c r="A1317" s="19"/>
      <c r="B1317" s="19"/>
      <c r="C1317" s="19"/>
      <c r="D1317" s="19"/>
      <c r="E1317" s="19"/>
      <c r="F1317" s="19"/>
      <c r="G1317" s="19"/>
      <c r="H1317" s="19"/>
      <c r="I1317" s="19"/>
      <c r="J1317" s="19"/>
    </row>
    <row r="1318" spans="1:10">
      <c r="A1318" s="19"/>
      <c r="B1318" s="19"/>
      <c r="C1318" s="19"/>
      <c r="D1318" s="19"/>
      <c r="E1318" s="19"/>
      <c r="F1318" s="19"/>
      <c r="G1318" s="19"/>
      <c r="H1318" s="19"/>
      <c r="I1318" s="19"/>
      <c r="J1318" s="19"/>
    </row>
    <row r="1319" spans="1:10">
      <c r="A1319" s="19"/>
      <c r="B1319" s="19"/>
      <c r="C1319" s="19"/>
      <c r="D1319" s="19"/>
      <c r="E1319" s="19"/>
      <c r="F1319" s="19"/>
      <c r="G1319" s="19"/>
      <c r="H1319" s="19"/>
      <c r="I1319" s="19"/>
      <c r="J1319" s="19"/>
    </row>
    <row r="1320" spans="1:10">
      <c r="A1320" s="19"/>
      <c r="B1320" s="19"/>
      <c r="C1320" s="19"/>
      <c r="D1320" s="19"/>
      <c r="E1320" s="19"/>
      <c r="F1320" s="19"/>
      <c r="G1320" s="19"/>
      <c r="H1320" s="19"/>
      <c r="I1320" s="19"/>
      <c r="J1320" s="19"/>
    </row>
    <row r="1321" spans="1:10">
      <c r="A1321" s="19"/>
      <c r="B1321" s="19"/>
      <c r="C1321" s="19"/>
      <c r="D1321" s="19"/>
      <c r="E1321" s="19"/>
      <c r="F1321" s="19"/>
      <c r="G1321" s="19"/>
      <c r="H1321" s="19"/>
      <c r="I1321" s="19"/>
      <c r="J1321" s="19"/>
    </row>
    <row r="1322" spans="1:10">
      <c r="A1322" s="19"/>
      <c r="B1322" s="19"/>
      <c r="C1322" s="19"/>
      <c r="D1322" s="19"/>
      <c r="E1322" s="19"/>
      <c r="F1322" s="19"/>
      <c r="G1322" s="19"/>
      <c r="H1322" s="19"/>
      <c r="I1322" s="19"/>
      <c r="J1322" s="19"/>
    </row>
    <row r="1323" spans="1:10">
      <c r="A1323" s="19"/>
      <c r="B1323" s="19"/>
      <c r="C1323" s="19"/>
      <c r="D1323" s="19"/>
      <c r="E1323" s="19"/>
      <c r="F1323" s="19"/>
      <c r="G1323" s="19"/>
      <c r="H1323" s="19"/>
      <c r="I1323" s="19"/>
      <c r="J1323" s="19"/>
    </row>
    <row r="1324" spans="1:10">
      <c r="A1324" s="19"/>
      <c r="B1324" s="19"/>
      <c r="C1324" s="19"/>
      <c r="D1324" s="19"/>
      <c r="E1324" s="19"/>
      <c r="F1324" s="19"/>
      <c r="G1324" s="19"/>
      <c r="H1324" s="19"/>
      <c r="I1324" s="19"/>
      <c r="J1324" s="19"/>
    </row>
    <row r="1325" spans="1:10">
      <c r="A1325" s="19"/>
      <c r="B1325" s="19"/>
      <c r="C1325" s="19"/>
      <c r="D1325" s="19"/>
      <c r="E1325" s="19"/>
      <c r="F1325" s="19"/>
      <c r="G1325" s="19"/>
      <c r="H1325" s="19"/>
      <c r="I1325" s="19"/>
      <c r="J1325" s="19"/>
    </row>
    <row r="1326" spans="1:10">
      <c r="A1326" s="19"/>
      <c r="B1326" s="19"/>
      <c r="C1326" s="19"/>
      <c r="D1326" s="19"/>
      <c r="E1326" s="19"/>
      <c r="F1326" s="19"/>
      <c r="G1326" s="19"/>
      <c r="H1326" s="19"/>
      <c r="I1326" s="19"/>
      <c r="J1326" s="19"/>
    </row>
    <row r="1327" spans="1:10">
      <c r="A1327" s="19"/>
      <c r="B1327" s="19"/>
      <c r="C1327" s="19"/>
      <c r="D1327" s="19"/>
      <c r="E1327" s="19"/>
      <c r="F1327" s="19"/>
      <c r="G1327" s="19"/>
      <c r="H1327" s="19"/>
      <c r="I1327" s="19"/>
      <c r="J1327" s="19"/>
    </row>
    <row r="1328" spans="1:10">
      <c r="A1328" s="19"/>
      <c r="B1328" s="19"/>
      <c r="C1328" s="19"/>
      <c r="D1328" s="19"/>
      <c r="E1328" s="19"/>
      <c r="F1328" s="19"/>
      <c r="G1328" s="19"/>
      <c r="H1328" s="19"/>
      <c r="I1328" s="19"/>
      <c r="J1328" s="19"/>
    </row>
    <row r="1329" spans="1:10">
      <c r="A1329" s="19"/>
      <c r="B1329" s="19"/>
      <c r="C1329" s="19"/>
      <c r="D1329" s="19"/>
      <c r="E1329" s="19"/>
      <c r="F1329" s="19"/>
      <c r="G1329" s="19"/>
      <c r="H1329" s="19"/>
      <c r="I1329" s="19"/>
      <c r="J1329" s="19"/>
    </row>
    <row r="1330" spans="1:10">
      <c r="A1330" s="19"/>
      <c r="B1330" s="19"/>
      <c r="C1330" s="19"/>
      <c r="D1330" s="19"/>
      <c r="E1330" s="19"/>
      <c r="F1330" s="19"/>
      <c r="G1330" s="19"/>
      <c r="H1330" s="19"/>
      <c r="I1330" s="19"/>
      <c r="J1330" s="19"/>
    </row>
    <row r="1331" spans="1:10">
      <c r="A1331" s="19"/>
      <c r="B1331" s="19"/>
      <c r="C1331" s="19"/>
      <c r="D1331" s="19"/>
      <c r="E1331" s="19"/>
      <c r="F1331" s="19"/>
      <c r="G1331" s="19"/>
      <c r="H1331" s="19"/>
      <c r="I1331" s="19"/>
      <c r="J1331" s="19"/>
    </row>
    <row r="1332" spans="1:10">
      <c r="A1332" s="19"/>
      <c r="B1332" s="19"/>
      <c r="C1332" s="19"/>
      <c r="D1332" s="19"/>
      <c r="E1332" s="19"/>
      <c r="F1332" s="19"/>
      <c r="G1332" s="19"/>
      <c r="H1332" s="19"/>
      <c r="I1332" s="19"/>
      <c r="J1332" s="19"/>
    </row>
    <row r="1333" spans="1:10">
      <c r="A1333" s="19"/>
      <c r="B1333" s="19"/>
      <c r="C1333" s="19"/>
      <c r="D1333" s="19"/>
      <c r="E1333" s="19"/>
      <c r="F1333" s="19"/>
      <c r="G1333" s="19"/>
      <c r="H1333" s="19"/>
      <c r="I1333" s="19"/>
      <c r="J1333" s="19"/>
    </row>
    <row r="1334" spans="1:10">
      <c r="A1334" s="19"/>
      <c r="B1334" s="19"/>
      <c r="C1334" s="19"/>
      <c r="D1334" s="19"/>
      <c r="E1334" s="19"/>
      <c r="F1334" s="19"/>
      <c r="G1334" s="19"/>
      <c r="H1334" s="19"/>
      <c r="I1334" s="19"/>
      <c r="J1334" s="19"/>
    </row>
    <row r="1335" spans="1:10">
      <c r="A1335" s="19"/>
      <c r="B1335" s="19"/>
      <c r="C1335" s="19"/>
      <c r="D1335" s="19"/>
      <c r="E1335" s="19"/>
      <c r="F1335" s="19"/>
      <c r="G1335" s="19"/>
      <c r="H1335" s="19"/>
      <c r="I1335" s="19"/>
      <c r="J1335" s="19"/>
    </row>
    <row r="1336" spans="1:10">
      <c r="A1336" s="19"/>
      <c r="B1336" s="19"/>
      <c r="C1336" s="19"/>
      <c r="D1336" s="19"/>
      <c r="E1336" s="19"/>
      <c r="F1336" s="19"/>
      <c r="G1336" s="19"/>
      <c r="H1336" s="19"/>
      <c r="I1336" s="19"/>
      <c r="J1336" s="19"/>
    </row>
    <row r="1337" spans="1:10">
      <c r="A1337" s="19"/>
      <c r="B1337" s="19"/>
      <c r="C1337" s="19"/>
      <c r="D1337" s="19"/>
      <c r="E1337" s="19"/>
      <c r="F1337" s="19"/>
      <c r="G1337" s="19"/>
      <c r="H1337" s="19"/>
      <c r="I1337" s="19"/>
      <c r="J1337" s="19"/>
    </row>
    <row r="1338" spans="1:10">
      <c r="A1338" s="19"/>
      <c r="B1338" s="19"/>
      <c r="C1338" s="19"/>
      <c r="D1338" s="19"/>
      <c r="E1338" s="19"/>
      <c r="F1338" s="19"/>
      <c r="G1338" s="19"/>
      <c r="H1338" s="19"/>
      <c r="I1338" s="19"/>
      <c r="J1338" s="19"/>
    </row>
    <row r="1339" spans="1:10">
      <c r="A1339" s="19"/>
      <c r="B1339" s="19"/>
      <c r="C1339" s="19"/>
      <c r="D1339" s="19"/>
      <c r="E1339" s="19"/>
      <c r="F1339" s="19"/>
      <c r="G1339" s="19"/>
      <c r="H1339" s="19"/>
      <c r="I1339" s="19"/>
      <c r="J1339" s="19"/>
    </row>
    <row r="1340" spans="1:10">
      <c r="A1340" s="19"/>
      <c r="B1340" s="19"/>
      <c r="C1340" s="19"/>
      <c r="D1340" s="19"/>
      <c r="E1340" s="19"/>
      <c r="F1340" s="19"/>
      <c r="G1340" s="19"/>
      <c r="H1340" s="19"/>
      <c r="I1340" s="19"/>
      <c r="J1340" s="19"/>
    </row>
    <row r="1341" spans="1:10">
      <c r="A1341" s="19"/>
      <c r="B1341" s="19"/>
      <c r="C1341" s="19"/>
      <c r="D1341" s="19"/>
      <c r="E1341" s="19"/>
      <c r="F1341" s="19"/>
      <c r="G1341" s="19"/>
      <c r="H1341" s="19"/>
      <c r="I1341" s="19"/>
      <c r="J1341" s="19"/>
    </row>
    <row r="1342" spans="1:10">
      <c r="A1342" s="19"/>
      <c r="B1342" s="19"/>
      <c r="C1342" s="19"/>
      <c r="D1342" s="19"/>
      <c r="E1342" s="19"/>
      <c r="F1342" s="19"/>
      <c r="G1342" s="19"/>
      <c r="H1342" s="19"/>
      <c r="I1342" s="19"/>
      <c r="J1342" s="19"/>
    </row>
    <row r="1343" spans="1:10">
      <c r="A1343" s="19"/>
      <c r="B1343" s="19"/>
      <c r="C1343" s="19"/>
      <c r="D1343" s="19"/>
      <c r="E1343" s="19"/>
      <c r="F1343" s="19"/>
      <c r="G1343" s="19"/>
      <c r="H1343" s="19"/>
      <c r="I1343" s="19"/>
      <c r="J1343" s="19"/>
    </row>
    <row r="1344" spans="1:10">
      <c r="A1344" s="19"/>
      <c r="B1344" s="19"/>
      <c r="C1344" s="19"/>
      <c r="D1344" s="19"/>
      <c r="E1344" s="19"/>
      <c r="F1344" s="19"/>
      <c r="G1344" s="19"/>
      <c r="H1344" s="19"/>
      <c r="I1344" s="19"/>
      <c r="J1344" s="19"/>
    </row>
    <row r="1345" spans="1:10">
      <c r="A1345" s="19"/>
      <c r="B1345" s="19"/>
      <c r="C1345" s="19"/>
      <c r="D1345" s="19"/>
      <c r="E1345" s="19"/>
      <c r="F1345" s="19"/>
      <c r="G1345" s="19"/>
      <c r="H1345" s="19"/>
      <c r="I1345" s="19"/>
      <c r="J1345" s="19"/>
    </row>
    <row r="1346" spans="1:10">
      <c r="A1346" s="19"/>
      <c r="B1346" s="19"/>
      <c r="C1346" s="19"/>
      <c r="D1346" s="19"/>
      <c r="E1346" s="19"/>
      <c r="F1346" s="19"/>
      <c r="G1346" s="19"/>
      <c r="H1346" s="19"/>
      <c r="I1346" s="19"/>
      <c r="J1346" s="19"/>
    </row>
    <row r="1347" spans="1:10">
      <c r="A1347" s="19"/>
      <c r="B1347" s="19"/>
      <c r="C1347" s="19"/>
      <c r="D1347" s="19"/>
      <c r="E1347" s="19"/>
      <c r="F1347" s="19"/>
      <c r="G1347" s="19"/>
      <c r="H1347" s="19"/>
      <c r="I1347" s="19"/>
      <c r="J1347" s="19"/>
    </row>
    <row r="1348" spans="1:10">
      <c r="A1348" s="19"/>
      <c r="B1348" s="19"/>
      <c r="C1348" s="19"/>
      <c r="D1348" s="19"/>
      <c r="E1348" s="19"/>
      <c r="F1348" s="19"/>
      <c r="G1348" s="19"/>
      <c r="H1348" s="19"/>
      <c r="I1348" s="19"/>
      <c r="J1348" s="19"/>
    </row>
    <row r="1349" spans="1:10">
      <c r="A1349" s="19"/>
      <c r="B1349" s="19"/>
      <c r="C1349" s="19"/>
      <c r="D1349" s="19"/>
      <c r="E1349" s="19"/>
      <c r="F1349" s="19"/>
      <c r="G1349" s="19"/>
      <c r="H1349" s="19"/>
      <c r="I1349" s="19"/>
      <c r="J1349" s="19"/>
    </row>
  </sheetData>
  <mergeCells count="25">
    <mergeCell ref="B2:I2"/>
    <mergeCell ref="B5:I5"/>
    <mergeCell ref="B4:I4"/>
    <mergeCell ref="C6:I6"/>
    <mergeCell ref="A1:J1"/>
    <mergeCell ref="C7:I7"/>
    <mergeCell ref="C8:I8"/>
    <mergeCell ref="B20:I20"/>
    <mergeCell ref="B21:C21"/>
    <mergeCell ref="B17:I17"/>
    <mergeCell ref="B18:I18"/>
    <mergeCell ref="B19:I19"/>
    <mergeCell ref="C9:I9"/>
    <mergeCell ref="C10:I10"/>
    <mergeCell ref="C11:I11"/>
    <mergeCell ref="C12:I12"/>
    <mergeCell ref="C13:I13"/>
    <mergeCell ref="C14:I14"/>
    <mergeCell ref="B16:I16"/>
    <mergeCell ref="I48:J48"/>
    <mergeCell ref="B22:I22"/>
    <mergeCell ref="B23:I23"/>
    <mergeCell ref="B24:I24"/>
    <mergeCell ref="B25:I25"/>
    <mergeCell ref="B26:C26"/>
  </mergeCells>
  <phoneticPr fontId="18" type="noConversion"/>
  <pageMargins left="0.7" right="0.7" top="1" bottom="0.75" header="0.3" footer="0.3"/>
  <pageSetup scale="73" orientation="portrait" r:id="rId1"/>
  <headerFooter>
    <oddHeader>&amp;C&amp;G</oddHeader>
    <oddFooter>&amp;REUS0027V04</oddFooter>
  </headerFooter>
  <drawing r:id="rId2"/>
  <legacyDrawingHF r:id="rId3"/>
</worksheet>
</file>

<file path=xl/worksheets/sheet2.xml><?xml version="1.0" encoding="utf-8"?>
<worksheet xmlns="http://schemas.openxmlformats.org/spreadsheetml/2006/main" xmlns:r="http://schemas.openxmlformats.org/officeDocument/2006/relationships">
  <sheetPr codeName="Sheet5"/>
  <dimension ref="A1:CU1348"/>
  <sheetViews>
    <sheetView zoomScale="90" zoomScaleNormal="90" zoomScalePageLayoutView="72" workbookViewId="0">
      <selection activeCell="B15" sqref="B15"/>
    </sheetView>
  </sheetViews>
  <sheetFormatPr defaultColWidth="9" defaultRowHeight="12.75"/>
  <cols>
    <col min="1" max="1" width="2.625" style="18" customWidth="1"/>
    <col min="2" max="8" width="12.625" style="18" customWidth="1"/>
    <col min="9" max="9" width="25.75" style="18" customWidth="1"/>
    <col min="10" max="10" width="2.625" style="18" customWidth="1"/>
    <col min="11" max="99" width="9" style="19"/>
    <col min="100" max="16384" width="9" style="18"/>
  </cols>
  <sheetData>
    <row r="1" spans="1:99" ht="26.25" customHeight="1">
      <c r="A1" s="229" t="s">
        <v>117</v>
      </c>
      <c r="B1" s="229"/>
      <c r="C1" s="229"/>
      <c r="D1" s="229"/>
      <c r="E1" s="229"/>
      <c r="F1" s="229"/>
      <c r="G1" s="229"/>
      <c r="H1" s="229"/>
      <c r="I1" s="229"/>
      <c r="J1" s="229"/>
      <c r="K1" s="56"/>
    </row>
    <row r="2" spans="1:99">
      <c r="A2" s="19"/>
      <c r="B2" s="228"/>
      <c r="C2" s="228"/>
      <c r="D2" s="228"/>
      <c r="E2" s="228"/>
      <c r="F2" s="228"/>
      <c r="G2" s="228"/>
      <c r="H2" s="228"/>
      <c r="I2" s="228"/>
      <c r="J2" s="19"/>
      <c r="K2" s="56"/>
    </row>
    <row r="3" spans="1:99" s="35" customFormat="1" ht="12.75" customHeight="1">
      <c r="A3" s="33"/>
      <c r="B3" s="34"/>
      <c r="C3" s="34"/>
      <c r="D3" s="34"/>
      <c r="E3" s="34"/>
      <c r="F3" s="34"/>
      <c r="G3" s="34"/>
      <c r="H3" s="34"/>
      <c r="I3" s="34"/>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row>
    <row r="4" spans="1:99" s="35" customFormat="1" ht="93.75" customHeight="1">
      <c r="A4" s="33"/>
      <c r="B4" s="227" t="s">
        <v>92</v>
      </c>
      <c r="C4" s="226"/>
      <c r="D4" s="226"/>
      <c r="E4" s="226"/>
      <c r="F4" s="226"/>
      <c r="G4" s="226"/>
      <c r="H4" s="226"/>
      <c r="I4" s="226"/>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row>
    <row r="5" spans="1:99" s="35" customFormat="1" ht="9" customHeight="1">
      <c r="A5" s="33"/>
      <c r="B5" s="225"/>
      <c r="C5" s="225"/>
      <c r="D5" s="225"/>
      <c r="E5" s="225"/>
      <c r="F5" s="225"/>
      <c r="G5" s="225"/>
      <c r="H5" s="225"/>
      <c r="I5" s="225"/>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row>
    <row r="6" spans="1:99" s="35" customFormat="1" ht="15.75">
      <c r="A6" s="33"/>
      <c r="B6" s="64" t="s">
        <v>93</v>
      </c>
      <c r="C6" s="226"/>
      <c r="D6" s="226"/>
      <c r="E6" s="226"/>
      <c r="F6" s="226"/>
      <c r="G6" s="226"/>
      <c r="H6" s="226"/>
      <c r="I6" s="226"/>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c r="BW6" s="33"/>
      <c r="BX6" s="33"/>
      <c r="BY6" s="33"/>
      <c r="BZ6" s="33"/>
      <c r="CA6" s="33"/>
      <c r="CB6" s="33"/>
      <c r="CC6" s="33"/>
      <c r="CD6" s="33"/>
      <c r="CE6" s="33"/>
      <c r="CF6" s="33"/>
      <c r="CG6" s="33"/>
      <c r="CH6" s="33"/>
      <c r="CI6" s="33"/>
      <c r="CJ6" s="33"/>
      <c r="CK6" s="33"/>
      <c r="CL6" s="33"/>
      <c r="CM6" s="33"/>
      <c r="CN6" s="33"/>
      <c r="CO6" s="33"/>
      <c r="CP6" s="33"/>
      <c r="CQ6" s="33"/>
      <c r="CR6" s="33"/>
      <c r="CS6" s="33"/>
      <c r="CT6" s="33"/>
      <c r="CU6" s="33"/>
    </row>
    <row r="7" spans="1:99" s="35" customFormat="1" ht="15" customHeight="1">
      <c r="A7" s="33"/>
      <c r="B7" s="227" t="s">
        <v>127</v>
      </c>
      <c r="C7" s="227"/>
      <c r="D7" s="227"/>
      <c r="E7" s="227"/>
      <c r="F7" s="227"/>
      <c r="G7" s="227"/>
      <c r="H7" s="227"/>
      <c r="I7" s="227"/>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row>
    <row r="8" spans="1:99" s="35" customFormat="1" ht="14.25">
      <c r="A8" s="33"/>
      <c r="B8" s="227"/>
      <c r="C8" s="227"/>
      <c r="D8" s="227"/>
      <c r="E8" s="227"/>
      <c r="F8" s="227"/>
      <c r="G8" s="227"/>
      <c r="H8" s="227"/>
      <c r="I8" s="227"/>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row>
    <row r="9" spans="1:99" s="35" customFormat="1" ht="14.25">
      <c r="A9" s="33"/>
      <c r="B9" s="227"/>
      <c r="C9" s="227"/>
      <c r="D9" s="227"/>
      <c r="E9" s="227"/>
      <c r="F9" s="227"/>
      <c r="G9" s="227"/>
      <c r="H9" s="227"/>
      <c r="I9" s="227"/>
      <c r="J9" s="33"/>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row>
    <row r="10" spans="1:99" s="35" customFormat="1" ht="14.25">
      <c r="A10" s="33"/>
      <c r="B10" s="227"/>
      <c r="C10" s="227"/>
      <c r="D10" s="227"/>
      <c r="E10" s="227"/>
      <c r="F10" s="227"/>
      <c r="G10" s="227"/>
      <c r="H10" s="227"/>
      <c r="I10" s="227"/>
      <c r="J10" s="33"/>
      <c r="K10" s="33"/>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row>
    <row r="11" spans="1:99" s="35" customFormat="1" ht="14.25">
      <c r="A11" s="33"/>
      <c r="B11" s="227"/>
      <c r="C11" s="227"/>
      <c r="D11" s="227"/>
      <c r="E11" s="227"/>
      <c r="F11" s="227"/>
      <c r="G11" s="227"/>
      <c r="H11" s="227"/>
      <c r="I11" s="227"/>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row>
    <row r="12" spans="1:99" s="35" customFormat="1" ht="14.25">
      <c r="A12" s="33"/>
      <c r="B12" s="227"/>
      <c r="C12" s="227"/>
      <c r="D12" s="227"/>
      <c r="E12" s="227"/>
      <c r="F12" s="227"/>
      <c r="G12" s="227"/>
      <c r="H12" s="227"/>
      <c r="I12" s="227"/>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row>
    <row r="13" spans="1:99" s="35" customFormat="1" ht="14.25">
      <c r="A13" s="33"/>
      <c r="B13" s="227"/>
      <c r="C13" s="227"/>
      <c r="D13" s="227"/>
      <c r="E13" s="227"/>
      <c r="F13" s="227"/>
      <c r="G13" s="227"/>
      <c r="H13" s="227"/>
      <c r="I13" s="227"/>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row>
    <row r="14" spans="1:99" s="35" customFormat="1" ht="42" customHeight="1">
      <c r="A14" s="33"/>
      <c r="B14" s="227"/>
      <c r="C14" s="227"/>
      <c r="D14" s="227"/>
      <c r="E14" s="227"/>
      <c r="F14" s="227"/>
      <c r="G14" s="227"/>
      <c r="H14" s="227"/>
      <c r="I14" s="227"/>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row>
    <row r="15" spans="1:99" s="51" customFormat="1" ht="15">
      <c r="A15" s="50"/>
      <c r="B15" s="65" t="s">
        <v>112</v>
      </c>
      <c r="C15" s="66"/>
      <c r="D15" s="66"/>
      <c r="E15" s="66"/>
      <c r="F15" s="66"/>
      <c r="G15" s="66"/>
      <c r="H15" s="66"/>
      <c r="I15" s="66"/>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0"/>
      <c r="CA15" s="50"/>
      <c r="CB15" s="50"/>
      <c r="CC15" s="50"/>
      <c r="CD15" s="50"/>
      <c r="CE15" s="50"/>
      <c r="CF15" s="50"/>
      <c r="CG15" s="50"/>
      <c r="CH15" s="50"/>
      <c r="CI15" s="50"/>
      <c r="CJ15" s="50"/>
      <c r="CK15" s="50"/>
      <c r="CL15" s="50"/>
      <c r="CM15" s="50"/>
      <c r="CN15" s="50"/>
      <c r="CO15" s="50"/>
      <c r="CP15" s="50"/>
      <c r="CQ15" s="50"/>
      <c r="CR15" s="50"/>
      <c r="CS15" s="50"/>
      <c r="CT15" s="50"/>
      <c r="CU15" s="50"/>
    </row>
    <row r="16" spans="1:99" s="35" customFormat="1" ht="9" customHeight="1">
      <c r="A16" s="33"/>
      <c r="B16" s="21"/>
      <c r="C16" s="21"/>
      <c r="D16" s="21"/>
      <c r="E16" s="21"/>
      <c r="F16" s="21"/>
      <c r="G16" s="21"/>
      <c r="H16" s="21"/>
      <c r="I16" s="21"/>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row>
    <row r="17" spans="1:99" s="35" customFormat="1" ht="82.5" customHeight="1">
      <c r="A17" s="33"/>
      <c r="B17" s="231" t="s">
        <v>131</v>
      </c>
      <c r="C17" s="231"/>
      <c r="D17" s="231"/>
      <c r="E17" s="231"/>
      <c r="F17" s="231"/>
      <c r="G17" s="231"/>
      <c r="H17" s="231"/>
      <c r="I17" s="231"/>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row>
    <row r="18" spans="1:99" s="35" customFormat="1" ht="9" customHeight="1">
      <c r="A18" s="33"/>
      <c r="B18" s="231"/>
      <c r="C18" s="231"/>
      <c r="D18" s="231"/>
      <c r="E18" s="231"/>
      <c r="F18" s="231"/>
      <c r="G18" s="231"/>
      <c r="H18" s="231"/>
      <c r="I18" s="231"/>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33"/>
      <c r="CG18" s="33"/>
      <c r="CH18" s="33"/>
      <c r="CI18" s="33"/>
      <c r="CJ18" s="33"/>
      <c r="CK18" s="33"/>
      <c r="CL18" s="33"/>
      <c r="CM18" s="33"/>
      <c r="CN18" s="33"/>
      <c r="CO18" s="33"/>
      <c r="CP18" s="33"/>
      <c r="CQ18" s="33"/>
      <c r="CR18" s="33"/>
      <c r="CS18" s="33"/>
      <c r="CT18" s="33"/>
      <c r="CU18" s="33"/>
    </row>
    <row r="19" spans="1:99" s="35" customFormat="1" ht="23.25" customHeight="1">
      <c r="A19" s="33"/>
      <c r="B19" s="231"/>
      <c r="C19" s="231"/>
      <c r="D19" s="231"/>
      <c r="E19" s="231"/>
      <c r="F19" s="231"/>
      <c r="G19" s="231"/>
      <c r="H19" s="231"/>
      <c r="I19" s="231"/>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33"/>
      <c r="CG19" s="33"/>
      <c r="CH19" s="33"/>
      <c r="CI19" s="33"/>
      <c r="CJ19" s="33"/>
      <c r="CK19" s="33"/>
      <c r="CL19" s="33"/>
      <c r="CM19" s="33"/>
      <c r="CN19" s="33"/>
      <c r="CO19" s="33"/>
      <c r="CP19" s="33"/>
      <c r="CQ19" s="33"/>
      <c r="CR19" s="33"/>
      <c r="CS19" s="33"/>
      <c r="CT19" s="33"/>
      <c r="CU19" s="33"/>
    </row>
    <row r="20" spans="1:99" s="35" customFormat="1" ht="14.25">
      <c r="A20" s="33"/>
      <c r="B20" s="231"/>
      <c r="C20" s="231"/>
      <c r="D20" s="231"/>
      <c r="E20" s="231"/>
      <c r="F20" s="231"/>
      <c r="G20" s="231"/>
      <c r="H20" s="231"/>
      <c r="I20" s="231"/>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33"/>
      <c r="CG20" s="33"/>
      <c r="CH20" s="33"/>
      <c r="CI20" s="33"/>
      <c r="CJ20" s="33"/>
      <c r="CK20" s="33"/>
      <c r="CL20" s="33"/>
      <c r="CM20" s="33"/>
      <c r="CN20" s="33"/>
      <c r="CO20" s="33"/>
      <c r="CP20" s="33"/>
      <c r="CQ20" s="33"/>
      <c r="CR20" s="33"/>
      <c r="CS20" s="33"/>
      <c r="CT20" s="33"/>
      <c r="CU20" s="33"/>
    </row>
    <row r="21" spans="1:99" s="35" customFormat="1" ht="14.25">
      <c r="A21" s="33"/>
      <c r="B21" s="231"/>
      <c r="C21" s="231"/>
      <c r="D21" s="231"/>
      <c r="E21" s="231"/>
      <c r="F21" s="231"/>
      <c r="G21" s="231"/>
      <c r="H21" s="231"/>
      <c r="I21" s="231"/>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33"/>
      <c r="CG21" s="33"/>
      <c r="CH21" s="33"/>
      <c r="CI21" s="33"/>
      <c r="CJ21" s="33"/>
      <c r="CK21" s="33"/>
      <c r="CL21" s="33"/>
      <c r="CM21" s="33"/>
      <c r="CN21" s="33"/>
      <c r="CO21" s="33"/>
      <c r="CP21" s="33"/>
      <c r="CQ21" s="33"/>
      <c r="CR21" s="33"/>
      <c r="CS21" s="33"/>
      <c r="CT21" s="33"/>
      <c r="CU21" s="33"/>
    </row>
    <row r="22" spans="1:99" s="35" customFormat="1" ht="14.25">
      <c r="A22" s="33"/>
      <c r="B22" s="231"/>
      <c r="C22" s="231"/>
      <c r="D22" s="231"/>
      <c r="E22" s="231"/>
      <c r="F22" s="231"/>
      <c r="G22" s="231"/>
      <c r="H22" s="231"/>
      <c r="I22" s="231"/>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row>
    <row r="23" spans="1:99" s="35" customFormat="1" ht="9" customHeight="1">
      <c r="A23" s="33"/>
      <c r="B23" s="231"/>
      <c r="C23" s="231"/>
      <c r="D23" s="231"/>
      <c r="E23" s="231"/>
      <c r="F23" s="231"/>
      <c r="G23" s="231"/>
      <c r="H23" s="231"/>
      <c r="I23" s="231"/>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row>
    <row r="24" spans="1:99" s="35" customFormat="1" ht="14.25">
      <c r="A24" s="33"/>
      <c r="B24" s="231"/>
      <c r="C24" s="231"/>
      <c r="D24" s="231"/>
      <c r="E24" s="231"/>
      <c r="F24" s="231"/>
      <c r="G24" s="231"/>
      <c r="H24" s="231"/>
      <c r="I24" s="231"/>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3"/>
      <c r="CO24" s="33"/>
      <c r="CP24" s="33"/>
      <c r="CQ24" s="33"/>
      <c r="CR24" s="33"/>
      <c r="CS24" s="33"/>
      <c r="CT24" s="33"/>
      <c r="CU24" s="33"/>
    </row>
    <row r="25" spans="1:99" s="35" customFormat="1" ht="14.25">
      <c r="A25" s="33"/>
      <c r="B25" s="231"/>
      <c r="C25" s="231"/>
      <c r="D25" s="231"/>
      <c r="E25" s="231"/>
      <c r="F25" s="231"/>
      <c r="G25" s="231"/>
      <c r="H25" s="231"/>
      <c r="I25" s="231"/>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c r="CF25" s="33"/>
      <c r="CG25" s="33"/>
      <c r="CH25" s="33"/>
      <c r="CI25" s="33"/>
      <c r="CJ25" s="33"/>
      <c r="CK25" s="33"/>
      <c r="CL25" s="33"/>
      <c r="CM25" s="33"/>
      <c r="CN25" s="33"/>
      <c r="CO25" s="33"/>
      <c r="CP25" s="33"/>
      <c r="CQ25" s="33"/>
      <c r="CR25" s="33"/>
      <c r="CS25" s="33"/>
      <c r="CT25" s="33"/>
      <c r="CU25" s="33"/>
    </row>
    <row r="26" spans="1:99" s="35" customFormat="1" ht="204.75" customHeight="1">
      <c r="A26" s="33"/>
      <c r="B26" s="231"/>
      <c r="C26" s="231"/>
      <c r="D26" s="231"/>
      <c r="E26" s="231"/>
      <c r="F26" s="231"/>
      <c r="G26" s="231"/>
      <c r="H26" s="231"/>
      <c r="I26" s="231"/>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33"/>
      <c r="CG26" s="33"/>
      <c r="CH26" s="33"/>
      <c r="CI26" s="33"/>
      <c r="CJ26" s="33"/>
      <c r="CK26" s="33"/>
      <c r="CL26" s="33"/>
      <c r="CM26" s="33"/>
      <c r="CN26" s="33"/>
      <c r="CO26" s="33"/>
      <c r="CP26" s="33"/>
      <c r="CQ26" s="33"/>
      <c r="CR26" s="33"/>
      <c r="CS26" s="33"/>
      <c r="CT26" s="33"/>
      <c r="CU26" s="33"/>
    </row>
    <row r="27" spans="1:99" s="35" customFormat="1" ht="14.25">
      <c r="A27" s="33"/>
      <c r="B27" s="36"/>
      <c r="C27" s="36"/>
      <c r="D27" s="36"/>
      <c r="E27" s="36"/>
      <c r="F27" s="36"/>
      <c r="G27" s="36"/>
      <c r="H27" s="36"/>
      <c r="I27" s="36"/>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row>
    <row r="28" spans="1:99" s="35" customFormat="1" ht="14.25">
      <c r="A28" s="33"/>
      <c r="B28" s="167"/>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33"/>
      <c r="CG28" s="33"/>
      <c r="CH28" s="33"/>
      <c r="CI28" s="33"/>
      <c r="CJ28" s="33"/>
      <c r="CK28" s="33"/>
      <c r="CL28" s="33"/>
      <c r="CM28" s="33"/>
      <c r="CN28" s="33"/>
      <c r="CO28" s="33"/>
      <c r="CP28" s="33"/>
      <c r="CQ28" s="33"/>
      <c r="CR28" s="33"/>
      <c r="CS28" s="33"/>
      <c r="CT28" s="33"/>
      <c r="CU28" s="33"/>
    </row>
    <row r="29" spans="1:99" s="35" customFormat="1" ht="14.25">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c r="CF29" s="33"/>
      <c r="CG29" s="33"/>
      <c r="CH29" s="33"/>
      <c r="CI29" s="33"/>
      <c r="CJ29" s="33"/>
      <c r="CK29" s="33"/>
      <c r="CL29" s="33"/>
      <c r="CM29" s="33"/>
      <c r="CN29" s="33"/>
      <c r="CO29" s="33"/>
      <c r="CP29" s="33"/>
      <c r="CQ29" s="33"/>
      <c r="CR29" s="33"/>
      <c r="CS29" s="33"/>
      <c r="CT29" s="33"/>
      <c r="CU29" s="33"/>
    </row>
    <row r="30" spans="1:99" s="33" customFormat="1" ht="14.25"/>
    <row r="31" spans="1:99" s="33" customFormat="1" ht="14.25"/>
    <row r="32" spans="1:99" s="33" customFormat="1" ht="14.25"/>
    <row r="33" spans="9:10" s="33" customFormat="1" ht="14.25"/>
    <row r="34" spans="9:10" s="33" customFormat="1" ht="14.25"/>
    <row r="35" spans="9:10" s="33" customFormat="1" ht="14.25"/>
    <row r="36" spans="9:10" s="33" customFormat="1" ht="14.25"/>
    <row r="37" spans="9:10" s="33" customFormat="1" ht="14.25"/>
    <row r="38" spans="9:10" s="33" customFormat="1" ht="14.25"/>
    <row r="39" spans="9:10" s="33" customFormat="1" ht="14.25"/>
    <row r="40" spans="9:10" s="33" customFormat="1" ht="14.25"/>
    <row r="41" spans="9:10" s="33" customFormat="1" ht="14.25"/>
    <row r="42" spans="9:10" s="33" customFormat="1" ht="14.25"/>
    <row r="43" spans="9:10" s="33" customFormat="1" ht="14.25"/>
    <row r="44" spans="9:10" s="33" customFormat="1" ht="14.25"/>
    <row r="45" spans="9:10" s="33" customFormat="1" ht="15">
      <c r="I45" s="230"/>
      <c r="J45" s="230"/>
    </row>
    <row r="46" spans="9:10" s="33" customFormat="1" ht="14.25"/>
    <row r="47" spans="9:10" s="33" customFormat="1" ht="14.25"/>
    <row r="48" spans="9:10" s="22" customFormat="1"/>
    <row r="49" s="22" customFormat="1"/>
    <row r="50" s="22" customFormat="1"/>
    <row r="51" s="22" customFormat="1"/>
    <row r="52" s="22" customFormat="1"/>
    <row r="53" s="22" customFormat="1"/>
    <row r="54" s="22" customFormat="1"/>
    <row r="55" s="22" customFormat="1"/>
    <row r="56" s="22" customFormat="1"/>
    <row r="57" s="22" customFormat="1"/>
    <row r="58" s="22" customFormat="1"/>
    <row r="59" s="22" customFormat="1"/>
    <row r="60" s="22" customFormat="1"/>
    <row r="61" s="22" customFormat="1"/>
    <row r="62" s="22" customFormat="1"/>
    <row r="63" s="22" customFormat="1"/>
    <row r="64" s="22" customFormat="1"/>
    <row r="65" s="22" customFormat="1"/>
    <row r="66" s="22" customFormat="1"/>
    <row r="67" s="22" customFormat="1"/>
    <row r="68" s="22" customFormat="1"/>
    <row r="69" s="22" customFormat="1"/>
    <row r="70" s="22" customFormat="1"/>
    <row r="71" s="22" customFormat="1"/>
    <row r="72" s="22" customFormat="1"/>
    <row r="73" s="22" customFormat="1"/>
    <row r="74" s="22" customFormat="1"/>
    <row r="75" s="22" customFormat="1"/>
    <row r="76" s="22" customFormat="1"/>
    <row r="77" s="22" customFormat="1"/>
    <row r="78" s="22" customFormat="1"/>
    <row r="79" s="22" customFormat="1"/>
    <row r="80" s="22" customFormat="1"/>
    <row r="81" s="22" customFormat="1"/>
    <row r="82" s="22" customFormat="1"/>
    <row r="83" s="22" customFormat="1"/>
    <row r="84" s="22" customFormat="1"/>
    <row r="85" s="22" customFormat="1"/>
    <row r="86" s="22" customFormat="1"/>
    <row r="87" s="22" customFormat="1"/>
    <row r="88" s="22" customFormat="1"/>
    <row r="89" s="22" customFormat="1"/>
    <row r="90" s="22" customFormat="1"/>
    <row r="91" s="22" customFormat="1"/>
    <row r="92" s="22" customFormat="1"/>
    <row r="93" s="22" customFormat="1"/>
    <row r="94" s="22" customFormat="1"/>
    <row r="95" s="22" customFormat="1"/>
    <row r="96" s="22" customFormat="1"/>
    <row r="97" s="22" customFormat="1"/>
    <row r="98" s="22" customFormat="1"/>
    <row r="99" s="22" customFormat="1"/>
    <row r="100" s="22" customFormat="1"/>
    <row r="101" s="22" customFormat="1"/>
    <row r="102" s="22" customFormat="1"/>
    <row r="103" s="22" customFormat="1"/>
    <row r="104" s="22" customFormat="1"/>
    <row r="105" s="22" customFormat="1"/>
    <row r="106" s="22" customFormat="1"/>
    <row r="107" s="22" customFormat="1"/>
    <row r="108" s="22" customFormat="1"/>
    <row r="109" s="22" customFormat="1"/>
    <row r="110" s="22" customFormat="1"/>
    <row r="111" s="22" customFormat="1"/>
    <row r="112" s="22" customFormat="1"/>
    <row r="113" s="22" customFormat="1"/>
    <row r="114" s="22" customFormat="1"/>
    <row r="115" s="22" customFormat="1"/>
    <row r="116" s="22" customFormat="1"/>
    <row r="117" s="22" customFormat="1"/>
    <row r="118" s="22" customFormat="1"/>
    <row r="119" s="22" customFormat="1"/>
    <row r="120" s="22" customFormat="1"/>
    <row r="121" s="22" customFormat="1"/>
    <row r="122" s="22" customFormat="1"/>
    <row r="123" s="22" customFormat="1"/>
    <row r="124" s="22" customFormat="1"/>
    <row r="125" s="22" customFormat="1"/>
    <row r="126" s="22" customFormat="1"/>
    <row r="127" s="22" customFormat="1"/>
    <row r="128" s="22" customFormat="1"/>
    <row r="129" spans="1:99" s="22" customFormat="1"/>
    <row r="130" spans="1:99" s="22" customFormat="1"/>
    <row r="131" spans="1:99" s="22" customFormat="1"/>
    <row r="132" spans="1:99" s="22" customFormat="1"/>
    <row r="133" spans="1:99" s="22" customFormat="1"/>
    <row r="134" spans="1:99" s="22" customFormat="1"/>
    <row r="135" spans="1:99" s="22" customFormat="1"/>
    <row r="136" spans="1:99" s="22" customFormat="1"/>
    <row r="137" spans="1:99" s="22" customFormat="1"/>
    <row r="138" spans="1:99" s="31" customFormat="1">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row>
    <row r="139" spans="1:99" s="31" customFormat="1">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c r="BH139" s="22"/>
      <c r="BI139" s="22"/>
      <c r="BJ139" s="22"/>
      <c r="BK139" s="22"/>
      <c r="BL139" s="22"/>
      <c r="BM139" s="22"/>
      <c r="BN139" s="22"/>
      <c r="BO139" s="22"/>
      <c r="BP139" s="22"/>
      <c r="BQ139" s="22"/>
      <c r="BR139" s="22"/>
      <c r="BS139" s="22"/>
      <c r="BT139" s="22"/>
      <c r="BU139" s="22"/>
      <c r="BV139" s="22"/>
      <c r="BW139" s="22"/>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row>
    <row r="140" spans="1:99" s="31" customFormat="1">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c r="BH140" s="22"/>
      <c r="BI140" s="22"/>
      <c r="BJ140" s="22"/>
      <c r="BK140" s="22"/>
      <c r="BL140" s="22"/>
      <c r="BM140" s="22"/>
      <c r="BN140" s="22"/>
      <c r="BO140" s="22"/>
      <c r="BP140" s="22"/>
      <c r="BQ140" s="22"/>
      <c r="BR140" s="22"/>
      <c r="BS140" s="22"/>
      <c r="BT140" s="22"/>
      <c r="BU140" s="22"/>
      <c r="BV140" s="22"/>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row>
    <row r="141" spans="1:99" s="31" customFormat="1">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c r="BH141" s="22"/>
      <c r="BI141" s="22"/>
      <c r="BJ141" s="22"/>
      <c r="BK141" s="22"/>
      <c r="BL141" s="22"/>
      <c r="BM141" s="22"/>
      <c r="BN141" s="22"/>
      <c r="BO141" s="22"/>
      <c r="BP141" s="22"/>
      <c r="BQ141" s="22"/>
      <c r="BR141" s="22"/>
      <c r="BS141" s="22"/>
      <c r="BT141" s="22"/>
      <c r="BU141" s="22"/>
      <c r="BV141" s="22"/>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row>
    <row r="142" spans="1:99" s="31" customFormat="1">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c r="BH142" s="22"/>
      <c r="BI142" s="22"/>
      <c r="BJ142" s="22"/>
      <c r="BK142" s="22"/>
      <c r="BL142" s="22"/>
      <c r="BM142" s="22"/>
      <c r="BN142" s="22"/>
      <c r="BO142" s="22"/>
      <c r="BP142" s="22"/>
      <c r="BQ142" s="22"/>
      <c r="BR142" s="22"/>
      <c r="BS142" s="22"/>
      <c r="BT142" s="22"/>
      <c r="BU142" s="22"/>
      <c r="BV142" s="22"/>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row>
    <row r="143" spans="1:99" s="31" customFormat="1">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row>
    <row r="144" spans="1:99" s="31" customFormat="1">
      <c r="A144" s="22"/>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row>
    <row r="145" spans="1:99" s="31" customFormat="1">
      <c r="A145" s="22"/>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row>
    <row r="146" spans="1:99" s="31" customFormat="1">
      <c r="A146" s="22"/>
      <c r="B146" s="22"/>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c r="BH146" s="22"/>
      <c r="BI146" s="22"/>
      <c r="BJ146" s="22"/>
      <c r="BK146" s="22"/>
      <c r="BL146" s="22"/>
      <c r="BM146" s="22"/>
      <c r="BN146" s="22"/>
      <c r="BO146" s="22"/>
      <c r="BP146" s="22"/>
      <c r="BQ146" s="22"/>
      <c r="BR146" s="22"/>
      <c r="BS146" s="22"/>
      <c r="BT146" s="22"/>
      <c r="BU146" s="22"/>
      <c r="BV146" s="22"/>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row>
    <row r="147" spans="1:99" s="31" customFormat="1">
      <c r="A147" s="22"/>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row>
    <row r="148" spans="1:99" s="31" customFormat="1">
      <c r="A148" s="22"/>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row>
    <row r="149" spans="1:99" s="31" customFormat="1">
      <c r="A149" s="22"/>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row>
    <row r="150" spans="1:99" s="31" customFormat="1">
      <c r="A150" s="22"/>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row>
    <row r="151" spans="1:99" s="31" customFormat="1">
      <c r="A151" s="22"/>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row>
    <row r="152" spans="1:99" s="31" customFormat="1">
      <c r="A152" s="22"/>
      <c r="B152" s="22"/>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c r="BH152" s="22"/>
      <c r="BI152" s="22"/>
      <c r="BJ152" s="22"/>
      <c r="BK152" s="22"/>
      <c r="BL152" s="22"/>
      <c r="BM152" s="22"/>
      <c r="BN152" s="22"/>
      <c r="BO152" s="22"/>
      <c r="BP152" s="22"/>
      <c r="BQ152" s="22"/>
      <c r="BR152" s="22"/>
      <c r="BS152" s="22"/>
      <c r="BT152" s="22"/>
      <c r="BU152" s="22"/>
      <c r="BV152" s="22"/>
      <c r="BW152" s="22"/>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row>
    <row r="153" spans="1:99" s="31" customFormat="1">
      <c r="A153" s="22"/>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row>
    <row r="154" spans="1:99" s="31" customFormat="1">
      <c r="A154" s="22"/>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row>
    <row r="155" spans="1:99" s="31" customFormat="1">
      <c r="A155" s="22"/>
      <c r="B155" s="22"/>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BB155" s="22"/>
      <c r="BC155" s="22"/>
      <c r="BD155" s="22"/>
      <c r="BE155" s="22"/>
      <c r="BF155" s="22"/>
      <c r="BG155" s="22"/>
      <c r="BH155" s="22"/>
      <c r="BI155" s="22"/>
      <c r="BJ155" s="22"/>
      <c r="BK155" s="22"/>
      <c r="BL155" s="22"/>
      <c r="BM155" s="22"/>
      <c r="BN155" s="22"/>
      <c r="BO155" s="22"/>
      <c r="BP155" s="22"/>
      <c r="BQ155" s="22"/>
      <c r="BR155" s="22"/>
      <c r="BS155" s="22"/>
      <c r="BT155" s="22"/>
      <c r="BU155" s="22"/>
      <c r="BV155" s="22"/>
      <c r="BW155" s="22"/>
      <c r="BX155" s="22"/>
      <c r="BY155" s="22"/>
      <c r="BZ155" s="22"/>
      <c r="CA155" s="22"/>
      <c r="CB155" s="22"/>
      <c r="CC155" s="22"/>
      <c r="CD155" s="22"/>
      <c r="CE155" s="22"/>
      <c r="CF155" s="22"/>
      <c r="CG155" s="22"/>
      <c r="CH155" s="22"/>
      <c r="CI155" s="22"/>
      <c r="CJ155" s="22"/>
      <c r="CK155" s="22"/>
      <c r="CL155" s="22"/>
      <c r="CM155" s="22"/>
      <c r="CN155" s="22"/>
      <c r="CO155" s="22"/>
      <c r="CP155" s="22"/>
      <c r="CQ155" s="22"/>
      <c r="CR155" s="22"/>
      <c r="CS155" s="22"/>
      <c r="CT155" s="22"/>
      <c r="CU155" s="22"/>
    </row>
    <row r="156" spans="1:99" s="31" customFormat="1">
      <c r="A156" s="22"/>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c r="BH156" s="22"/>
      <c r="BI156" s="22"/>
      <c r="BJ156" s="22"/>
      <c r="BK156" s="22"/>
      <c r="BL156" s="22"/>
      <c r="BM156" s="22"/>
      <c r="BN156" s="22"/>
      <c r="BO156" s="22"/>
      <c r="BP156" s="22"/>
      <c r="BQ156" s="22"/>
      <c r="BR156" s="22"/>
      <c r="BS156" s="22"/>
      <c r="BT156" s="22"/>
      <c r="BU156" s="22"/>
      <c r="BV156" s="22"/>
      <c r="BW156" s="22"/>
      <c r="BX156" s="22"/>
      <c r="BY156" s="22"/>
      <c r="BZ156" s="22"/>
      <c r="CA156" s="22"/>
      <c r="CB156" s="22"/>
      <c r="CC156" s="22"/>
      <c r="CD156" s="22"/>
      <c r="CE156" s="22"/>
      <c r="CF156" s="22"/>
      <c r="CG156" s="22"/>
      <c r="CH156" s="22"/>
      <c r="CI156" s="22"/>
      <c r="CJ156" s="22"/>
      <c r="CK156" s="22"/>
      <c r="CL156" s="22"/>
      <c r="CM156" s="22"/>
      <c r="CN156" s="22"/>
      <c r="CO156" s="22"/>
      <c r="CP156" s="22"/>
      <c r="CQ156" s="22"/>
      <c r="CR156" s="22"/>
      <c r="CS156" s="22"/>
      <c r="CT156" s="22"/>
      <c r="CU156" s="22"/>
    </row>
    <row r="157" spans="1:99" s="31" customFormat="1">
      <c r="A157" s="22"/>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c r="BH157" s="22"/>
      <c r="BI157" s="22"/>
      <c r="BJ157" s="22"/>
      <c r="BK157" s="22"/>
      <c r="BL157" s="22"/>
      <c r="BM157" s="22"/>
      <c r="BN157" s="22"/>
      <c r="BO157" s="22"/>
      <c r="BP157" s="22"/>
      <c r="BQ157" s="22"/>
      <c r="BR157" s="22"/>
      <c r="BS157" s="22"/>
      <c r="BT157" s="22"/>
      <c r="BU157" s="22"/>
      <c r="BV157" s="22"/>
      <c r="BW157" s="22"/>
      <c r="BX157" s="22"/>
      <c r="BY157" s="22"/>
      <c r="BZ157" s="22"/>
      <c r="CA157" s="22"/>
      <c r="CB157" s="22"/>
      <c r="CC157" s="22"/>
      <c r="CD157" s="22"/>
      <c r="CE157" s="22"/>
      <c r="CF157" s="22"/>
      <c r="CG157" s="22"/>
      <c r="CH157" s="22"/>
      <c r="CI157" s="22"/>
      <c r="CJ157" s="22"/>
      <c r="CK157" s="22"/>
      <c r="CL157" s="22"/>
      <c r="CM157" s="22"/>
      <c r="CN157" s="22"/>
      <c r="CO157" s="22"/>
      <c r="CP157" s="22"/>
      <c r="CQ157" s="22"/>
      <c r="CR157" s="22"/>
      <c r="CS157" s="22"/>
      <c r="CT157" s="22"/>
      <c r="CU157" s="22"/>
    </row>
    <row r="158" spans="1:99" s="31" customFormat="1">
      <c r="A158" s="22"/>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c r="CA158" s="22"/>
      <c r="CB158" s="22"/>
      <c r="CC158" s="22"/>
      <c r="CD158" s="22"/>
      <c r="CE158" s="22"/>
      <c r="CF158" s="22"/>
      <c r="CG158" s="22"/>
      <c r="CH158" s="22"/>
      <c r="CI158" s="22"/>
      <c r="CJ158" s="22"/>
      <c r="CK158" s="22"/>
      <c r="CL158" s="22"/>
      <c r="CM158" s="22"/>
      <c r="CN158" s="22"/>
      <c r="CO158" s="22"/>
      <c r="CP158" s="22"/>
      <c r="CQ158" s="22"/>
      <c r="CR158" s="22"/>
      <c r="CS158" s="22"/>
      <c r="CT158" s="22"/>
      <c r="CU158" s="22"/>
    </row>
    <row r="159" spans="1:99" s="31" customFormat="1">
      <c r="A159" s="22"/>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c r="BH159" s="22"/>
      <c r="BI159" s="22"/>
      <c r="BJ159" s="22"/>
      <c r="BK159" s="22"/>
      <c r="BL159" s="22"/>
      <c r="BM159" s="22"/>
      <c r="BN159" s="22"/>
      <c r="BO159" s="22"/>
      <c r="BP159" s="22"/>
      <c r="BQ159" s="22"/>
      <c r="BR159" s="22"/>
      <c r="BS159" s="22"/>
      <c r="BT159" s="22"/>
      <c r="BU159" s="22"/>
      <c r="BV159" s="22"/>
      <c r="BW159" s="22"/>
      <c r="BX159" s="22"/>
      <c r="BY159" s="22"/>
      <c r="BZ159" s="22"/>
      <c r="CA159" s="22"/>
      <c r="CB159" s="22"/>
      <c r="CC159" s="22"/>
      <c r="CD159" s="22"/>
      <c r="CE159" s="22"/>
      <c r="CF159" s="22"/>
      <c r="CG159" s="22"/>
      <c r="CH159" s="22"/>
      <c r="CI159" s="22"/>
      <c r="CJ159" s="22"/>
      <c r="CK159" s="22"/>
      <c r="CL159" s="22"/>
      <c r="CM159" s="22"/>
      <c r="CN159" s="22"/>
      <c r="CO159" s="22"/>
      <c r="CP159" s="22"/>
      <c r="CQ159" s="22"/>
      <c r="CR159" s="22"/>
      <c r="CS159" s="22"/>
      <c r="CT159" s="22"/>
      <c r="CU159" s="22"/>
    </row>
    <row r="160" spans="1:99" s="31" customFormat="1">
      <c r="A160" s="22"/>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c r="BG160" s="22"/>
      <c r="BH160" s="22"/>
      <c r="BI160" s="22"/>
      <c r="BJ160" s="22"/>
      <c r="BK160" s="22"/>
      <c r="BL160" s="22"/>
      <c r="BM160" s="22"/>
      <c r="BN160" s="22"/>
      <c r="BO160" s="22"/>
      <c r="BP160" s="22"/>
      <c r="BQ160" s="22"/>
      <c r="BR160" s="22"/>
      <c r="BS160" s="22"/>
      <c r="BT160" s="22"/>
      <c r="BU160" s="22"/>
      <c r="BV160" s="22"/>
      <c r="BW160" s="22"/>
      <c r="BX160" s="22"/>
      <c r="BY160" s="22"/>
      <c r="BZ160" s="22"/>
      <c r="CA160" s="22"/>
      <c r="CB160" s="22"/>
      <c r="CC160" s="22"/>
      <c r="CD160" s="22"/>
      <c r="CE160" s="22"/>
      <c r="CF160" s="22"/>
      <c r="CG160" s="22"/>
      <c r="CH160" s="22"/>
      <c r="CI160" s="22"/>
      <c r="CJ160" s="22"/>
      <c r="CK160" s="22"/>
      <c r="CL160" s="22"/>
      <c r="CM160" s="22"/>
      <c r="CN160" s="22"/>
      <c r="CO160" s="22"/>
      <c r="CP160" s="22"/>
      <c r="CQ160" s="22"/>
      <c r="CR160" s="22"/>
      <c r="CS160" s="22"/>
      <c r="CT160" s="22"/>
      <c r="CU160" s="22"/>
    </row>
    <row r="161" spans="1:99" s="31" customFormat="1">
      <c r="A161" s="22"/>
      <c r="B161" s="22"/>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c r="BH161" s="22"/>
      <c r="BI161" s="22"/>
      <c r="BJ161" s="22"/>
      <c r="BK161" s="22"/>
      <c r="BL161" s="22"/>
      <c r="BM161" s="22"/>
      <c r="BN161" s="22"/>
      <c r="BO161" s="22"/>
      <c r="BP161" s="22"/>
      <c r="BQ161" s="22"/>
      <c r="BR161" s="22"/>
      <c r="BS161" s="22"/>
      <c r="BT161" s="22"/>
      <c r="BU161" s="22"/>
      <c r="BV161" s="22"/>
      <c r="BW161" s="22"/>
      <c r="BX161" s="22"/>
      <c r="BY161" s="22"/>
      <c r="BZ161" s="22"/>
      <c r="CA161" s="22"/>
      <c r="CB161" s="22"/>
      <c r="CC161" s="22"/>
      <c r="CD161" s="22"/>
      <c r="CE161" s="22"/>
      <c r="CF161" s="22"/>
      <c r="CG161" s="22"/>
      <c r="CH161" s="22"/>
      <c r="CI161" s="22"/>
      <c r="CJ161" s="22"/>
      <c r="CK161" s="22"/>
      <c r="CL161" s="22"/>
      <c r="CM161" s="22"/>
      <c r="CN161" s="22"/>
      <c r="CO161" s="22"/>
      <c r="CP161" s="22"/>
      <c r="CQ161" s="22"/>
      <c r="CR161" s="22"/>
      <c r="CS161" s="22"/>
      <c r="CT161" s="22"/>
      <c r="CU161" s="22"/>
    </row>
    <row r="162" spans="1:99" s="31" customFormat="1">
      <c r="A162" s="22"/>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c r="BH162" s="22"/>
      <c r="BI162" s="22"/>
      <c r="BJ162" s="22"/>
      <c r="BK162" s="22"/>
      <c r="BL162" s="22"/>
      <c r="BM162" s="22"/>
      <c r="BN162" s="22"/>
      <c r="BO162" s="22"/>
      <c r="BP162" s="22"/>
      <c r="BQ162" s="22"/>
      <c r="BR162" s="22"/>
      <c r="BS162" s="22"/>
      <c r="BT162" s="22"/>
      <c r="BU162" s="22"/>
      <c r="BV162" s="22"/>
      <c r="BW162" s="22"/>
      <c r="BX162" s="22"/>
      <c r="BY162" s="22"/>
      <c r="BZ162" s="22"/>
      <c r="CA162" s="22"/>
      <c r="CB162" s="22"/>
      <c r="CC162" s="22"/>
      <c r="CD162" s="22"/>
      <c r="CE162" s="22"/>
      <c r="CF162" s="22"/>
      <c r="CG162" s="22"/>
      <c r="CH162" s="22"/>
      <c r="CI162" s="22"/>
      <c r="CJ162" s="22"/>
      <c r="CK162" s="22"/>
      <c r="CL162" s="22"/>
      <c r="CM162" s="22"/>
      <c r="CN162" s="22"/>
      <c r="CO162" s="22"/>
      <c r="CP162" s="22"/>
      <c r="CQ162" s="22"/>
      <c r="CR162" s="22"/>
      <c r="CS162" s="22"/>
      <c r="CT162" s="22"/>
      <c r="CU162" s="22"/>
    </row>
    <row r="163" spans="1:99" s="31" customFormat="1">
      <c r="A163" s="22"/>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c r="CA163" s="22"/>
      <c r="CB163" s="22"/>
      <c r="CC163" s="22"/>
      <c r="CD163" s="22"/>
      <c r="CE163" s="22"/>
      <c r="CF163" s="22"/>
      <c r="CG163" s="22"/>
      <c r="CH163" s="22"/>
      <c r="CI163" s="22"/>
      <c r="CJ163" s="22"/>
      <c r="CK163" s="22"/>
      <c r="CL163" s="22"/>
      <c r="CM163" s="22"/>
      <c r="CN163" s="22"/>
      <c r="CO163" s="22"/>
      <c r="CP163" s="22"/>
      <c r="CQ163" s="22"/>
      <c r="CR163" s="22"/>
      <c r="CS163" s="22"/>
      <c r="CT163" s="22"/>
      <c r="CU163" s="22"/>
    </row>
    <row r="164" spans="1:99" s="31" customFormat="1">
      <c r="A164" s="22"/>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c r="BH164" s="22"/>
      <c r="BI164" s="22"/>
      <c r="BJ164" s="22"/>
      <c r="BK164" s="22"/>
      <c r="BL164" s="22"/>
      <c r="BM164" s="22"/>
      <c r="BN164" s="22"/>
      <c r="BO164" s="22"/>
      <c r="BP164" s="22"/>
      <c r="BQ164" s="22"/>
      <c r="BR164" s="22"/>
      <c r="BS164" s="22"/>
      <c r="BT164" s="22"/>
      <c r="BU164" s="22"/>
      <c r="BV164" s="22"/>
      <c r="BW164" s="22"/>
      <c r="BX164" s="22"/>
      <c r="BY164" s="22"/>
      <c r="BZ164" s="22"/>
      <c r="CA164" s="22"/>
      <c r="CB164" s="22"/>
      <c r="CC164" s="22"/>
      <c r="CD164" s="22"/>
      <c r="CE164" s="22"/>
      <c r="CF164" s="22"/>
      <c r="CG164" s="22"/>
      <c r="CH164" s="22"/>
      <c r="CI164" s="22"/>
      <c r="CJ164" s="22"/>
      <c r="CK164" s="22"/>
      <c r="CL164" s="22"/>
      <c r="CM164" s="22"/>
      <c r="CN164" s="22"/>
      <c r="CO164" s="22"/>
      <c r="CP164" s="22"/>
      <c r="CQ164" s="22"/>
      <c r="CR164" s="22"/>
      <c r="CS164" s="22"/>
      <c r="CT164" s="22"/>
      <c r="CU164" s="22"/>
    </row>
    <row r="165" spans="1:99" s="31" customFormat="1">
      <c r="A165" s="22"/>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row>
    <row r="166" spans="1:99" s="31" customFormat="1">
      <c r="A166" s="22"/>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c r="BH166" s="22"/>
      <c r="BI166" s="22"/>
      <c r="BJ166" s="22"/>
      <c r="BK166" s="22"/>
      <c r="BL166" s="22"/>
      <c r="BM166" s="22"/>
      <c r="BN166" s="22"/>
      <c r="BO166" s="22"/>
      <c r="BP166" s="22"/>
      <c r="BQ166" s="22"/>
      <c r="BR166" s="22"/>
      <c r="BS166" s="22"/>
      <c r="BT166" s="22"/>
      <c r="BU166" s="22"/>
      <c r="BV166" s="22"/>
      <c r="BW166" s="22"/>
      <c r="BX166" s="22"/>
      <c r="BY166" s="22"/>
      <c r="BZ166" s="22"/>
      <c r="CA166" s="22"/>
      <c r="CB166" s="22"/>
      <c r="CC166" s="22"/>
      <c r="CD166" s="22"/>
      <c r="CE166" s="22"/>
      <c r="CF166" s="22"/>
      <c r="CG166" s="22"/>
      <c r="CH166" s="22"/>
      <c r="CI166" s="22"/>
      <c r="CJ166" s="22"/>
      <c r="CK166" s="22"/>
      <c r="CL166" s="22"/>
      <c r="CM166" s="22"/>
      <c r="CN166" s="22"/>
      <c r="CO166" s="22"/>
      <c r="CP166" s="22"/>
      <c r="CQ166" s="22"/>
      <c r="CR166" s="22"/>
      <c r="CS166" s="22"/>
      <c r="CT166" s="22"/>
      <c r="CU166" s="22"/>
    </row>
    <row r="167" spans="1:99" s="31" customFormat="1">
      <c r="A167" s="22"/>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c r="BH167" s="22"/>
      <c r="BI167" s="22"/>
      <c r="BJ167" s="22"/>
      <c r="BK167" s="22"/>
      <c r="BL167" s="22"/>
      <c r="BM167" s="22"/>
      <c r="BN167" s="22"/>
      <c r="BO167" s="22"/>
      <c r="BP167" s="22"/>
      <c r="BQ167" s="22"/>
      <c r="BR167" s="22"/>
      <c r="BS167" s="22"/>
      <c r="BT167" s="22"/>
      <c r="BU167" s="22"/>
      <c r="BV167" s="22"/>
      <c r="BW167" s="22"/>
      <c r="BX167" s="22"/>
      <c r="BY167" s="22"/>
      <c r="BZ167" s="22"/>
      <c r="CA167" s="22"/>
      <c r="CB167" s="22"/>
      <c r="CC167" s="22"/>
      <c r="CD167" s="22"/>
      <c r="CE167" s="22"/>
      <c r="CF167" s="22"/>
      <c r="CG167" s="22"/>
      <c r="CH167" s="22"/>
      <c r="CI167" s="22"/>
      <c r="CJ167" s="22"/>
      <c r="CK167" s="22"/>
      <c r="CL167" s="22"/>
      <c r="CM167" s="22"/>
      <c r="CN167" s="22"/>
      <c r="CO167" s="22"/>
      <c r="CP167" s="22"/>
      <c r="CQ167" s="22"/>
      <c r="CR167" s="22"/>
      <c r="CS167" s="22"/>
      <c r="CT167" s="22"/>
      <c r="CU167" s="22"/>
    </row>
    <row r="168" spans="1:99" s="31" customFormat="1">
      <c r="A168" s="22"/>
      <c r="B168" s="22"/>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c r="BB168" s="22"/>
      <c r="BC168" s="22"/>
      <c r="BD168" s="22"/>
      <c r="BE168" s="22"/>
      <c r="BF168" s="22"/>
      <c r="BG168" s="22"/>
      <c r="BH168" s="22"/>
      <c r="BI168" s="22"/>
      <c r="BJ168" s="22"/>
      <c r="BK168" s="22"/>
      <c r="BL168" s="22"/>
      <c r="BM168" s="22"/>
      <c r="BN168" s="22"/>
      <c r="BO168" s="22"/>
      <c r="BP168" s="22"/>
      <c r="BQ168" s="22"/>
      <c r="BR168" s="22"/>
      <c r="BS168" s="22"/>
      <c r="BT168" s="22"/>
      <c r="BU168" s="22"/>
      <c r="BV168" s="22"/>
      <c r="BW168" s="22"/>
      <c r="BX168" s="22"/>
      <c r="BY168" s="22"/>
      <c r="BZ168" s="22"/>
      <c r="CA168" s="22"/>
      <c r="CB168" s="22"/>
      <c r="CC168" s="22"/>
      <c r="CD168" s="22"/>
      <c r="CE168" s="22"/>
      <c r="CF168" s="22"/>
      <c r="CG168" s="22"/>
      <c r="CH168" s="22"/>
      <c r="CI168" s="22"/>
      <c r="CJ168" s="22"/>
      <c r="CK168" s="22"/>
      <c r="CL168" s="22"/>
      <c r="CM168" s="22"/>
      <c r="CN168" s="22"/>
      <c r="CO168" s="22"/>
      <c r="CP168" s="22"/>
      <c r="CQ168" s="22"/>
      <c r="CR168" s="22"/>
      <c r="CS168" s="22"/>
      <c r="CT168" s="22"/>
      <c r="CU168" s="22"/>
    </row>
    <row r="169" spans="1:99" s="31" customFormat="1">
      <c r="A169" s="22"/>
      <c r="B169" s="22"/>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c r="BB169" s="22"/>
      <c r="BC169" s="22"/>
      <c r="BD169" s="22"/>
      <c r="BE169" s="22"/>
      <c r="BF169" s="22"/>
      <c r="BG169" s="22"/>
      <c r="BH169" s="22"/>
      <c r="BI169" s="22"/>
      <c r="BJ169" s="22"/>
      <c r="BK169" s="22"/>
      <c r="BL169" s="22"/>
      <c r="BM169" s="22"/>
      <c r="BN169" s="22"/>
      <c r="BO169" s="22"/>
      <c r="BP169" s="22"/>
      <c r="BQ169" s="22"/>
      <c r="BR169" s="22"/>
      <c r="BS169" s="22"/>
      <c r="BT169" s="22"/>
      <c r="BU169" s="22"/>
      <c r="BV169" s="22"/>
      <c r="BW169" s="22"/>
      <c r="BX169" s="22"/>
      <c r="BY169" s="22"/>
      <c r="BZ169" s="22"/>
      <c r="CA169" s="22"/>
      <c r="CB169" s="22"/>
      <c r="CC169" s="22"/>
      <c r="CD169" s="22"/>
      <c r="CE169" s="22"/>
      <c r="CF169" s="22"/>
      <c r="CG169" s="22"/>
      <c r="CH169" s="22"/>
      <c r="CI169" s="22"/>
      <c r="CJ169" s="22"/>
      <c r="CK169" s="22"/>
      <c r="CL169" s="22"/>
      <c r="CM169" s="22"/>
      <c r="CN169" s="22"/>
      <c r="CO169" s="22"/>
      <c r="CP169" s="22"/>
      <c r="CQ169" s="22"/>
      <c r="CR169" s="22"/>
      <c r="CS169" s="22"/>
      <c r="CT169" s="22"/>
      <c r="CU169" s="22"/>
    </row>
    <row r="170" spans="1:99" s="31" customFormat="1">
      <c r="A170" s="22"/>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c r="CA170" s="22"/>
      <c r="CB170" s="22"/>
      <c r="CC170" s="22"/>
      <c r="CD170" s="22"/>
      <c r="CE170" s="22"/>
      <c r="CF170" s="22"/>
      <c r="CG170" s="22"/>
      <c r="CH170" s="22"/>
      <c r="CI170" s="22"/>
      <c r="CJ170" s="22"/>
      <c r="CK170" s="22"/>
      <c r="CL170" s="22"/>
      <c r="CM170" s="22"/>
      <c r="CN170" s="22"/>
      <c r="CO170" s="22"/>
      <c r="CP170" s="22"/>
      <c r="CQ170" s="22"/>
      <c r="CR170" s="22"/>
      <c r="CS170" s="22"/>
      <c r="CT170" s="22"/>
      <c r="CU170" s="22"/>
    </row>
    <row r="171" spans="1:99" s="31" customFormat="1">
      <c r="A171" s="22"/>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c r="BH171" s="22"/>
      <c r="BI171" s="22"/>
      <c r="BJ171" s="22"/>
      <c r="BK171" s="22"/>
      <c r="BL171" s="22"/>
      <c r="BM171" s="22"/>
      <c r="BN171" s="22"/>
      <c r="BO171" s="22"/>
      <c r="BP171" s="22"/>
      <c r="BQ171" s="22"/>
      <c r="BR171" s="22"/>
      <c r="BS171" s="22"/>
      <c r="BT171" s="22"/>
      <c r="BU171" s="22"/>
      <c r="BV171" s="22"/>
      <c r="BW171" s="22"/>
      <c r="BX171" s="22"/>
      <c r="BY171" s="22"/>
      <c r="BZ171" s="22"/>
      <c r="CA171" s="22"/>
      <c r="CB171" s="22"/>
      <c r="CC171" s="22"/>
      <c r="CD171" s="22"/>
      <c r="CE171" s="22"/>
      <c r="CF171" s="22"/>
      <c r="CG171" s="22"/>
      <c r="CH171" s="22"/>
      <c r="CI171" s="22"/>
      <c r="CJ171" s="22"/>
      <c r="CK171" s="22"/>
      <c r="CL171" s="22"/>
      <c r="CM171" s="22"/>
      <c r="CN171" s="22"/>
      <c r="CO171" s="22"/>
      <c r="CP171" s="22"/>
      <c r="CQ171" s="22"/>
      <c r="CR171" s="22"/>
      <c r="CS171" s="22"/>
      <c r="CT171" s="22"/>
      <c r="CU171" s="22"/>
    </row>
    <row r="172" spans="1:99" s="31" customFormat="1">
      <c r="A172" s="22"/>
      <c r="B172" s="22"/>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c r="BB172" s="22"/>
      <c r="BC172" s="22"/>
      <c r="BD172" s="22"/>
      <c r="BE172" s="22"/>
      <c r="BF172" s="22"/>
      <c r="BG172" s="22"/>
      <c r="BH172" s="22"/>
      <c r="BI172" s="22"/>
      <c r="BJ172" s="22"/>
      <c r="BK172" s="22"/>
      <c r="BL172" s="22"/>
      <c r="BM172" s="22"/>
      <c r="BN172" s="22"/>
      <c r="BO172" s="22"/>
      <c r="BP172" s="22"/>
      <c r="BQ172" s="22"/>
      <c r="BR172" s="22"/>
      <c r="BS172" s="22"/>
      <c r="BT172" s="22"/>
      <c r="BU172" s="22"/>
      <c r="BV172" s="22"/>
      <c r="BW172" s="22"/>
      <c r="BX172" s="22"/>
      <c r="BY172" s="22"/>
      <c r="BZ172" s="22"/>
      <c r="CA172" s="22"/>
      <c r="CB172" s="22"/>
      <c r="CC172" s="22"/>
      <c r="CD172" s="22"/>
      <c r="CE172" s="22"/>
      <c r="CF172" s="22"/>
      <c r="CG172" s="22"/>
      <c r="CH172" s="22"/>
      <c r="CI172" s="22"/>
      <c r="CJ172" s="22"/>
      <c r="CK172" s="22"/>
      <c r="CL172" s="22"/>
      <c r="CM172" s="22"/>
      <c r="CN172" s="22"/>
      <c r="CO172" s="22"/>
      <c r="CP172" s="22"/>
      <c r="CQ172" s="22"/>
      <c r="CR172" s="22"/>
      <c r="CS172" s="22"/>
      <c r="CT172" s="22"/>
      <c r="CU172" s="22"/>
    </row>
    <row r="173" spans="1:99" s="31" customFormat="1">
      <c r="A173" s="22"/>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c r="BH173" s="22"/>
      <c r="BI173" s="22"/>
      <c r="BJ173" s="22"/>
      <c r="BK173" s="22"/>
      <c r="BL173" s="22"/>
      <c r="BM173" s="22"/>
      <c r="BN173" s="22"/>
      <c r="BO173" s="22"/>
      <c r="BP173" s="22"/>
      <c r="BQ173" s="22"/>
      <c r="BR173" s="22"/>
      <c r="BS173" s="22"/>
      <c r="BT173" s="22"/>
      <c r="BU173" s="22"/>
      <c r="BV173" s="22"/>
      <c r="BW173" s="22"/>
      <c r="BX173" s="22"/>
      <c r="BY173" s="22"/>
      <c r="BZ173" s="22"/>
      <c r="CA173" s="22"/>
      <c r="CB173" s="22"/>
      <c r="CC173" s="22"/>
      <c r="CD173" s="22"/>
      <c r="CE173" s="22"/>
      <c r="CF173" s="22"/>
      <c r="CG173" s="22"/>
      <c r="CH173" s="22"/>
      <c r="CI173" s="22"/>
      <c r="CJ173" s="22"/>
      <c r="CK173" s="22"/>
      <c r="CL173" s="22"/>
      <c r="CM173" s="22"/>
      <c r="CN173" s="22"/>
      <c r="CO173" s="22"/>
      <c r="CP173" s="22"/>
      <c r="CQ173" s="22"/>
      <c r="CR173" s="22"/>
      <c r="CS173" s="22"/>
      <c r="CT173" s="22"/>
      <c r="CU173" s="22"/>
    </row>
    <row r="174" spans="1:99" s="31" customFormat="1">
      <c r="A174" s="22"/>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c r="BH174" s="22"/>
      <c r="BI174" s="22"/>
      <c r="BJ174" s="22"/>
      <c r="BK174" s="22"/>
      <c r="BL174" s="22"/>
      <c r="BM174" s="22"/>
      <c r="BN174" s="22"/>
      <c r="BO174" s="22"/>
      <c r="BP174" s="22"/>
      <c r="BQ174" s="22"/>
      <c r="BR174" s="22"/>
      <c r="BS174" s="22"/>
      <c r="BT174" s="22"/>
      <c r="BU174" s="22"/>
      <c r="BV174" s="22"/>
      <c r="BW174" s="22"/>
      <c r="BX174" s="22"/>
      <c r="BY174" s="22"/>
      <c r="BZ174" s="22"/>
      <c r="CA174" s="22"/>
      <c r="CB174" s="22"/>
      <c r="CC174" s="22"/>
      <c r="CD174" s="22"/>
      <c r="CE174" s="22"/>
      <c r="CF174" s="22"/>
      <c r="CG174" s="22"/>
      <c r="CH174" s="22"/>
      <c r="CI174" s="22"/>
      <c r="CJ174" s="22"/>
      <c r="CK174" s="22"/>
      <c r="CL174" s="22"/>
      <c r="CM174" s="22"/>
      <c r="CN174" s="22"/>
      <c r="CO174" s="22"/>
      <c r="CP174" s="22"/>
      <c r="CQ174" s="22"/>
      <c r="CR174" s="22"/>
      <c r="CS174" s="22"/>
      <c r="CT174" s="22"/>
      <c r="CU174" s="22"/>
    </row>
    <row r="175" spans="1:99" s="31" customFormat="1">
      <c r="A175" s="22"/>
      <c r="B175" s="22"/>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c r="BB175" s="22"/>
      <c r="BC175" s="22"/>
      <c r="BD175" s="22"/>
      <c r="BE175" s="22"/>
      <c r="BF175" s="22"/>
      <c r="BG175" s="22"/>
      <c r="BH175" s="22"/>
      <c r="BI175" s="22"/>
      <c r="BJ175" s="22"/>
      <c r="BK175" s="22"/>
      <c r="BL175" s="22"/>
      <c r="BM175" s="22"/>
      <c r="BN175" s="22"/>
      <c r="BO175" s="22"/>
      <c r="BP175" s="22"/>
      <c r="BQ175" s="22"/>
      <c r="BR175" s="22"/>
      <c r="BS175" s="22"/>
      <c r="BT175" s="22"/>
      <c r="BU175" s="22"/>
      <c r="BV175" s="22"/>
      <c r="BW175" s="22"/>
      <c r="BX175" s="22"/>
      <c r="BY175" s="22"/>
      <c r="BZ175" s="22"/>
      <c r="CA175" s="22"/>
      <c r="CB175" s="22"/>
      <c r="CC175" s="22"/>
      <c r="CD175" s="22"/>
      <c r="CE175" s="22"/>
      <c r="CF175" s="22"/>
      <c r="CG175" s="22"/>
      <c r="CH175" s="22"/>
      <c r="CI175" s="22"/>
      <c r="CJ175" s="22"/>
      <c r="CK175" s="22"/>
      <c r="CL175" s="22"/>
      <c r="CM175" s="22"/>
      <c r="CN175" s="22"/>
      <c r="CO175" s="22"/>
      <c r="CP175" s="22"/>
      <c r="CQ175" s="22"/>
      <c r="CR175" s="22"/>
      <c r="CS175" s="22"/>
      <c r="CT175" s="22"/>
      <c r="CU175" s="22"/>
    </row>
    <row r="176" spans="1:99" s="31" customFormat="1">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2"/>
      <c r="BO176" s="22"/>
      <c r="BP176" s="22"/>
      <c r="BQ176" s="22"/>
      <c r="BR176" s="22"/>
      <c r="BS176" s="22"/>
      <c r="BT176" s="22"/>
      <c r="BU176" s="22"/>
      <c r="BV176" s="22"/>
      <c r="BW176" s="22"/>
      <c r="BX176" s="22"/>
      <c r="BY176" s="22"/>
      <c r="BZ176" s="22"/>
      <c r="CA176" s="22"/>
      <c r="CB176" s="22"/>
      <c r="CC176" s="22"/>
      <c r="CD176" s="22"/>
      <c r="CE176" s="22"/>
      <c r="CF176" s="22"/>
      <c r="CG176" s="22"/>
      <c r="CH176" s="22"/>
      <c r="CI176" s="22"/>
      <c r="CJ176" s="22"/>
      <c r="CK176" s="22"/>
      <c r="CL176" s="22"/>
      <c r="CM176" s="22"/>
      <c r="CN176" s="22"/>
      <c r="CO176" s="22"/>
      <c r="CP176" s="22"/>
      <c r="CQ176" s="22"/>
      <c r="CR176" s="22"/>
      <c r="CS176" s="22"/>
      <c r="CT176" s="22"/>
      <c r="CU176" s="22"/>
    </row>
    <row r="177" spans="1:99" s="31" customFormat="1">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row>
    <row r="178" spans="1:99" s="31" customFormat="1">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row>
    <row r="179" spans="1:99" s="31" customFormat="1">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row>
    <row r="180" spans="1:99" s="31" customFormat="1">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row>
    <row r="181" spans="1:99" s="31" customFormat="1">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row>
    <row r="182" spans="1:99" s="31" customFormat="1">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row>
    <row r="183" spans="1:99" s="31" customFormat="1">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2"/>
      <c r="BO183" s="22"/>
      <c r="BP183" s="22"/>
      <c r="BQ183" s="22"/>
      <c r="BR183" s="22"/>
      <c r="BS183" s="22"/>
      <c r="BT183" s="22"/>
      <c r="BU183" s="22"/>
      <c r="BV183" s="22"/>
      <c r="BW183" s="22"/>
      <c r="BX183" s="22"/>
      <c r="BY183" s="22"/>
      <c r="BZ183" s="22"/>
      <c r="CA183" s="22"/>
      <c r="CB183" s="22"/>
      <c r="CC183" s="22"/>
      <c r="CD183" s="22"/>
      <c r="CE183" s="22"/>
      <c r="CF183" s="22"/>
      <c r="CG183" s="22"/>
      <c r="CH183" s="22"/>
      <c r="CI183" s="22"/>
      <c r="CJ183" s="22"/>
      <c r="CK183" s="22"/>
      <c r="CL183" s="22"/>
      <c r="CM183" s="22"/>
      <c r="CN183" s="22"/>
      <c r="CO183" s="22"/>
      <c r="CP183" s="22"/>
      <c r="CQ183" s="22"/>
      <c r="CR183" s="22"/>
      <c r="CS183" s="22"/>
      <c r="CT183" s="22"/>
      <c r="CU183" s="22"/>
    </row>
    <row r="184" spans="1:99" s="31" customFormat="1">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2"/>
      <c r="BO184" s="22"/>
      <c r="BP184" s="22"/>
      <c r="BQ184" s="22"/>
      <c r="BR184" s="22"/>
      <c r="BS184" s="22"/>
      <c r="BT184" s="22"/>
      <c r="BU184" s="22"/>
      <c r="BV184" s="22"/>
      <c r="BW184" s="22"/>
      <c r="BX184" s="22"/>
      <c r="BY184" s="22"/>
      <c r="BZ184" s="22"/>
      <c r="CA184" s="22"/>
      <c r="CB184" s="22"/>
      <c r="CC184" s="22"/>
      <c r="CD184" s="22"/>
      <c r="CE184" s="22"/>
      <c r="CF184" s="22"/>
      <c r="CG184" s="22"/>
      <c r="CH184" s="22"/>
      <c r="CI184" s="22"/>
      <c r="CJ184" s="22"/>
      <c r="CK184" s="22"/>
      <c r="CL184" s="22"/>
      <c r="CM184" s="22"/>
      <c r="CN184" s="22"/>
      <c r="CO184" s="22"/>
      <c r="CP184" s="22"/>
      <c r="CQ184" s="22"/>
      <c r="CR184" s="22"/>
      <c r="CS184" s="22"/>
      <c r="CT184" s="22"/>
      <c r="CU184" s="22"/>
    </row>
    <row r="185" spans="1:99" s="31" customFormat="1">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row>
    <row r="186" spans="1:99" s="31" customFormat="1">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row>
    <row r="187" spans="1:99" s="31" customFormat="1">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2"/>
      <c r="BO187" s="22"/>
      <c r="BP187" s="22"/>
      <c r="BQ187" s="22"/>
      <c r="BR187" s="22"/>
      <c r="BS187" s="22"/>
      <c r="BT187" s="22"/>
      <c r="BU187" s="22"/>
      <c r="BV187" s="22"/>
      <c r="BW187" s="22"/>
      <c r="BX187" s="22"/>
      <c r="BY187" s="22"/>
      <c r="BZ187" s="22"/>
      <c r="CA187" s="22"/>
      <c r="CB187" s="22"/>
      <c r="CC187" s="22"/>
      <c r="CD187" s="22"/>
      <c r="CE187" s="22"/>
      <c r="CF187" s="22"/>
      <c r="CG187" s="22"/>
      <c r="CH187" s="22"/>
      <c r="CI187" s="22"/>
      <c r="CJ187" s="22"/>
      <c r="CK187" s="22"/>
      <c r="CL187" s="22"/>
      <c r="CM187" s="22"/>
      <c r="CN187" s="22"/>
      <c r="CO187" s="22"/>
      <c r="CP187" s="22"/>
      <c r="CQ187" s="22"/>
      <c r="CR187" s="22"/>
      <c r="CS187" s="22"/>
      <c r="CT187" s="22"/>
      <c r="CU187" s="22"/>
    </row>
    <row r="188" spans="1:99" s="31" customFormat="1">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row>
    <row r="189" spans="1:99" s="31" customFormat="1">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2"/>
      <c r="BO189" s="22"/>
      <c r="BP189" s="22"/>
      <c r="BQ189" s="22"/>
      <c r="BR189" s="22"/>
      <c r="BS189" s="22"/>
      <c r="BT189" s="22"/>
      <c r="BU189" s="22"/>
      <c r="BV189" s="22"/>
      <c r="BW189" s="22"/>
      <c r="BX189" s="22"/>
      <c r="BY189" s="22"/>
      <c r="BZ189" s="22"/>
      <c r="CA189" s="22"/>
      <c r="CB189" s="22"/>
      <c r="CC189" s="22"/>
      <c r="CD189" s="22"/>
      <c r="CE189" s="22"/>
      <c r="CF189" s="22"/>
      <c r="CG189" s="22"/>
      <c r="CH189" s="22"/>
      <c r="CI189" s="22"/>
      <c r="CJ189" s="22"/>
      <c r="CK189" s="22"/>
      <c r="CL189" s="22"/>
      <c r="CM189" s="22"/>
      <c r="CN189" s="22"/>
      <c r="CO189" s="22"/>
      <c r="CP189" s="22"/>
      <c r="CQ189" s="22"/>
      <c r="CR189" s="22"/>
      <c r="CS189" s="22"/>
      <c r="CT189" s="22"/>
      <c r="CU189" s="22"/>
    </row>
    <row r="190" spans="1:99" s="31" customFormat="1">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c r="BH190" s="22"/>
      <c r="BI190" s="22"/>
      <c r="BJ190" s="22"/>
      <c r="BK190" s="22"/>
      <c r="BL190" s="22"/>
      <c r="BM190" s="22"/>
      <c r="BN190" s="22"/>
      <c r="BO190" s="22"/>
      <c r="BP190" s="22"/>
      <c r="BQ190" s="22"/>
      <c r="BR190" s="22"/>
      <c r="BS190" s="22"/>
      <c r="BT190" s="22"/>
      <c r="BU190" s="22"/>
      <c r="BV190" s="22"/>
      <c r="BW190" s="22"/>
      <c r="BX190" s="22"/>
      <c r="BY190" s="22"/>
      <c r="BZ190" s="22"/>
      <c r="CA190" s="22"/>
      <c r="CB190" s="22"/>
      <c r="CC190" s="22"/>
      <c r="CD190" s="22"/>
      <c r="CE190" s="22"/>
      <c r="CF190" s="22"/>
      <c r="CG190" s="22"/>
      <c r="CH190" s="22"/>
      <c r="CI190" s="22"/>
      <c r="CJ190" s="22"/>
      <c r="CK190" s="22"/>
      <c r="CL190" s="22"/>
      <c r="CM190" s="22"/>
      <c r="CN190" s="22"/>
      <c r="CO190" s="22"/>
      <c r="CP190" s="22"/>
      <c r="CQ190" s="22"/>
      <c r="CR190" s="22"/>
      <c r="CS190" s="22"/>
      <c r="CT190" s="22"/>
      <c r="CU190" s="22"/>
    </row>
    <row r="191" spans="1:99" s="31" customFormat="1">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2"/>
      <c r="BO191" s="22"/>
      <c r="BP191" s="22"/>
      <c r="BQ191" s="22"/>
      <c r="BR191" s="22"/>
      <c r="BS191" s="22"/>
      <c r="BT191" s="22"/>
      <c r="BU191" s="22"/>
      <c r="BV191" s="22"/>
      <c r="BW191" s="22"/>
      <c r="BX191" s="22"/>
      <c r="BY191" s="22"/>
      <c r="BZ191" s="22"/>
      <c r="CA191" s="22"/>
      <c r="CB191" s="22"/>
      <c r="CC191" s="22"/>
      <c r="CD191" s="22"/>
      <c r="CE191" s="22"/>
      <c r="CF191" s="22"/>
      <c r="CG191" s="22"/>
      <c r="CH191" s="22"/>
      <c r="CI191" s="22"/>
      <c r="CJ191" s="22"/>
      <c r="CK191" s="22"/>
      <c r="CL191" s="22"/>
      <c r="CM191" s="22"/>
      <c r="CN191" s="22"/>
      <c r="CO191" s="22"/>
      <c r="CP191" s="22"/>
      <c r="CQ191" s="22"/>
      <c r="CR191" s="22"/>
      <c r="CS191" s="22"/>
      <c r="CT191" s="22"/>
      <c r="CU191" s="22"/>
    </row>
    <row r="192" spans="1:99" s="31" customFormat="1">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2"/>
      <c r="BO192" s="22"/>
      <c r="BP192" s="22"/>
      <c r="BQ192" s="22"/>
      <c r="BR192" s="22"/>
      <c r="BS192" s="22"/>
      <c r="BT192" s="22"/>
      <c r="BU192" s="22"/>
      <c r="BV192" s="22"/>
      <c r="BW192" s="22"/>
      <c r="BX192" s="22"/>
      <c r="BY192" s="22"/>
      <c r="BZ192" s="22"/>
      <c r="CA192" s="22"/>
      <c r="CB192" s="22"/>
      <c r="CC192" s="22"/>
      <c r="CD192" s="22"/>
      <c r="CE192" s="22"/>
      <c r="CF192" s="22"/>
      <c r="CG192" s="22"/>
      <c r="CH192" s="22"/>
      <c r="CI192" s="22"/>
      <c r="CJ192" s="22"/>
      <c r="CK192" s="22"/>
      <c r="CL192" s="22"/>
      <c r="CM192" s="22"/>
      <c r="CN192" s="22"/>
      <c r="CO192" s="22"/>
      <c r="CP192" s="22"/>
      <c r="CQ192" s="22"/>
      <c r="CR192" s="22"/>
      <c r="CS192" s="22"/>
      <c r="CT192" s="22"/>
      <c r="CU192" s="22"/>
    </row>
    <row r="193" spans="1:99" s="31" customFormat="1">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c r="BH193" s="22"/>
      <c r="BI193" s="22"/>
      <c r="BJ193" s="22"/>
      <c r="BK193" s="22"/>
      <c r="BL193" s="22"/>
      <c r="BM193" s="22"/>
      <c r="BN193" s="22"/>
      <c r="BO193" s="22"/>
      <c r="BP193" s="22"/>
      <c r="BQ193" s="22"/>
      <c r="BR193" s="22"/>
      <c r="BS193" s="22"/>
      <c r="BT193" s="22"/>
      <c r="BU193" s="22"/>
      <c r="BV193" s="22"/>
      <c r="BW193" s="22"/>
      <c r="BX193" s="22"/>
      <c r="BY193" s="22"/>
      <c r="BZ193" s="22"/>
      <c r="CA193" s="22"/>
      <c r="CB193" s="22"/>
      <c r="CC193" s="22"/>
      <c r="CD193" s="22"/>
      <c r="CE193" s="22"/>
      <c r="CF193" s="22"/>
      <c r="CG193" s="22"/>
      <c r="CH193" s="22"/>
      <c r="CI193" s="22"/>
      <c r="CJ193" s="22"/>
      <c r="CK193" s="22"/>
      <c r="CL193" s="22"/>
      <c r="CM193" s="22"/>
      <c r="CN193" s="22"/>
      <c r="CO193" s="22"/>
      <c r="CP193" s="22"/>
      <c r="CQ193" s="22"/>
      <c r="CR193" s="22"/>
      <c r="CS193" s="22"/>
      <c r="CT193" s="22"/>
      <c r="CU193" s="22"/>
    </row>
    <row r="194" spans="1:99" s="31" customFormat="1">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c r="AZ194" s="22"/>
      <c r="BA194" s="22"/>
      <c r="BB194" s="22"/>
      <c r="BC194" s="22"/>
      <c r="BD194" s="22"/>
      <c r="BE194" s="22"/>
      <c r="BF194" s="22"/>
      <c r="BG194" s="22"/>
      <c r="BH194" s="22"/>
      <c r="BI194" s="22"/>
      <c r="BJ194" s="22"/>
      <c r="BK194" s="22"/>
      <c r="BL194" s="22"/>
      <c r="BM194" s="22"/>
      <c r="BN194" s="22"/>
      <c r="BO194" s="22"/>
      <c r="BP194" s="22"/>
      <c r="BQ194" s="22"/>
      <c r="BR194" s="22"/>
      <c r="BS194" s="22"/>
      <c r="BT194" s="22"/>
      <c r="BU194" s="22"/>
      <c r="BV194" s="22"/>
      <c r="BW194" s="22"/>
      <c r="BX194" s="22"/>
      <c r="BY194" s="22"/>
      <c r="BZ194" s="22"/>
      <c r="CA194" s="22"/>
      <c r="CB194" s="22"/>
      <c r="CC194" s="22"/>
      <c r="CD194" s="22"/>
      <c r="CE194" s="22"/>
      <c r="CF194" s="22"/>
      <c r="CG194" s="22"/>
      <c r="CH194" s="22"/>
      <c r="CI194" s="22"/>
      <c r="CJ194" s="22"/>
      <c r="CK194" s="22"/>
      <c r="CL194" s="22"/>
      <c r="CM194" s="22"/>
      <c r="CN194" s="22"/>
      <c r="CO194" s="22"/>
      <c r="CP194" s="22"/>
      <c r="CQ194" s="22"/>
      <c r="CR194" s="22"/>
      <c r="CS194" s="22"/>
      <c r="CT194" s="22"/>
      <c r="CU194" s="22"/>
    </row>
    <row r="195" spans="1:99" s="31" customFormat="1">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c r="BG195" s="22"/>
      <c r="BH195" s="22"/>
      <c r="BI195" s="22"/>
      <c r="BJ195" s="22"/>
      <c r="BK195" s="22"/>
      <c r="BL195" s="22"/>
      <c r="BM195" s="22"/>
      <c r="BN195" s="22"/>
      <c r="BO195" s="22"/>
      <c r="BP195" s="22"/>
      <c r="BQ195" s="22"/>
      <c r="BR195" s="22"/>
      <c r="BS195" s="22"/>
      <c r="BT195" s="22"/>
      <c r="BU195" s="22"/>
      <c r="BV195" s="22"/>
      <c r="BW195" s="22"/>
      <c r="BX195" s="22"/>
      <c r="BY195" s="22"/>
      <c r="BZ195" s="22"/>
      <c r="CA195" s="22"/>
      <c r="CB195" s="22"/>
      <c r="CC195" s="22"/>
      <c r="CD195" s="22"/>
      <c r="CE195" s="22"/>
      <c r="CF195" s="22"/>
      <c r="CG195" s="22"/>
      <c r="CH195" s="22"/>
      <c r="CI195" s="22"/>
      <c r="CJ195" s="22"/>
      <c r="CK195" s="22"/>
      <c r="CL195" s="22"/>
      <c r="CM195" s="22"/>
      <c r="CN195" s="22"/>
      <c r="CO195" s="22"/>
      <c r="CP195" s="22"/>
      <c r="CQ195" s="22"/>
      <c r="CR195" s="22"/>
      <c r="CS195" s="22"/>
      <c r="CT195" s="22"/>
      <c r="CU195" s="22"/>
    </row>
    <row r="196" spans="1:99" s="31" customFormat="1">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2"/>
      <c r="BO196" s="22"/>
      <c r="BP196" s="22"/>
      <c r="BQ196" s="22"/>
      <c r="BR196" s="22"/>
      <c r="BS196" s="22"/>
      <c r="BT196" s="22"/>
      <c r="BU196" s="22"/>
      <c r="BV196" s="22"/>
      <c r="BW196" s="22"/>
      <c r="BX196" s="22"/>
      <c r="BY196" s="22"/>
      <c r="BZ196" s="22"/>
      <c r="CA196" s="22"/>
      <c r="CB196" s="22"/>
      <c r="CC196" s="22"/>
      <c r="CD196" s="22"/>
      <c r="CE196" s="22"/>
      <c r="CF196" s="22"/>
      <c r="CG196" s="22"/>
      <c r="CH196" s="22"/>
      <c r="CI196" s="22"/>
      <c r="CJ196" s="22"/>
      <c r="CK196" s="22"/>
      <c r="CL196" s="22"/>
      <c r="CM196" s="22"/>
      <c r="CN196" s="22"/>
      <c r="CO196" s="22"/>
      <c r="CP196" s="22"/>
      <c r="CQ196" s="22"/>
      <c r="CR196" s="22"/>
      <c r="CS196" s="22"/>
      <c r="CT196" s="22"/>
      <c r="CU196" s="22"/>
    </row>
    <row r="197" spans="1:99" s="31" customFormat="1">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22"/>
      <c r="BF197" s="22"/>
      <c r="BG197" s="22"/>
      <c r="BH197" s="22"/>
      <c r="BI197" s="22"/>
      <c r="BJ197" s="22"/>
      <c r="BK197" s="22"/>
      <c r="BL197" s="22"/>
      <c r="BM197" s="22"/>
      <c r="BN197" s="22"/>
      <c r="BO197" s="22"/>
      <c r="BP197" s="22"/>
      <c r="BQ197" s="22"/>
      <c r="BR197" s="22"/>
      <c r="BS197" s="22"/>
      <c r="BT197" s="22"/>
      <c r="BU197" s="22"/>
      <c r="BV197" s="22"/>
      <c r="BW197" s="22"/>
      <c r="BX197" s="22"/>
      <c r="BY197" s="22"/>
      <c r="BZ197" s="22"/>
      <c r="CA197" s="22"/>
      <c r="CB197" s="22"/>
      <c r="CC197" s="22"/>
      <c r="CD197" s="22"/>
      <c r="CE197" s="22"/>
      <c r="CF197" s="22"/>
      <c r="CG197" s="22"/>
      <c r="CH197" s="22"/>
      <c r="CI197" s="22"/>
      <c r="CJ197" s="22"/>
      <c r="CK197" s="22"/>
      <c r="CL197" s="22"/>
      <c r="CM197" s="22"/>
      <c r="CN197" s="22"/>
      <c r="CO197" s="22"/>
      <c r="CP197" s="22"/>
      <c r="CQ197" s="22"/>
      <c r="CR197" s="22"/>
      <c r="CS197" s="22"/>
      <c r="CT197" s="22"/>
      <c r="CU197" s="22"/>
    </row>
    <row r="198" spans="1:99" s="31" customFormat="1">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c r="BH198" s="22"/>
      <c r="BI198" s="22"/>
      <c r="BJ198" s="22"/>
      <c r="BK198" s="22"/>
      <c r="BL198" s="22"/>
      <c r="BM198" s="22"/>
      <c r="BN198" s="22"/>
      <c r="BO198" s="22"/>
      <c r="BP198" s="22"/>
      <c r="BQ198" s="22"/>
      <c r="BR198" s="22"/>
      <c r="BS198" s="22"/>
      <c r="BT198" s="22"/>
      <c r="BU198" s="22"/>
      <c r="BV198" s="22"/>
      <c r="BW198" s="22"/>
      <c r="BX198" s="22"/>
      <c r="BY198" s="22"/>
      <c r="BZ198" s="22"/>
      <c r="CA198" s="22"/>
      <c r="CB198" s="22"/>
      <c r="CC198" s="22"/>
      <c r="CD198" s="22"/>
      <c r="CE198" s="22"/>
      <c r="CF198" s="22"/>
      <c r="CG198" s="22"/>
      <c r="CH198" s="22"/>
      <c r="CI198" s="22"/>
      <c r="CJ198" s="22"/>
      <c r="CK198" s="22"/>
      <c r="CL198" s="22"/>
      <c r="CM198" s="22"/>
      <c r="CN198" s="22"/>
      <c r="CO198" s="22"/>
      <c r="CP198" s="22"/>
      <c r="CQ198" s="22"/>
      <c r="CR198" s="22"/>
      <c r="CS198" s="22"/>
      <c r="CT198" s="22"/>
      <c r="CU198" s="22"/>
    </row>
    <row r="199" spans="1:99" s="31" customFormat="1">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c r="BH199" s="22"/>
      <c r="BI199" s="22"/>
      <c r="BJ199" s="22"/>
      <c r="BK199" s="22"/>
      <c r="BL199" s="22"/>
      <c r="BM199" s="22"/>
      <c r="BN199" s="22"/>
      <c r="BO199" s="22"/>
      <c r="BP199" s="22"/>
      <c r="BQ199" s="22"/>
      <c r="BR199" s="22"/>
      <c r="BS199" s="22"/>
      <c r="BT199" s="22"/>
      <c r="BU199" s="22"/>
      <c r="BV199" s="22"/>
      <c r="BW199" s="22"/>
      <c r="BX199" s="22"/>
      <c r="BY199" s="22"/>
      <c r="BZ199" s="22"/>
      <c r="CA199" s="22"/>
      <c r="CB199" s="22"/>
      <c r="CC199" s="22"/>
      <c r="CD199" s="22"/>
      <c r="CE199" s="22"/>
      <c r="CF199" s="22"/>
      <c r="CG199" s="22"/>
      <c r="CH199" s="22"/>
      <c r="CI199" s="22"/>
      <c r="CJ199" s="22"/>
      <c r="CK199" s="22"/>
      <c r="CL199" s="22"/>
      <c r="CM199" s="22"/>
      <c r="CN199" s="22"/>
      <c r="CO199" s="22"/>
      <c r="CP199" s="22"/>
      <c r="CQ199" s="22"/>
      <c r="CR199" s="22"/>
      <c r="CS199" s="22"/>
      <c r="CT199" s="22"/>
      <c r="CU199" s="22"/>
    </row>
    <row r="200" spans="1:99" s="31" customFormat="1">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c r="AP200" s="22"/>
      <c r="AQ200" s="22"/>
      <c r="AR200" s="22"/>
      <c r="AS200" s="22"/>
      <c r="AT200" s="22"/>
      <c r="AU200" s="22"/>
      <c r="AV200" s="22"/>
      <c r="AW200" s="22"/>
      <c r="AX200" s="22"/>
      <c r="AY200" s="22"/>
      <c r="AZ200" s="22"/>
      <c r="BA200" s="22"/>
      <c r="BB200" s="22"/>
      <c r="BC200" s="22"/>
      <c r="BD200" s="22"/>
      <c r="BE200" s="22"/>
      <c r="BF200" s="22"/>
      <c r="BG200" s="22"/>
      <c r="BH200" s="22"/>
      <c r="BI200" s="22"/>
      <c r="BJ200" s="22"/>
      <c r="BK200" s="22"/>
      <c r="BL200" s="22"/>
      <c r="BM200" s="22"/>
      <c r="BN200" s="22"/>
      <c r="BO200" s="22"/>
      <c r="BP200" s="22"/>
      <c r="BQ200" s="22"/>
      <c r="BR200" s="22"/>
      <c r="BS200" s="22"/>
      <c r="BT200" s="22"/>
      <c r="BU200" s="22"/>
      <c r="BV200" s="22"/>
      <c r="BW200" s="22"/>
      <c r="BX200" s="22"/>
      <c r="BY200" s="22"/>
      <c r="BZ200" s="22"/>
      <c r="CA200" s="22"/>
      <c r="CB200" s="22"/>
      <c r="CC200" s="22"/>
      <c r="CD200" s="22"/>
      <c r="CE200" s="22"/>
      <c r="CF200" s="22"/>
      <c r="CG200" s="22"/>
      <c r="CH200" s="22"/>
      <c r="CI200" s="22"/>
      <c r="CJ200" s="22"/>
      <c r="CK200" s="22"/>
      <c r="CL200" s="22"/>
      <c r="CM200" s="22"/>
      <c r="CN200" s="22"/>
      <c r="CO200" s="22"/>
      <c r="CP200" s="22"/>
      <c r="CQ200" s="22"/>
      <c r="CR200" s="22"/>
      <c r="CS200" s="22"/>
      <c r="CT200" s="22"/>
      <c r="CU200" s="22"/>
    </row>
    <row r="201" spans="1:99" s="31" customFormat="1">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c r="BH201" s="22"/>
      <c r="BI201" s="22"/>
      <c r="BJ201" s="22"/>
      <c r="BK201" s="22"/>
      <c r="BL201" s="22"/>
      <c r="BM201" s="22"/>
      <c r="BN201" s="22"/>
      <c r="BO201" s="22"/>
      <c r="BP201" s="22"/>
      <c r="BQ201" s="22"/>
      <c r="BR201" s="22"/>
      <c r="BS201" s="22"/>
      <c r="BT201" s="22"/>
      <c r="BU201" s="22"/>
      <c r="BV201" s="22"/>
      <c r="BW201" s="22"/>
      <c r="BX201" s="22"/>
      <c r="BY201" s="22"/>
      <c r="BZ201" s="22"/>
      <c r="CA201" s="22"/>
      <c r="CB201" s="22"/>
      <c r="CC201" s="22"/>
      <c r="CD201" s="22"/>
      <c r="CE201" s="22"/>
      <c r="CF201" s="22"/>
      <c r="CG201" s="22"/>
      <c r="CH201" s="22"/>
      <c r="CI201" s="22"/>
      <c r="CJ201" s="22"/>
      <c r="CK201" s="22"/>
      <c r="CL201" s="22"/>
      <c r="CM201" s="22"/>
      <c r="CN201" s="22"/>
      <c r="CO201" s="22"/>
      <c r="CP201" s="22"/>
      <c r="CQ201" s="22"/>
      <c r="CR201" s="22"/>
      <c r="CS201" s="22"/>
      <c r="CT201" s="22"/>
      <c r="CU201" s="22"/>
    </row>
    <row r="202" spans="1:99" s="31" customFormat="1">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c r="BH202" s="22"/>
      <c r="BI202" s="22"/>
      <c r="BJ202" s="22"/>
      <c r="BK202" s="22"/>
      <c r="BL202" s="22"/>
      <c r="BM202" s="22"/>
      <c r="BN202" s="22"/>
      <c r="BO202" s="22"/>
      <c r="BP202" s="22"/>
      <c r="BQ202" s="22"/>
      <c r="BR202" s="22"/>
      <c r="BS202" s="22"/>
      <c r="BT202" s="22"/>
      <c r="BU202" s="22"/>
      <c r="BV202" s="22"/>
      <c r="BW202" s="22"/>
      <c r="BX202" s="22"/>
      <c r="BY202" s="22"/>
      <c r="BZ202" s="22"/>
      <c r="CA202" s="22"/>
      <c r="CB202" s="22"/>
      <c r="CC202" s="22"/>
      <c r="CD202" s="22"/>
      <c r="CE202" s="22"/>
      <c r="CF202" s="22"/>
      <c r="CG202" s="22"/>
      <c r="CH202" s="22"/>
      <c r="CI202" s="22"/>
      <c r="CJ202" s="22"/>
      <c r="CK202" s="22"/>
      <c r="CL202" s="22"/>
      <c r="CM202" s="22"/>
      <c r="CN202" s="22"/>
      <c r="CO202" s="22"/>
      <c r="CP202" s="22"/>
      <c r="CQ202" s="22"/>
      <c r="CR202" s="22"/>
      <c r="CS202" s="22"/>
      <c r="CT202" s="22"/>
      <c r="CU202" s="22"/>
    </row>
    <row r="203" spans="1:99" s="31" customFormat="1">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c r="BH203" s="22"/>
      <c r="BI203" s="22"/>
      <c r="BJ203" s="22"/>
      <c r="BK203" s="22"/>
      <c r="BL203" s="22"/>
      <c r="BM203" s="22"/>
      <c r="BN203" s="22"/>
      <c r="BO203" s="22"/>
      <c r="BP203" s="22"/>
      <c r="BQ203" s="22"/>
      <c r="BR203" s="22"/>
      <c r="BS203" s="22"/>
      <c r="BT203" s="22"/>
      <c r="BU203" s="22"/>
      <c r="BV203" s="22"/>
      <c r="BW203" s="22"/>
      <c r="BX203" s="22"/>
      <c r="BY203" s="22"/>
      <c r="BZ203" s="22"/>
      <c r="CA203" s="22"/>
      <c r="CB203" s="22"/>
      <c r="CC203" s="22"/>
      <c r="CD203" s="22"/>
      <c r="CE203" s="22"/>
      <c r="CF203" s="22"/>
      <c r="CG203" s="22"/>
      <c r="CH203" s="22"/>
      <c r="CI203" s="22"/>
      <c r="CJ203" s="22"/>
      <c r="CK203" s="22"/>
      <c r="CL203" s="22"/>
      <c r="CM203" s="22"/>
      <c r="CN203" s="22"/>
      <c r="CO203" s="22"/>
      <c r="CP203" s="22"/>
      <c r="CQ203" s="22"/>
      <c r="CR203" s="22"/>
      <c r="CS203" s="22"/>
      <c r="CT203" s="22"/>
      <c r="CU203" s="22"/>
    </row>
    <row r="204" spans="1:99" s="31" customFormat="1">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c r="AP204" s="22"/>
      <c r="AQ204" s="22"/>
      <c r="AR204" s="22"/>
      <c r="AS204" s="22"/>
      <c r="AT204" s="22"/>
      <c r="AU204" s="22"/>
      <c r="AV204" s="22"/>
      <c r="AW204" s="22"/>
      <c r="AX204" s="22"/>
      <c r="AY204" s="22"/>
      <c r="AZ204" s="22"/>
      <c r="BA204" s="22"/>
      <c r="BB204" s="22"/>
      <c r="BC204" s="22"/>
      <c r="BD204" s="22"/>
      <c r="BE204" s="22"/>
      <c r="BF204" s="22"/>
      <c r="BG204" s="22"/>
      <c r="BH204" s="22"/>
      <c r="BI204" s="22"/>
      <c r="BJ204" s="22"/>
      <c r="BK204" s="22"/>
      <c r="BL204" s="22"/>
      <c r="BM204" s="22"/>
      <c r="BN204" s="22"/>
      <c r="BO204" s="22"/>
      <c r="BP204" s="22"/>
      <c r="BQ204" s="22"/>
      <c r="BR204" s="22"/>
      <c r="BS204" s="22"/>
      <c r="BT204" s="22"/>
      <c r="BU204" s="22"/>
      <c r="BV204" s="22"/>
      <c r="BW204" s="22"/>
      <c r="BX204" s="22"/>
      <c r="BY204" s="22"/>
      <c r="BZ204" s="22"/>
      <c r="CA204" s="22"/>
      <c r="CB204" s="22"/>
      <c r="CC204" s="22"/>
      <c r="CD204" s="22"/>
      <c r="CE204" s="22"/>
      <c r="CF204" s="22"/>
      <c r="CG204" s="22"/>
      <c r="CH204" s="22"/>
      <c r="CI204" s="22"/>
      <c r="CJ204" s="22"/>
      <c r="CK204" s="22"/>
      <c r="CL204" s="22"/>
      <c r="CM204" s="22"/>
      <c r="CN204" s="22"/>
      <c r="CO204" s="22"/>
      <c r="CP204" s="22"/>
      <c r="CQ204" s="22"/>
      <c r="CR204" s="22"/>
      <c r="CS204" s="22"/>
      <c r="CT204" s="22"/>
      <c r="CU204" s="22"/>
    </row>
    <row r="205" spans="1:99" s="31" customFormat="1">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2"/>
      <c r="BO205" s="22"/>
      <c r="BP205" s="22"/>
      <c r="BQ205" s="22"/>
      <c r="BR205" s="22"/>
      <c r="BS205" s="22"/>
      <c r="BT205" s="22"/>
      <c r="BU205" s="22"/>
      <c r="BV205" s="22"/>
      <c r="BW205" s="22"/>
      <c r="BX205" s="22"/>
      <c r="BY205" s="22"/>
      <c r="BZ205" s="22"/>
      <c r="CA205" s="22"/>
      <c r="CB205" s="22"/>
      <c r="CC205" s="22"/>
      <c r="CD205" s="22"/>
      <c r="CE205" s="22"/>
      <c r="CF205" s="22"/>
      <c r="CG205" s="22"/>
      <c r="CH205" s="22"/>
      <c r="CI205" s="22"/>
      <c r="CJ205" s="22"/>
      <c r="CK205" s="22"/>
      <c r="CL205" s="22"/>
      <c r="CM205" s="22"/>
      <c r="CN205" s="22"/>
      <c r="CO205" s="22"/>
      <c r="CP205" s="22"/>
      <c r="CQ205" s="22"/>
      <c r="CR205" s="22"/>
      <c r="CS205" s="22"/>
      <c r="CT205" s="22"/>
      <c r="CU205" s="22"/>
    </row>
    <row r="206" spans="1:99" s="31" customFormat="1">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2"/>
      <c r="BO206" s="22"/>
      <c r="BP206" s="22"/>
      <c r="BQ206" s="22"/>
      <c r="BR206" s="22"/>
      <c r="BS206" s="22"/>
      <c r="BT206" s="22"/>
      <c r="BU206" s="22"/>
      <c r="BV206" s="22"/>
      <c r="BW206" s="22"/>
      <c r="BX206" s="22"/>
      <c r="BY206" s="22"/>
      <c r="BZ206" s="22"/>
      <c r="CA206" s="22"/>
      <c r="CB206" s="22"/>
      <c r="CC206" s="22"/>
      <c r="CD206" s="22"/>
      <c r="CE206" s="22"/>
      <c r="CF206" s="22"/>
      <c r="CG206" s="22"/>
      <c r="CH206" s="22"/>
      <c r="CI206" s="22"/>
      <c r="CJ206" s="22"/>
      <c r="CK206" s="22"/>
      <c r="CL206" s="22"/>
      <c r="CM206" s="22"/>
      <c r="CN206" s="22"/>
      <c r="CO206" s="22"/>
      <c r="CP206" s="22"/>
      <c r="CQ206" s="22"/>
      <c r="CR206" s="22"/>
      <c r="CS206" s="22"/>
      <c r="CT206" s="22"/>
      <c r="CU206" s="22"/>
    </row>
    <row r="207" spans="1:99" s="31" customFormat="1">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2"/>
      <c r="BO207" s="22"/>
      <c r="BP207" s="22"/>
      <c r="BQ207" s="22"/>
      <c r="BR207" s="22"/>
      <c r="BS207" s="22"/>
      <c r="BT207" s="22"/>
      <c r="BU207" s="22"/>
      <c r="BV207" s="22"/>
      <c r="BW207" s="22"/>
      <c r="BX207" s="22"/>
      <c r="BY207" s="22"/>
      <c r="BZ207" s="22"/>
      <c r="CA207" s="22"/>
      <c r="CB207" s="22"/>
      <c r="CC207" s="22"/>
      <c r="CD207" s="22"/>
      <c r="CE207" s="22"/>
      <c r="CF207" s="22"/>
      <c r="CG207" s="22"/>
      <c r="CH207" s="22"/>
      <c r="CI207" s="22"/>
      <c r="CJ207" s="22"/>
      <c r="CK207" s="22"/>
      <c r="CL207" s="22"/>
      <c r="CM207" s="22"/>
      <c r="CN207" s="22"/>
      <c r="CO207" s="22"/>
      <c r="CP207" s="22"/>
      <c r="CQ207" s="22"/>
      <c r="CR207" s="22"/>
      <c r="CS207" s="22"/>
      <c r="CT207" s="22"/>
      <c r="CU207" s="22"/>
    </row>
    <row r="208" spans="1:99" s="31" customFormat="1">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2"/>
      <c r="BO208" s="22"/>
      <c r="BP208" s="22"/>
      <c r="BQ208" s="22"/>
      <c r="BR208" s="22"/>
      <c r="BS208" s="22"/>
      <c r="BT208" s="22"/>
      <c r="BU208" s="22"/>
      <c r="BV208" s="22"/>
      <c r="BW208" s="22"/>
      <c r="BX208" s="22"/>
      <c r="BY208" s="22"/>
      <c r="BZ208" s="22"/>
      <c r="CA208" s="22"/>
      <c r="CB208" s="22"/>
      <c r="CC208" s="22"/>
      <c r="CD208" s="22"/>
      <c r="CE208" s="22"/>
      <c r="CF208" s="22"/>
      <c r="CG208" s="22"/>
      <c r="CH208" s="22"/>
      <c r="CI208" s="22"/>
      <c r="CJ208" s="22"/>
      <c r="CK208" s="22"/>
      <c r="CL208" s="22"/>
      <c r="CM208" s="22"/>
      <c r="CN208" s="22"/>
      <c r="CO208" s="22"/>
      <c r="CP208" s="22"/>
      <c r="CQ208" s="22"/>
      <c r="CR208" s="22"/>
      <c r="CS208" s="22"/>
      <c r="CT208" s="22"/>
      <c r="CU208" s="22"/>
    </row>
    <row r="209" spans="1:99" s="31" customFormat="1">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2"/>
      <c r="BO209" s="22"/>
      <c r="BP209" s="22"/>
      <c r="BQ209" s="22"/>
      <c r="BR209" s="22"/>
      <c r="BS209" s="22"/>
      <c r="BT209" s="22"/>
      <c r="BU209" s="22"/>
      <c r="BV209" s="22"/>
      <c r="BW209" s="22"/>
      <c r="BX209" s="22"/>
      <c r="BY209" s="22"/>
      <c r="BZ209" s="22"/>
      <c r="CA209" s="22"/>
      <c r="CB209" s="22"/>
      <c r="CC209" s="22"/>
      <c r="CD209" s="22"/>
      <c r="CE209" s="22"/>
      <c r="CF209" s="22"/>
      <c r="CG209" s="22"/>
      <c r="CH209" s="22"/>
      <c r="CI209" s="22"/>
      <c r="CJ209" s="22"/>
      <c r="CK209" s="22"/>
      <c r="CL209" s="22"/>
      <c r="CM209" s="22"/>
      <c r="CN209" s="22"/>
      <c r="CO209" s="22"/>
      <c r="CP209" s="22"/>
      <c r="CQ209" s="22"/>
      <c r="CR209" s="22"/>
      <c r="CS209" s="22"/>
      <c r="CT209" s="22"/>
      <c r="CU209" s="22"/>
    </row>
    <row r="210" spans="1:99" s="31" customFormat="1">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2"/>
      <c r="BO210" s="22"/>
      <c r="BP210" s="22"/>
      <c r="BQ210" s="22"/>
      <c r="BR210" s="22"/>
      <c r="BS210" s="22"/>
      <c r="BT210" s="22"/>
      <c r="BU210" s="22"/>
      <c r="BV210" s="22"/>
      <c r="BW210" s="22"/>
      <c r="BX210" s="22"/>
      <c r="BY210" s="22"/>
      <c r="BZ210" s="22"/>
      <c r="CA210" s="22"/>
      <c r="CB210" s="22"/>
      <c r="CC210" s="22"/>
      <c r="CD210" s="22"/>
      <c r="CE210" s="22"/>
      <c r="CF210" s="22"/>
      <c r="CG210" s="22"/>
      <c r="CH210" s="22"/>
      <c r="CI210" s="22"/>
      <c r="CJ210" s="22"/>
      <c r="CK210" s="22"/>
      <c r="CL210" s="22"/>
      <c r="CM210" s="22"/>
      <c r="CN210" s="22"/>
      <c r="CO210" s="22"/>
      <c r="CP210" s="22"/>
      <c r="CQ210" s="22"/>
      <c r="CR210" s="22"/>
      <c r="CS210" s="22"/>
      <c r="CT210" s="22"/>
      <c r="CU210" s="22"/>
    </row>
    <row r="211" spans="1:99" s="31" customFormat="1">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c r="BH211" s="22"/>
      <c r="BI211" s="22"/>
      <c r="BJ211" s="22"/>
      <c r="BK211" s="22"/>
      <c r="BL211" s="22"/>
      <c r="BM211" s="22"/>
      <c r="BN211" s="22"/>
      <c r="BO211" s="22"/>
      <c r="BP211" s="22"/>
      <c r="BQ211" s="22"/>
      <c r="BR211" s="22"/>
      <c r="BS211" s="22"/>
      <c r="BT211" s="22"/>
      <c r="BU211" s="22"/>
      <c r="BV211" s="22"/>
      <c r="BW211" s="22"/>
      <c r="BX211" s="22"/>
      <c r="BY211" s="22"/>
      <c r="BZ211" s="22"/>
      <c r="CA211" s="22"/>
      <c r="CB211" s="22"/>
      <c r="CC211" s="22"/>
      <c r="CD211" s="22"/>
      <c r="CE211" s="22"/>
      <c r="CF211" s="22"/>
      <c r="CG211" s="22"/>
      <c r="CH211" s="22"/>
      <c r="CI211" s="22"/>
      <c r="CJ211" s="22"/>
      <c r="CK211" s="22"/>
      <c r="CL211" s="22"/>
      <c r="CM211" s="22"/>
      <c r="CN211" s="22"/>
      <c r="CO211" s="22"/>
      <c r="CP211" s="22"/>
      <c r="CQ211" s="22"/>
      <c r="CR211" s="22"/>
      <c r="CS211" s="22"/>
      <c r="CT211" s="22"/>
      <c r="CU211" s="22"/>
    </row>
    <row r="212" spans="1:99" s="31" customFormat="1">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c r="BH212" s="22"/>
      <c r="BI212" s="22"/>
      <c r="BJ212" s="22"/>
      <c r="BK212" s="22"/>
      <c r="BL212" s="22"/>
      <c r="BM212" s="22"/>
      <c r="BN212" s="22"/>
      <c r="BO212" s="22"/>
      <c r="BP212" s="22"/>
      <c r="BQ212" s="22"/>
      <c r="BR212" s="22"/>
      <c r="BS212" s="22"/>
      <c r="BT212" s="22"/>
      <c r="BU212" s="22"/>
      <c r="BV212" s="22"/>
      <c r="BW212" s="22"/>
      <c r="BX212" s="22"/>
      <c r="BY212" s="22"/>
      <c r="BZ212" s="22"/>
      <c r="CA212" s="22"/>
      <c r="CB212" s="22"/>
      <c r="CC212" s="22"/>
      <c r="CD212" s="22"/>
      <c r="CE212" s="22"/>
      <c r="CF212" s="22"/>
      <c r="CG212" s="22"/>
      <c r="CH212" s="22"/>
      <c r="CI212" s="22"/>
      <c r="CJ212" s="22"/>
      <c r="CK212" s="22"/>
      <c r="CL212" s="22"/>
      <c r="CM212" s="22"/>
      <c r="CN212" s="22"/>
      <c r="CO212" s="22"/>
      <c r="CP212" s="22"/>
      <c r="CQ212" s="22"/>
      <c r="CR212" s="22"/>
      <c r="CS212" s="22"/>
      <c r="CT212" s="22"/>
      <c r="CU212" s="22"/>
    </row>
    <row r="213" spans="1:99" s="31" customFormat="1">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2"/>
      <c r="BO213" s="22"/>
      <c r="BP213" s="22"/>
      <c r="BQ213" s="22"/>
      <c r="BR213" s="22"/>
      <c r="BS213" s="22"/>
      <c r="BT213" s="22"/>
      <c r="BU213" s="22"/>
      <c r="BV213" s="22"/>
      <c r="BW213" s="22"/>
      <c r="BX213" s="22"/>
      <c r="BY213" s="22"/>
      <c r="BZ213" s="22"/>
      <c r="CA213" s="22"/>
      <c r="CB213" s="22"/>
      <c r="CC213" s="22"/>
      <c r="CD213" s="22"/>
      <c r="CE213" s="22"/>
      <c r="CF213" s="22"/>
      <c r="CG213" s="22"/>
      <c r="CH213" s="22"/>
      <c r="CI213" s="22"/>
      <c r="CJ213" s="22"/>
      <c r="CK213" s="22"/>
      <c r="CL213" s="22"/>
      <c r="CM213" s="22"/>
      <c r="CN213" s="22"/>
      <c r="CO213" s="22"/>
      <c r="CP213" s="22"/>
      <c r="CQ213" s="22"/>
      <c r="CR213" s="22"/>
      <c r="CS213" s="22"/>
      <c r="CT213" s="22"/>
      <c r="CU213" s="22"/>
    </row>
    <row r="214" spans="1:99" s="31" customFormat="1">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2"/>
      <c r="BO214" s="22"/>
      <c r="BP214" s="22"/>
      <c r="BQ214" s="22"/>
      <c r="BR214" s="22"/>
      <c r="BS214" s="22"/>
      <c r="BT214" s="22"/>
      <c r="BU214" s="22"/>
      <c r="BV214" s="22"/>
      <c r="BW214" s="22"/>
      <c r="BX214" s="22"/>
      <c r="BY214" s="22"/>
      <c r="BZ214" s="22"/>
      <c r="CA214" s="22"/>
      <c r="CB214" s="22"/>
      <c r="CC214" s="22"/>
      <c r="CD214" s="22"/>
      <c r="CE214" s="22"/>
      <c r="CF214" s="22"/>
      <c r="CG214" s="22"/>
      <c r="CH214" s="22"/>
      <c r="CI214" s="22"/>
      <c r="CJ214" s="22"/>
      <c r="CK214" s="22"/>
      <c r="CL214" s="22"/>
      <c r="CM214" s="22"/>
      <c r="CN214" s="22"/>
      <c r="CO214" s="22"/>
      <c r="CP214" s="22"/>
      <c r="CQ214" s="22"/>
      <c r="CR214" s="22"/>
      <c r="CS214" s="22"/>
      <c r="CT214" s="22"/>
      <c r="CU214" s="22"/>
    </row>
    <row r="215" spans="1:99" s="31" customFormat="1">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2"/>
      <c r="BO215" s="22"/>
      <c r="BP215" s="22"/>
      <c r="BQ215" s="22"/>
      <c r="BR215" s="22"/>
      <c r="BS215" s="22"/>
      <c r="BT215" s="22"/>
      <c r="BU215" s="22"/>
      <c r="BV215" s="22"/>
      <c r="BW215" s="22"/>
      <c r="BX215" s="22"/>
      <c r="BY215" s="22"/>
      <c r="BZ215" s="22"/>
      <c r="CA215" s="22"/>
      <c r="CB215" s="22"/>
      <c r="CC215" s="22"/>
      <c r="CD215" s="22"/>
      <c r="CE215" s="22"/>
      <c r="CF215" s="22"/>
      <c r="CG215" s="22"/>
      <c r="CH215" s="22"/>
      <c r="CI215" s="22"/>
      <c r="CJ215" s="22"/>
      <c r="CK215" s="22"/>
      <c r="CL215" s="22"/>
      <c r="CM215" s="22"/>
      <c r="CN215" s="22"/>
      <c r="CO215" s="22"/>
      <c r="CP215" s="22"/>
      <c r="CQ215" s="22"/>
      <c r="CR215" s="22"/>
      <c r="CS215" s="22"/>
      <c r="CT215" s="22"/>
      <c r="CU215" s="22"/>
    </row>
    <row r="216" spans="1:99" s="31" customFormat="1">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c r="AZ216" s="22"/>
      <c r="BA216" s="22"/>
      <c r="BB216" s="22"/>
      <c r="BC216" s="22"/>
      <c r="BD216" s="22"/>
      <c r="BE216" s="22"/>
      <c r="BF216" s="22"/>
      <c r="BG216" s="22"/>
      <c r="BH216" s="22"/>
      <c r="BI216" s="22"/>
      <c r="BJ216" s="22"/>
      <c r="BK216" s="22"/>
      <c r="BL216" s="22"/>
      <c r="BM216" s="22"/>
      <c r="BN216" s="22"/>
      <c r="BO216" s="22"/>
      <c r="BP216" s="22"/>
      <c r="BQ216" s="22"/>
      <c r="BR216" s="22"/>
      <c r="BS216" s="22"/>
      <c r="BT216" s="22"/>
      <c r="BU216" s="22"/>
      <c r="BV216" s="22"/>
      <c r="BW216" s="22"/>
      <c r="BX216" s="22"/>
      <c r="BY216" s="22"/>
      <c r="BZ216" s="22"/>
      <c r="CA216" s="22"/>
      <c r="CB216" s="22"/>
      <c r="CC216" s="22"/>
      <c r="CD216" s="22"/>
      <c r="CE216" s="22"/>
      <c r="CF216" s="22"/>
      <c r="CG216" s="22"/>
      <c r="CH216" s="22"/>
      <c r="CI216" s="22"/>
      <c r="CJ216" s="22"/>
      <c r="CK216" s="22"/>
      <c r="CL216" s="22"/>
      <c r="CM216" s="22"/>
      <c r="CN216" s="22"/>
      <c r="CO216" s="22"/>
      <c r="CP216" s="22"/>
      <c r="CQ216" s="22"/>
      <c r="CR216" s="22"/>
      <c r="CS216" s="22"/>
      <c r="CT216" s="22"/>
      <c r="CU216" s="22"/>
    </row>
    <row r="217" spans="1:99" s="31" customFormat="1">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c r="BH217" s="22"/>
      <c r="BI217" s="22"/>
      <c r="BJ217" s="22"/>
      <c r="BK217" s="22"/>
      <c r="BL217" s="22"/>
      <c r="BM217" s="22"/>
      <c r="BN217" s="22"/>
      <c r="BO217" s="22"/>
      <c r="BP217" s="22"/>
      <c r="BQ217" s="22"/>
      <c r="BR217" s="22"/>
      <c r="BS217" s="22"/>
      <c r="BT217" s="22"/>
      <c r="BU217" s="22"/>
      <c r="BV217" s="22"/>
      <c r="BW217" s="22"/>
      <c r="BX217" s="22"/>
      <c r="BY217" s="22"/>
      <c r="BZ217" s="22"/>
      <c r="CA217" s="22"/>
      <c r="CB217" s="22"/>
      <c r="CC217" s="22"/>
      <c r="CD217" s="22"/>
      <c r="CE217" s="22"/>
      <c r="CF217" s="22"/>
      <c r="CG217" s="22"/>
      <c r="CH217" s="22"/>
      <c r="CI217" s="22"/>
      <c r="CJ217" s="22"/>
      <c r="CK217" s="22"/>
      <c r="CL217" s="22"/>
      <c r="CM217" s="22"/>
      <c r="CN217" s="22"/>
      <c r="CO217" s="22"/>
      <c r="CP217" s="22"/>
      <c r="CQ217" s="22"/>
      <c r="CR217" s="22"/>
      <c r="CS217" s="22"/>
      <c r="CT217" s="22"/>
      <c r="CU217" s="22"/>
    </row>
    <row r="218" spans="1:99" s="31" customFormat="1">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c r="BH218" s="22"/>
      <c r="BI218" s="22"/>
      <c r="BJ218" s="22"/>
      <c r="BK218" s="22"/>
      <c r="BL218" s="22"/>
      <c r="BM218" s="22"/>
      <c r="BN218" s="22"/>
      <c r="BO218" s="22"/>
      <c r="BP218" s="22"/>
      <c r="BQ218" s="22"/>
      <c r="BR218" s="22"/>
      <c r="BS218" s="22"/>
      <c r="BT218" s="22"/>
      <c r="BU218" s="22"/>
      <c r="BV218" s="22"/>
      <c r="BW218" s="22"/>
      <c r="BX218" s="22"/>
      <c r="BY218" s="22"/>
      <c r="BZ218" s="22"/>
      <c r="CA218" s="22"/>
      <c r="CB218" s="22"/>
      <c r="CC218" s="22"/>
      <c r="CD218" s="22"/>
      <c r="CE218" s="22"/>
      <c r="CF218" s="22"/>
      <c r="CG218" s="22"/>
      <c r="CH218" s="22"/>
      <c r="CI218" s="22"/>
      <c r="CJ218" s="22"/>
      <c r="CK218" s="22"/>
      <c r="CL218" s="22"/>
      <c r="CM218" s="22"/>
      <c r="CN218" s="22"/>
      <c r="CO218" s="22"/>
      <c r="CP218" s="22"/>
      <c r="CQ218" s="22"/>
      <c r="CR218" s="22"/>
      <c r="CS218" s="22"/>
      <c r="CT218" s="22"/>
      <c r="CU218" s="22"/>
    </row>
    <row r="219" spans="1:99" s="31" customFormat="1">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2"/>
      <c r="BO219" s="22"/>
      <c r="BP219" s="22"/>
      <c r="BQ219" s="22"/>
      <c r="BR219" s="22"/>
      <c r="BS219" s="22"/>
      <c r="BT219" s="22"/>
      <c r="BU219" s="22"/>
      <c r="BV219" s="22"/>
      <c r="BW219" s="22"/>
      <c r="BX219" s="22"/>
      <c r="BY219" s="22"/>
      <c r="BZ219" s="22"/>
      <c r="CA219" s="22"/>
      <c r="CB219" s="22"/>
      <c r="CC219" s="22"/>
      <c r="CD219" s="22"/>
      <c r="CE219" s="22"/>
      <c r="CF219" s="22"/>
      <c r="CG219" s="22"/>
      <c r="CH219" s="22"/>
      <c r="CI219" s="22"/>
      <c r="CJ219" s="22"/>
      <c r="CK219" s="22"/>
      <c r="CL219" s="22"/>
      <c r="CM219" s="22"/>
      <c r="CN219" s="22"/>
      <c r="CO219" s="22"/>
      <c r="CP219" s="22"/>
      <c r="CQ219" s="22"/>
      <c r="CR219" s="22"/>
      <c r="CS219" s="22"/>
      <c r="CT219" s="22"/>
      <c r="CU219" s="22"/>
    </row>
    <row r="220" spans="1:99" s="31" customFormat="1">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2"/>
      <c r="BO220" s="22"/>
      <c r="BP220" s="22"/>
      <c r="BQ220" s="22"/>
      <c r="BR220" s="22"/>
      <c r="BS220" s="22"/>
      <c r="BT220" s="22"/>
      <c r="BU220" s="22"/>
      <c r="BV220" s="22"/>
      <c r="BW220" s="22"/>
      <c r="BX220" s="22"/>
      <c r="BY220" s="22"/>
      <c r="BZ220" s="22"/>
      <c r="CA220" s="22"/>
      <c r="CB220" s="22"/>
      <c r="CC220" s="22"/>
      <c r="CD220" s="22"/>
      <c r="CE220" s="22"/>
      <c r="CF220" s="22"/>
      <c r="CG220" s="22"/>
      <c r="CH220" s="22"/>
      <c r="CI220" s="22"/>
      <c r="CJ220" s="22"/>
      <c r="CK220" s="22"/>
      <c r="CL220" s="22"/>
      <c r="CM220" s="22"/>
      <c r="CN220" s="22"/>
      <c r="CO220" s="22"/>
      <c r="CP220" s="22"/>
      <c r="CQ220" s="22"/>
      <c r="CR220" s="22"/>
      <c r="CS220" s="22"/>
      <c r="CT220" s="22"/>
      <c r="CU220" s="22"/>
    </row>
    <row r="221" spans="1:99" s="31" customFormat="1">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c r="BH221" s="22"/>
      <c r="BI221" s="22"/>
      <c r="BJ221" s="22"/>
      <c r="BK221" s="22"/>
      <c r="BL221" s="22"/>
      <c r="BM221" s="22"/>
      <c r="BN221" s="22"/>
      <c r="BO221" s="22"/>
      <c r="BP221" s="22"/>
      <c r="BQ221" s="22"/>
      <c r="BR221" s="22"/>
      <c r="BS221" s="22"/>
      <c r="BT221" s="22"/>
      <c r="BU221" s="22"/>
      <c r="BV221" s="22"/>
      <c r="BW221" s="22"/>
      <c r="BX221" s="22"/>
      <c r="BY221" s="22"/>
      <c r="BZ221" s="22"/>
      <c r="CA221" s="22"/>
      <c r="CB221" s="22"/>
      <c r="CC221" s="22"/>
      <c r="CD221" s="22"/>
      <c r="CE221" s="22"/>
      <c r="CF221" s="22"/>
      <c r="CG221" s="22"/>
      <c r="CH221" s="22"/>
      <c r="CI221" s="22"/>
      <c r="CJ221" s="22"/>
      <c r="CK221" s="22"/>
      <c r="CL221" s="22"/>
      <c r="CM221" s="22"/>
      <c r="CN221" s="22"/>
      <c r="CO221" s="22"/>
      <c r="CP221" s="22"/>
      <c r="CQ221" s="22"/>
      <c r="CR221" s="22"/>
      <c r="CS221" s="22"/>
      <c r="CT221" s="22"/>
      <c r="CU221" s="22"/>
    </row>
    <row r="222" spans="1:99" s="31" customFormat="1">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c r="BH222" s="22"/>
      <c r="BI222" s="22"/>
      <c r="BJ222" s="22"/>
      <c r="BK222" s="22"/>
      <c r="BL222" s="22"/>
      <c r="BM222" s="22"/>
      <c r="BN222" s="22"/>
      <c r="BO222" s="22"/>
      <c r="BP222" s="22"/>
      <c r="BQ222" s="22"/>
      <c r="BR222" s="22"/>
      <c r="BS222" s="22"/>
      <c r="BT222" s="22"/>
      <c r="BU222" s="22"/>
      <c r="BV222" s="22"/>
      <c r="BW222" s="22"/>
      <c r="BX222" s="22"/>
      <c r="BY222" s="22"/>
      <c r="BZ222" s="22"/>
      <c r="CA222" s="22"/>
      <c r="CB222" s="22"/>
      <c r="CC222" s="22"/>
      <c r="CD222" s="22"/>
      <c r="CE222" s="22"/>
      <c r="CF222" s="22"/>
      <c r="CG222" s="22"/>
      <c r="CH222" s="22"/>
      <c r="CI222" s="22"/>
      <c r="CJ222" s="22"/>
      <c r="CK222" s="22"/>
      <c r="CL222" s="22"/>
      <c r="CM222" s="22"/>
      <c r="CN222" s="22"/>
      <c r="CO222" s="22"/>
      <c r="CP222" s="22"/>
      <c r="CQ222" s="22"/>
      <c r="CR222" s="22"/>
      <c r="CS222" s="22"/>
      <c r="CT222" s="22"/>
      <c r="CU222" s="22"/>
    </row>
    <row r="223" spans="1:99" s="31" customFormat="1">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c r="BH223" s="22"/>
      <c r="BI223" s="22"/>
      <c r="BJ223" s="22"/>
      <c r="BK223" s="22"/>
      <c r="BL223" s="22"/>
      <c r="BM223" s="22"/>
      <c r="BN223" s="22"/>
      <c r="BO223" s="22"/>
      <c r="BP223" s="22"/>
      <c r="BQ223" s="22"/>
      <c r="BR223" s="22"/>
      <c r="BS223" s="22"/>
      <c r="BT223" s="22"/>
      <c r="BU223" s="22"/>
      <c r="BV223" s="22"/>
      <c r="BW223" s="22"/>
      <c r="BX223" s="22"/>
      <c r="BY223" s="22"/>
      <c r="BZ223" s="22"/>
      <c r="CA223" s="22"/>
      <c r="CB223" s="22"/>
      <c r="CC223" s="22"/>
      <c r="CD223" s="22"/>
      <c r="CE223" s="22"/>
      <c r="CF223" s="22"/>
      <c r="CG223" s="22"/>
      <c r="CH223" s="22"/>
      <c r="CI223" s="22"/>
      <c r="CJ223" s="22"/>
      <c r="CK223" s="22"/>
      <c r="CL223" s="22"/>
      <c r="CM223" s="22"/>
      <c r="CN223" s="22"/>
      <c r="CO223" s="22"/>
      <c r="CP223" s="22"/>
      <c r="CQ223" s="22"/>
      <c r="CR223" s="22"/>
      <c r="CS223" s="22"/>
      <c r="CT223" s="22"/>
      <c r="CU223" s="22"/>
    </row>
    <row r="224" spans="1:99" s="31" customFormat="1">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c r="BH224" s="22"/>
      <c r="BI224" s="22"/>
      <c r="BJ224" s="22"/>
      <c r="BK224" s="22"/>
      <c r="BL224" s="22"/>
      <c r="BM224" s="22"/>
      <c r="BN224" s="22"/>
      <c r="BO224" s="22"/>
      <c r="BP224" s="22"/>
      <c r="BQ224" s="22"/>
      <c r="BR224" s="22"/>
      <c r="BS224" s="22"/>
      <c r="BT224" s="22"/>
      <c r="BU224" s="22"/>
      <c r="BV224" s="22"/>
      <c r="BW224" s="22"/>
      <c r="BX224" s="22"/>
      <c r="BY224" s="22"/>
      <c r="BZ224" s="22"/>
      <c r="CA224" s="22"/>
      <c r="CB224" s="22"/>
      <c r="CC224" s="22"/>
      <c r="CD224" s="22"/>
      <c r="CE224" s="22"/>
      <c r="CF224" s="22"/>
      <c r="CG224" s="22"/>
      <c r="CH224" s="22"/>
      <c r="CI224" s="22"/>
      <c r="CJ224" s="22"/>
      <c r="CK224" s="22"/>
      <c r="CL224" s="22"/>
      <c r="CM224" s="22"/>
      <c r="CN224" s="22"/>
      <c r="CO224" s="22"/>
      <c r="CP224" s="22"/>
      <c r="CQ224" s="22"/>
      <c r="CR224" s="22"/>
      <c r="CS224" s="22"/>
      <c r="CT224" s="22"/>
      <c r="CU224" s="22"/>
    </row>
    <row r="225" spans="1:99" s="31" customFormat="1">
      <c r="A225" s="22"/>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c r="BH225" s="22"/>
      <c r="BI225" s="22"/>
      <c r="BJ225" s="22"/>
      <c r="BK225" s="22"/>
      <c r="BL225" s="22"/>
      <c r="BM225" s="22"/>
      <c r="BN225" s="22"/>
      <c r="BO225" s="22"/>
      <c r="BP225" s="22"/>
      <c r="BQ225" s="22"/>
      <c r="BR225" s="22"/>
      <c r="BS225" s="22"/>
      <c r="BT225" s="22"/>
      <c r="BU225" s="22"/>
      <c r="BV225" s="22"/>
      <c r="BW225" s="22"/>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row>
    <row r="226" spans="1:99" s="31" customFormat="1">
      <c r="A226" s="22"/>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c r="BH226" s="22"/>
      <c r="BI226" s="22"/>
      <c r="BJ226" s="22"/>
      <c r="BK226" s="22"/>
      <c r="BL226" s="22"/>
      <c r="BM226" s="22"/>
      <c r="BN226" s="22"/>
      <c r="BO226" s="22"/>
      <c r="BP226" s="22"/>
      <c r="BQ226" s="22"/>
      <c r="BR226" s="22"/>
      <c r="BS226" s="22"/>
      <c r="BT226" s="22"/>
      <c r="BU226" s="22"/>
      <c r="BV226" s="22"/>
      <c r="BW226" s="22"/>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row>
    <row r="227" spans="1:99" s="31" customFormat="1">
      <c r="A227" s="22"/>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c r="BG227" s="22"/>
      <c r="BH227" s="22"/>
      <c r="BI227" s="22"/>
      <c r="BJ227" s="22"/>
      <c r="BK227" s="22"/>
      <c r="BL227" s="22"/>
      <c r="BM227" s="22"/>
      <c r="BN227" s="22"/>
      <c r="BO227" s="22"/>
      <c r="BP227" s="22"/>
      <c r="BQ227" s="22"/>
      <c r="BR227" s="22"/>
      <c r="BS227" s="22"/>
      <c r="BT227" s="22"/>
      <c r="BU227" s="22"/>
      <c r="BV227" s="22"/>
      <c r="BW227" s="22"/>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row>
    <row r="228" spans="1:99" s="31" customFormat="1">
      <c r="A228" s="22"/>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2"/>
      <c r="BO228" s="22"/>
      <c r="BP228" s="22"/>
      <c r="BQ228" s="22"/>
      <c r="BR228" s="22"/>
      <c r="BS228" s="22"/>
      <c r="BT228" s="22"/>
      <c r="BU228" s="22"/>
      <c r="BV228" s="22"/>
      <c r="BW228" s="22"/>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row>
    <row r="229" spans="1:99" s="31" customFormat="1">
      <c r="A229" s="22"/>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2"/>
      <c r="BO229" s="22"/>
      <c r="BP229" s="22"/>
      <c r="BQ229" s="22"/>
      <c r="BR229" s="22"/>
      <c r="BS229" s="22"/>
      <c r="BT229" s="22"/>
      <c r="BU229" s="22"/>
      <c r="BV229" s="22"/>
      <c r="BW229" s="22"/>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row>
    <row r="230" spans="1:99" s="31" customFormat="1">
      <c r="A230" s="22"/>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2"/>
      <c r="BO230" s="22"/>
      <c r="BP230" s="22"/>
      <c r="BQ230" s="22"/>
      <c r="BR230" s="22"/>
      <c r="BS230" s="22"/>
      <c r="BT230" s="22"/>
      <c r="BU230" s="22"/>
      <c r="BV230" s="22"/>
      <c r="BW230" s="22"/>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row>
    <row r="231" spans="1:99" s="31" customFormat="1">
      <c r="A231" s="22"/>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2"/>
      <c r="BO231" s="22"/>
      <c r="BP231" s="22"/>
      <c r="BQ231" s="22"/>
      <c r="BR231" s="22"/>
      <c r="BS231" s="22"/>
      <c r="BT231" s="22"/>
      <c r="BU231" s="22"/>
      <c r="BV231" s="22"/>
      <c r="BW231" s="22"/>
      <c r="BX231" s="22"/>
      <c r="BY231" s="22"/>
      <c r="BZ231" s="22"/>
      <c r="CA231" s="22"/>
      <c r="CB231" s="22"/>
      <c r="CC231" s="22"/>
      <c r="CD231" s="22"/>
      <c r="CE231" s="22"/>
      <c r="CF231" s="22"/>
      <c r="CG231" s="22"/>
      <c r="CH231" s="22"/>
      <c r="CI231" s="22"/>
      <c r="CJ231" s="22"/>
      <c r="CK231" s="22"/>
      <c r="CL231" s="22"/>
      <c r="CM231" s="22"/>
      <c r="CN231" s="22"/>
      <c r="CO231" s="22"/>
      <c r="CP231" s="22"/>
      <c r="CQ231" s="22"/>
      <c r="CR231" s="22"/>
      <c r="CS231" s="22"/>
      <c r="CT231" s="22"/>
      <c r="CU231" s="22"/>
    </row>
    <row r="232" spans="1:99" s="31" customFormat="1">
      <c r="A232" s="22"/>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2"/>
      <c r="BO232" s="22"/>
      <c r="BP232" s="22"/>
      <c r="BQ232" s="22"/>
      <c r="BR232" s="22"/>
      <c r="BS232" s="22"/>
      <c r="BT232" s="22"/>
      <c r="BU232" s="22"/>
      <c r="BV232" s="22"/>
      <c r="BW232" s="22"/>
      <c r="BX232" s="22"/>
      <c r="BY232" s="22"/>
      <c r="BZ232" s="22"/>
      <c r="CA232" s="22"/>
      <c r="CB232" s="22"/>
      <c r="CC232" s="22"/>
      <c r="CD232" s="22"/>
      <c r="CE232" s="22"/>
      <c r="CF232" s="22"/>
      <c r="CG232" s="22"/>
      <c r="CH232" s="22"/>
      <c r="CI232" s="22"/>
      <c r="CJ232" s="22"/>
      <c r="CK232" s="22"/>
      <c r="CL232" s="22"/>
      <c r="CM232" s="22"/>
      <c r="CN232" s="22"/>
      <c r="CO232" s="22"/>
      <c r="CP232" s="22"/>
      <c r="CQ232" s="22"/>
      <c r="CR232" s="22"/>
      <c r="CS232" s="22"/>
      <c r="CT232" s="22"/>
      <c r="CU232" s="22"/>
    </row>
    <row r="233" spans="1:99" s="31" customFormat="1">
      <c r="A233" s="22"/>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2"/>
      <c r="BO233" s="22"/>
      <c r="BP233" s="22"/>
      <c r="BQ233" s="22"/>
      <c r="BR233" s="22"/>
      <c r="BS233" s="22"/>
      <c r="BT233" s="22"/>
      <c r="BU233" s="22"/>
      <c r="BV233" s="22"/>
      <c r="BW233" s="22"/>
      <c r="BX233" s="22"/>
      <c r="BY233" s="22"/>
      <c r="BZ233" s="22"/>
      <c r="CA233" s="22"/>
      <c r="CB233" s="22"/>
      <c r="CC233" s="22"/>
      <c r="CD233" s="22"/>
      <c r="CE233" s="22"/>
      <c r="CF233" s="22"/>
      <c r="CG233" s="22"/>
      <c r="CH233" s="22"/>
      <c r="CI233" s="22"/>
      <c r="CJ233" s="22"/>
      <c r="CK233" s="22"/>
      <c r="CL233" s="22"/>
      <c r="CM233" s="22"/>
      <c r="CN233" s="22"/>
      <c r="CO233" s="22"/>
      <c r="CP233" s="22"/>
      <c r="CQ233" s="22"/>
      <c r="CR233" s="22"/>
      <c r="CS233" s="22"/>
      <c r="CT233" s="22"/>
      <c r="CU233" s="22"/>
    </row>
    <row r="234" spans="1:99" s="31" customFormat="1">
      <c r="A234" s="22"/>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2"/>
      <c r="BO234" s="22"/>
      <c r="BP234" s="22"/>
      <c r="BQ234" s="22"/>
      <c r="BR234" s="22"/>
      <c r="BS234" s="22"/>
      <c r="BT234" s="22"/>
      <c r="BU234" s="22"/>
      <c r="BV234" s="22"/>
      <c r="BW234" s="22"/>
      <c r="BX234" s="22"/>
      <c r="BY234" s="22"/>
      <c r="BZ234" s="22"/>
      <c r="CA234" s="22"/>
      <c r="CB234" s="22"/>
      <c r="CC234" s="22"/>
      <c r="CD234" s="22"/>
      <c r="CE234" s="22"/>
      <c r="CF234" s="22"/>
      <c r="CG234" s="22"/>
      <c r="CH234" s="22"/>
      <c r="CI234" s="22"/>
      <c r="CJ234" s="22"/>
      <c r="CK234" s="22"/>
      <c r="CL234" s="22"/>
      <c r="CM234" s="22"/>
      <c r="CN234" s="22"/>
      <c r="CO234" s="22"/>
      <c r="CP234" s="22"/>
      <c r="CQ234" s="22"/>
      <c r="CR234" s="22"/>
      <c r="CS234" s="22"/>
      <c r="CT234" s="22"/>
      <c r="CU234" s="22"/>
    </row>
    <row r="235" spans="1:99" s="31" customFormat="1">
      <c r="A235" s="22"/>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2"/>
      <c r="BO235" s="22"/>
      <c r="BP235" s="22"/>
      <c r="BQ235" s="22"/>
      <c r="BR235" s="22"/>
      <c r="BS235" s="22"/>
      <c r="BT235" s="22"/>
      <c r="BU235" s="22"/>
      <c r="BV235" s="22"/>
      <c r="BW235" s="22"/>
      <c r="BX235" s="22"/>
      <c r="BY235" s="22"/>
      <c r="BZ235" s="22"/>
      <c r="CA235" s="22"/>
      <c r="CB235" s="22"/>
      <c r="CC235" s="22"/>
      <c r="CD235" s="22"/>
      <c r="CE235" s="22"/>
      <c r="CF235" s="22"/>
      <c r="CG235" s="22"/>
      <c r="CH235" s="22"/>
      <c r="CI235" s="22"/>
      <c r="CJ235" s="22"/>
      <c r="CK235" s="22"/>
      <c r="CL235" s="22"/>
      <c r="CM235" s="22"/>
      <c r="CN235" s="22"/>
      <c r="CO235" s="22"/>
      <c r="CP235" s="22"/>
      <c r="CQ235" s="22"/>
      <c r="CR235" s="22"/>
      <c r="CS235" s="22"/>
      <c r="CT235" s="22"/>
      <c r="CU235" s="22"/>
    </row>
    <row r="236" spans="1:99" s="31" customFormat="1">
      <c r="A236" s="22"/>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c r="BH236" s="22"/>
      <c r="BI236" s="22"/>
      <c r="BJ236" s="22"/>
      <c r="BK236" s="22"/>
      <c r="BL236" s="22"/>
      <c r="BM236" s="22"/>
      <c r="BN236" s="22"/>
      <c r="BO236" s="22"/>
      <c r="BP236" s="22"/>
      <c r="BQ236" s="22"/>
      <c r="BR236" s="22"/>
      <c r="BS236" s="22"/>
      <c r="BT236" s="22"/>
      <c r="BU236" s="22"/>
      <c r="BV236" s="22"/>
      <c r="BW236" s="22"/>
      <c r="BX236" s="22"/>
      <c r="BY236" s="22"/>
      <c r="BZ236" s="22"/>
      <c r="CA236" s="22"/>
      <c r="CB236" s="22"/>
      <c r="CC236" s="22"/>
      <c r="CD236" s="22"/>
      <c r="CE236" s="22"/>
      <c r="CF236" s="22"/>
      <c r="CG236" s="22"/>
      <c r="CH236" s="22"/>
      <c r="CI236" s="22"/>
      <c r="CJ236" s="22"/>
      <c r="CK236" s="22"/>
      <c r="CL236" s="22"/>
      <c r="CM236" s="22"/>
      <c r="CN236" s="22"/>
      <c r="CO236" s="22"/>
      <c r="CP236" s="22"/>
      <c r="CQ236" s="22"/>
      <c r="CR236" s="22"/>
      <c r="CS236" s="22"/>
      <c r="CT236" s="22"/>
      <c r="CU236" s="22"/>
    </row>
    <row r="237" spans="1:99" s="31" customFormat="1">
      <c r="A237" s="22"/>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c r="BH237" s="22"/>
      <c r="BI237" s="22"/>
      <c r="BJ237" s="22"/>
      <c r="BK237" s="22"/>
      <c r="BL237" s="22"/>
      <c r="BM237" s="22"/>
      <c r="BN237" s="22"/>
      <c r="BO237" s="22"/>
      <c r="BP237" s="22"/>
      <c r="BQ237" s="22"/>
      <c r="BR237" s="22"/>
      <c r="BS237" s="22"/>
      <c r="BT237" s="22"/>
      <c r="BU237" s="22"/>
      <c r="BV237" s="22"/>
      <c r="BW237" s="22"/>
      <c r="BX237" s="22"/>
      <c r="BY237" s="22"/>
      <c r="BZ237" s="22"/>
      <c r="CA237" s="22"/>
      <c r="CB237" s="22"/>
      <c r="CC237" s="22"/>
      <c r="CD237" s="22"/>
      <c r="CE237" s="22"/>
      <c r="CF237" s="22"/>
      <c r="CG237" s="22"/>
      <c r="CH237" s="22"/>
      <c r="CI237" s="22"/>
      <c r="CJ237" s="22"/>
      <c r="CK237" s="22"/>
      <c r="CL237" s="22"/>
      <c r="CM237" s="22"/>
      <c r="CN237" s="22"/>
      <c r="CO237" s="22"/>
      <c r="CP237" s="22"/>
      <c r="CQ237" s="22"/>
      <c r="CR237" s="22"/>
      <c r="CS237" s="22"/>
      <c r="CT237" s="22"/>
      <c r="CU237" s="22"/>
    </row>
    <row r="238" spans="1:99" s="31" customFormat="1">
      <c r="A238" s="22"/>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2"/>
      <c r="BO238" s="22"/>
      <c r="BP238" s="22"/>
      <c r="BQ238" s="22"/>
      <c r="BR238" s="22"/>
      <c r="BS238" s="22"/>
      <c r="BT238" s="22"/>
      <c r="BU238" s="22"/>
      <c r="BV238" s="22"/>
      <c r="BW238" s="22"/>
      <c r="BX238" s="22"/>
      <c r="BY238" s="22"/>
      <c r="BZ238" s="22"/>
      <c r="CA238" s="22"/>
      <c r="CB238" s="22"/>
      <c r="CC238" s="22"/>
      <c r="CD238" s="22"/>
      <c r="CE238" s="22"/>
      <c r="CF238" s="22"/>
      <c r="CG238" s="22"/>
      <c r="CH238" s="22"/>
      <c r="CI238" s="22"/>
      <c r="CJ238" s="22"/>
      <c r="CK238" s="22"/>
      <c r="CL238" s="22"/>
      <c r="CM238" s="22"/>
      <c r="CN238" s="22"/>
      <c r="CO238" s="22"/>
      <c r="CP238" s="22"/>
      <c r="CQ238" s="22"/>
      <c r="CR238" s="22"/>
      <c r="CS238" s="22"/>
      <c r="CT238" s="22"/>
      <c r="CU238" s="22"/>
    </row>
    <row r="239" spans="1:99" s="31" customFormat="1">
      <c r="A239" s="22"/>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2"/>
      <c r="BO239" s="22"/>
      <c r="BP239" s="22"/>
      <c r="BQ239" s="22"/>
      <c r="BR239" s="22"/>
      <c r="BS239" s="22"/>
      <c r="BT239" s="22"/>
      <c r="BU239" s="22"/>
      <c r="BV239" s="22"/>
      <c r="BW239" s="22"/>
      <c r="BX239" s="22"/>
      <c r="BY239" s="22"/>
      <c r="BZ239" s="22"/>
      <c r="CA239" s="22"/>
      <c r="CB239" s="22"/>
      <c r="CC239" s="22"/>
      <c r="CD239" s="22"/>
      <c r="CE239" s="22"/>
      <c r="CF239" s="22"/>
      <c r="CG239" s="22"/>
      <c r="CH239" s="22"/>
      <c r="CI239" s="22"/>
      <c r="CJ239" s="22"/>
      <c r="CK239" s="22"/>
      <c r="CL239" s="22"/>
      <c r="CM239" s="22"/>
      <c r="CN239" s="22"/>
      <c r="CO239" s="22"/>
      <c r="CP239" s="22"/>
      <c r="CQ239" s="22"/>
      <c r="CR239" s="22"/>
      <c r="CS239" s="22"/>
      <c r="CT239" s="22"/>
      <c r="CU239" s="22"/>
    </row>
    <row r="240" spans="1:99" s="31" customFormat="1">
      <c r="A240" s="22"/>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c r="BH240" s="22"/>
      <c r="BI240" s="22"/>
      <c r="BJ240" s="22"/>
      <c r="BK240" s="22"/>
      <c r="BL240" s="22"/>
      <c r="BM240" s="22"/>
      <c r="BN240" s="22"/>
      <c r="BO240" s="22"/>
      <c r="BP240" s="22"/>
      <c r="BQ240" s="22"/>
      <c r="BR240" s="22"/>
      <c r="BS240" s="22"/>
      <c r="BT240" s="22"/>
      <c r="BU240" s="22"/>
      <c r="BV240" s="22"/>
      <c r="BW240" s="22"/>
      <c r="BX240" s="22"/>
      <c r="BY240" s="22"/>
      <c r="BZ240" s="22"/>
      <c r="CA240" s="22"/>
      <c r="CB240" s="22"/>
      <c r="CC240" s="22"/>
      <c r="CD240" s="22"/>
      <c r="CE240" s="22"/>
      <c r="CF240" s="22"/>
      <c r="CG240" s="22"/>
      <c r="CH240" s="22"/>
      <c r="CI240" s="22"/>
      <c r="CJ240" s="22"/>
      <c r="CK240" s="22"/>
      <c r="CL240" s="22"/>
      <c r="CM240" s="22"/>
      <c r="CN240" s="22"/>
      <c r="CO240" s="22"/>
      <c r="CP240" s="22"/>
      <c r="CQ240" s="22"/>
      <c r="CR240" s="22"/>
      <c r="CS240" s="22"/>
      <c r="CT240" s="22"/>
      <c r="CU240" s="22"/>
    </row>
    <row r="241" spans="1:99" s="31" customFormat="1">
      <c r="A241" s="22"/>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c r="BH241" s="22"/>
      <c r="BI241" s="22"/>
      <c r="BJ241" s="22"/>
      <c r="BK241" s="22"/>
      <c r="BL241" s="22"/>
      <c r="BM241" s="22"/>
      <c r="BN241" s="22"/>
      <c r="BO241" s="22"/>
      <c r="BP241" s="22"/>
      <c r="BQ241" s="22"/>
      <c r="BR241" s="22"/>
      <c r="BS241" s="22"/>
      <c r="BT241" s="22"/>
      <c r="BU241" s="22"/>
      <c r="BV241" s="22"/>
      <c r="BW241" s="22"/>
      <c r="BX241" s="22"/>
      <c r="BY241" s="22"/>
      <c r="BZ241" s="22"/>
      <c r="CA241" s="22"/>
      <c r="CB241" s="22"/>
      <c r="CC241" s="22"/>
      <c r="CD241" s="22"/>
      <c r="CE241" s="22"/>
      <c r="CF241" s="22"/>
      <c r="CG241" s="22"/>
      <c r="CH241" s="22"/>
      <c r="CI241" s="22"/>
      <c r="CJ241" s="22"/>
      <c r="CK241" s="22"/>
      <c r="CL241" s="22"/>
      <c r="CM241" s="22"/>
      <c r="CN241" s="22"/>
      <c r="CO241" s="22"/>
      <c r="CP241" s="22"/>
      <c r="CQ241" s="22"/>
      <c r="CR241" s="22"/>
      <c r="CS241" s="22"/>
      <c r="CT241" s="22"/>
      <c r="CU241" s="22"/>
    </row>
    <row r="242" spans="1:99" s="31" customFormat="1">
      <c r="A242" s="22"/>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c r="BH242" s="22"/>
      <c r="BI242" s="22"/>
      <c r="BJ242" s="22"/>
      <c r="BK242" s="22"/>
      <c r="BL242" s="22"/>
      <c r="BM242" s="22"/>
      <c r="BN242" s="22"/>
      <c r="BO242" s="22"/>
      <c r="BP242" s="22"/>
      <c r="BQ242" s="22"/>
      <c r="BR242" s="22"/>
      <c r="BS242" s="22"/>
      <c r="BT242" s="22"/>
      <c r="BU242" s="22"/>
      <c r="BV242" s="22"/>
      <c r="BW242" s="22"/>
      <c r="BX242" s="22"/>
      <c r="BY242" s="22"/>
      <c r="BZ242" s="22"/>
      <c r="CA242" s="22"/>
      <c r="CB242" s="22"/>
      <c r="CC242" s="22"/>
      <c r="CD242" s="22"/>
      <c r="CE242" s="22"/>
      <c r="CF242" s="22"/>
      <c r="CG242" s="22"/>
      <c r="CH242" s="22"/>
      <c r="CI242" s="22"/>
      <c r="CJ242" s="22"/>
      <c r="CK242" s="22"/>
      <c r="CL242" s="22"/>
      <c r="CM242" s="22"/>
      <c r="CN242" s="22"/>
      <c r="CO242" s="22"/>
      <c r="CP242" s="22"/>
      <c r="CQ242" s="22"/>
      <c r="CR242" s="22"/>
      <c r="CS242" s="22"/>
      <c r="CT242" s="22"/>
      <c r="CU242" s="22"/>
    </row>
    <row r="243" spans="1:99" s="31" customFormat="1">
      <c r="A243" s="22"/>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2"/>
      <c r="BO243" s="22"/>
      <c r="BP243" s="22"/>
      <c r="BQ243" s="22"/>
      <c r="BR243" s="22"/>
      <c r="BS243" s="22"/>
      <c r="BT243" s="22"/>
      <c r="BU243" s="22"/>
      <c r="BV243" s="22"/>
      <c r="BW243" s="22"/>
      <c r="BX243" s="22"/>
      <c r="BY243" s="22"/>
      <c r="BZ243" s="22"/>
      <c r="CA243" s="22"/>
      <c r="CB243" s="22"/>
      <c r="CC243" s="22"/>
      <c r="CD243" s="22"/>
      <c r="CE243" s="22"/>
      <c r="CF243" s="22"/>
      <c r="CG243" s="22"/>
      <c r="CH243" s="22"/>
      <c r="CI243" s="22"/>
      <c r="CJ243" s="22"/>
      <c r="CK243" s="22"/>
      <c r="CL243" s="22"/>
      <c r="CM243" s="22"/>
      <c r="CN243" s="22"/>
      <c r="CO243" s="22"/>
      <c r="CP243" s="22"/>
      <c r="CQ243" s="22"/>
      <c r="CR243" s="22"/>
      <c r="CS243" s="22"/>
      <c r="CT243" s="22"/>
      <c r="CU243" s="22"/>
    </row>
    <row r="244" spans="1:99" s="31" customFormat="1">
      <c r="A244" s="22"/>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2"/>
      <c r="BO244" s="22"/>
      <c r="BP244" s="22"/>
      <c r="BQ244" s="22"/>
      <c r="BR244" s="22"/>
      <c r="BS244" s="22"/>
      <c r="BT244" s="22"/>
      <c r="BU244" s="22"/>
      <c r="BV244" s="22"/>
      <c r="BW244" s="22"/>
      <c r="BX244" s="22"/>
      <c r="BY244" s="22"/>
      <c r="BZ244" s="22"/>
      <c r="CA244" s="22"/>
      <c r="CB244" s="22"/>
      <c r="CC244" s="22"/>
      <c r="CD244" s="22"/>
      <c r="CE244" s="22"/>
      <c r="CF244" s="22"/>
      <c r="CG244" s="22"/>
      <c r="CH244" s="22"/>
      <c r="CI244" s="22"/>
      <c r="CJ244" s="22"/>
      <c r="CK244" s="22"/>
      <c r="CL244" s="22"/>
      <c r="CM244" s="22"/>
      <c r="CN244" s="22"/>
      <c r="CO244" s="22"/>
      <c r="CP244" s="22"/>
      <c r="CQ244" s="22"/>
      <c r="CR244" s="22"/>
      <c r="CS244" s="22"/>
      <c r="CT244" s="22"/>
      <c r="CU244" s="22"/>
    </row>
    <row r="245" spans="1:99" s="31" customFormat="1">
      <c r="A245" s="22"/>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2"/>
      <c r="BO245" s="22"/>
      <c r="BP245" s="22"/>
      <c r="BQ245" s="22"/>
      <c r="BR245" s="22"/>
      <c r="BS245" s="22"/>
      <c r="BT245" s="22"/>
      <c r="BU245" s="22"/>
      <c r="BV245" s="22"/>
      <c r="BW245" s="22"/>
      <c r="BX245" s="22"/>
      <c r="BY245" s="22"/>
      <c r="BZ245" s="22"/>
      <c r="CA245" s="22"/>
      <c r="CB245" s="22"/>
      <c r="CC245" s="22"/>
      <c r="CD245" s="22"/>
      <c r="CE245" s="22"/>
      <c r="CF245" s="22"/>
      <c r="CG245" s="22"/>
      <c r="CH245" s="22"/>
      <c r="CI245" s="22"/>
      <c r="CJ245" s="22"/>
      <c r="CK245" s="22"/>
      <c r="CL245" s="22"/>
      <c r="CM245" s="22"/>
      <c r="CN245" s="22"/>
      <c r="CO245" s="22"/>
      <c r="CP245" s="22"/>
      <c r="CQ245" s="22"/>
      <c r="CR245" s="22"/>
      <c r="CS245" s="22"/>
      <c r="CT245" s="22"/>
      <c r="CU245" s="22"/>
    </row>
    <row r="246" spans="1:99" s="31" customFormat="1">
      <c r="A246" s="22"/>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2"/>
      <c r="BO246" s="22"/>
      <c r="BP246" s="22"/>
      <c r="BQ246" s="22"/>
      <c r="BR246" s="22"/>
      <c r="BS246" s="22"/>
      <c r="BT246" s="22"/>
      <c r="BU246" s="22"/>
      <c r="BV246" s="22"/>
      <c r="BW246" s="22"/>
      <c r="BX246" s="22"/>
      <c r="BY246" s="22"/>
      <c r="BZ246" s="22"/>
      <c r="CA246" s="22"/>
      <c r="CB246" s="22"/>
      <c r="CC246" s="22"/>
      <c r="CD246" s="22"/>
      <c r="CE246" s="22"/>
      <c r="CF246" s="22"/>
      <c r="CG246" s="22"/>
      <c r="CH246" s="22"/>
      <c r="CI246" s="22"/>
      <c r="CJ246" s="22"/>
      <c r="CK246" s="22"/>
      <c r="CL246" s="22"/>
      <c r="CM246" s="22"/>
      <c r="CN246" s="22"/>
      <c r="CO246" s="22"/>
      <c r="CP246" s="22"/>
      <c r="CQ246" s="22"/>
      <c r="CR246" s="22"/>
      <c r="CS246" s="22"/>
      <c r="CT246" s="22"/>
      <c r="CU246" s="22"/>
    </row>
    <row r="247" spans="1:99" s="31" customFormat="1">
      <c r="A247" s="22"/>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c r="BH247" s="22"/>
      <c r="BI247" s="22"/>
      <c r="BJ247" s="22"/>
      <c r="BK247" s="22"/>
      <c r="BL247" s="22"/>
      <c r="BM247" s="22"/>
      <c r="BN247" s="22"/>
      <c r="BO247" s="22"/>
      <c r="BP247" s="22"/>
      <c r="BQ247" s="22"/>
      <c r="BR247" s="22"/>
      <c r="BS247" s="22"/>
      <c r="BT247" s="22"/>
      <c r="BU247" s="22"/>
      <c r="BV247" s="22"/>
      <c r="BW247" s="22"/>
      <c r="BX247" s="22"/>
      <c r="BY247" s="22"/>
      <c r="BZ247" s="22"/>
      <c r="CA247" s="22"/>
      <c r="CB247" s="22"/>
      <c r="CC247" s="22"/>
      <c r="CD247" s="22"/>
      <c r="CE247" s="22"/>
      <c r="CF247" s="22"/>
      <c r="CG247" s="22"/>
      <c r="CH247" s="22"/>
      <c r="CI247" s="22"/>
      <c r="CJ247" s="22"/>
      <c r="CK247" s="22"/>
      <c r="CL247" s="22"/>
      <c r="CM247" s="22"/>
      <c r="CN247" s="22"/>
      <c r="CO247" s="22"/>
      <c r="CP247" s="22"/>
      <c r="CQ247" s="22"/>
      <c r="CR247" s="22"/>
      <c r="CS247" s="22"/>
      <c r="CT247" s="22"/>
      <c r="CU247" s="22"/>
    </row>
    <row r="248" spans="1:99" s="31" customFormat="1">
      <c r="A248" s="22"/>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c r="BH248" s="22"/>
      <c r="BI248" s="22"/>
      <c r="BJ248" s="22"/>
      <c r="BK248" s="22"/>
      <c r="BL248" s="22"/>
      <c r="BM248" s="22"/>
      <c r="BN248" s="22"/>
      <c r="BO248" s="22"/>
      <c r="BP248" s="22"/>
      <c r="BQ248" s="22"/>
      <c r="BR248" s="22"/>
      <c r="BS248" s="22"/>
      <c r="BT248" s="22"/>
      <c r="BU248" s="22"/>
      <c r="BV248" s="22"/>
      <c r="BW248" s="22"/>
      <c r="BX248" s="22"/>
      <c r="BY248" s="22"/>
      <c r="BZ248" s="22"/>
      <c r="CA248" s="22"/>
      <c r="CB248" s="22"/>
      <c r="CC248" s="22"/>
      <c r="CD248" s="22"/>
      <c r="CE248" s="22"/>
      <c r="CF248" s="22"/>
      <c r="CG248" s="22"/>
      <c r="CH248" s="22"/>
      <c r="CI248" s="22"/>
      <c r="CJ248" s="22"/>
      <c r="CK248" s="22"/>
      <c r="CL248" s="22"/>
      <c r="CM248" s="22"/>
      <c r="CN248" s="22"/>
      <c r="CO248" s="22"/>
      <c r="CP248" s="22"/>
      <c r="CQ248" s="22"/>
      <c r="CR248" s="22"/>
      <c r="CS248" s="22"/>
      <c r="CT248" s="22"/>
      <c r="CU248" s="22"/>
    </row>
    <row r="249" spans="1:99" s="31" customFormat="1">
      <c r="A249" s="22"/>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2"/>
      <c r="BO249" s="22"/>
      <c r="BP249" s="22"/>
      <c r="BQ249" s="22"/>
      <c r="BR249" s="22"/>
      <c r="BS249" s="22"/>
      <c r="BT249" s="22"/>
      <c r="BU249" s="22"/>
      <c r="BV249" s="22"/>
      <c r="BW249" s="22"/>
      <c r="BX249" s="22"/>
      <c r="BY249" s="22"/>
      <c r="BZ249" s="22"/>
      <c r="CA249" s="22"/>
      <c r="CB249" s="22"/>
      <c r="CC249" s="22"/>
      <c r="CD249" s="22"/>
      <c r="CE249" s="22"/>
      <c r="CF249" s="22"/>
      <c r="CG249" s="22"/>
      <c r="CH249" s="22"/>
      <c r="CI249" s="22"/>
      <c r="CJ249" s="22"/>
      <c r="CK249" s="22"/>
      <c r="CL249" s="22"/>
      <c r="CM249" s="22"/>
      <c r="CN249" s="22"/>
      <c r="CO249" s="22"/>
      <c r="CP249" s="22"/>
      <c r="CQ249" s="22"/>
      <c r="CR249" s="22"/>
      <c r="CS249" s="22"/>
      <c r="CT249" s="22"/>
      <c r="CU249" s="22"/>
    </row>
    <row r="250" spans="1:99" s="31" customFormat="1">
      <c r="A250" s="22"/>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2"/>
      <c r="BO250" s="22"/>
      <c r="BP250" s="22"/>
      <c r="BQ250" s="22"/>
      <c r="BR250" s="22"/>
      <c r="BS250" s="22"/>
      <c r="BT250" s="22"/>
      <c r="BU250" s="22"/>
      <c r="BV250" s="22"/>
      <c r="BW250" s="22"/>
      <c r="BX250" s="22"/>
      <c r="BY250" s="22"/>
      <c r="BZ250" s="22"/>
      <c r="CA250" s="22"/>
      <c r="CB250" s="22"/>
      <c r="CC250" s="22"/>
      <c r="CD250" s="22"/>
      <c r="CE250" s="22"/>
      <c r="CF250" s="22"/>
      <c r="CG250" s="22"/>
      <c r="CH250" s="22"/>
      <c r="CI250" s="22"/>
      <c r="CJ250" s="22"/>
      <c r="CK250" s="22"/>
      <c r="CL250" s="22"/>
      <c r="CM250" s="22"/>
      <c r="CN250" s="22"/>
      <c r="CO250" s="22"/>
      <c r="CP250" s="22"/>
      <c r="CQ250" s="22"/>
      <c r="CR250" s="22"/>
      <c r="CS250" s="22"/>
      <c r="CT250" s="22"/>
      <c r="CU250" s="22"/>
    </row>
    <row r="251" spans="1:99" s="31" customFormat="1">
      <c r="A251" s="22"/>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c r="BH251" s="22"/>
      <c r="BI251" s="22"/>
      <c r="BJ251" s="22"/>
      <c r="BK251" s="22"/>
      <c r="BL251" s="22"/>
      <c r="BM251" s="22"/>
      <c r="BN251" s="22"/>
      <c r="BO251" s="22"/>
      <c r="BP251" s="22"/>
      <c r="BQ251" s="22"/>
      <c r="BR251" s="22"/>
      <c r="BS251" s="22"/>
      <c r="BT251" s="22"/>
      <c r="BU251" s="22"/>
      <c r="BV251" s="22"/>
      <c r="BW251" s="22"/>
      <c r="BX251" s="22"/>
      <c r="BY251" s="22"/>
      <c r="BZ251" s="22"/>
      <c r="CA251" s="22"/>
      <c r="CB251" s="22"/>
      <c r="CC251" s="22"/>
      <c r="CD251" s="22"/>
      <c r="CE251" s="22"/>
      <c r="CF251" s="22"/>
      <c r="CG251" s="22"/>
      <c r="CH251" s="22"/>
      <c r="CI251" s="22"/>
      <c r="CJ251" s="22"/>
      <c r="CK251" s="22"/>
      <c r="CL251" s="22"/>
      <c r="CM251" s="22"/>
      <c r="CN251" s="22"/>
      <c r="CO251" s="22"/>
      <c r="CP251" s="22"/>
      <c r="CQ251" s="22"/>
      <c r="CR251" s="22"/>
      <c r="CS251" s="22"/>
      <c r="CT251" s="22"/>
      <c r="CU251" s="22"/>
    </row>
    <row r="252" spans="1:99" s="31" customFormat="1">
      <c r="A252" s="22"/>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c r="BH252" s="22"/>
      <c r="BI252" s="22"/>
      <c r="BJ252" s="22"/>
      <c r="BK252" s="22"/>
      <c r="BL252" s="22"/>
      <c r="BM252" s="22"/>
      <c r="BN252" s="22"/>
      <c r="BO252" s="22"/>
      <c r="BP252" s="22"/>
      <c r="BQ252" s="22"/>
      <c r="BR252" s="22"/>
      <c r="BS252" s="22"/>
      <c r="BT252" s="22"/>
      <c r="BU252" s="22"/>
      <c r="BV252" s="22"/>
      <c r="BW252" s="22"/>
      <c r="BX252" s="22"/>
      <c r="BY252" s="22"/>
      <c r="BZ252" s="22"/>
      <c r="CA252" s="22"/>
      <c r="CB252" s="22"/>
      <c r="CC252" s="22"/>
      <c r="CD252" s="22"/>
      <c r="CE252" s="22"/>
      <c r="CF252" s="22"/>
      <c r="CG252" s="22"/>
      <c r="CH252" s="22"/>
      <c r="CI252" s="22"/>
      <c r="CJ252" s="22"/>
      <c r="CK252" s="22"/>
      <c r="CL252" s="22"/>
      <c r="CM252" s="22"/>
      <c r="CN252" s="22"/>
      <c r="CO252" s="22"/>
      <c r="CP252" s="22"/>
      <c r="CQ252" s="22"/>
      <c r="CR252" s="22"/>
      <c r="CS252" s="22"/>
      <c r="CT252" s="22"/>
      <c r="CU252" s="22"/>
    </row>
    <row r="253" spans="1:99">
      <c r="A253" s="19"/>
      <c r="B253" s="19"/>
      <c r="C253" s="19"/>
      <c r="D253" s="19"/>
      <c r="E253" s="19"/>
      <c r="F253" s="19"/>
      <c r="G253" s="19"/>
      <c r="H253" s="19"/>
      <c r="I253" s="19"/>
      <c r="J253" s="19"/>
    </row>
    <row r="254" spans="1:99">
      <c r="A254" s="19"/>
      <c r="B254" s="19"/>
      <c r="C254" s="19"/>
      <c r="D254" s="19"/>
      <c r="E254" s="19"/>
      <c r="F254" s="19"/>
      <c r="G254" s="19"/>
      <c r="H254" s="19"/>
      <c r="I254" s="19"/>
      <c r="J254" s="19"/>
    </row>
    <row r="255" spans="1:99">
      <c r="A255" s="19"/>
      <c r="B255" s="19"/>
      <c r="C255" s="19"/>
      <c r="D255" s="19"/>
      <c r="E255" s="19"/>
      <c r="F255" s="19"/>
      <c r="G255" s="19"/>
      <c r="H255" s="19"/>
      <c r="I255" s="19"/>
      <c r="J255" s="19"/>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8"/>
      <c r="BT255" s="18"/>
      <c r="BU255" s="18"/>
      <c r="BV255" s="18"/>
      <c r="BW255" s="18"/>
      <c r="BX255" s="18"/>
      <c r="BY255" s="18"/>
      <c r="BZ255" s="18"/>
      <c r="CA255" s="18"/>
      <c r="CB255" s="18"/>
      <c r="CC255" s="18"/>
      <c r="CD255" s="18"/>
      <c r="CE255" s="18"/>
      <c r="CF255" s="18"/>
      <c r="CG255" s="18"/>
      <c r="CH255" s="18"/>
      <c r="CI255" s="18"/>
      <c r="CJ255" s="18"/>
      <c r="CK255" s="18"/>
      <c r="CL255" s="18"/>
      <c r="CM255" s="18"/>
      <c r="CN255" s="18"/>
      <c r="CO255" s="18"/>
      <c r="CP255" s="18"/>
      <c r="CQ255" s="18"/>
      <c r="CR255" s="18"/>
      <c r="CS255" s="18"/>
      <c r="CT255" s="18"/>
      <c r="CU255" s="18"/>
    </row>
    <row r="256" spans="1:99">
      <c r="A256" s="19"/>
      <c r="B256" s="19"/>
      <c r="C256" s="19"/>
      <c r="D256" s="19"/>
      <c r="E256" s="19"/>
      <c r="F256" s="19"/>
      <c r="G256" s="19"/>
      <c r="H256" s="19"/>
      <c r="I256" s="19"/>
      <c r="J256" s="19"/>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8"/>
      <c r="BT256" s="18"/>
      <c r="BU256" s="18"/>
      <c r="BV256" s="18"/>
      <c r="BW256" s="18"/>
      <c r="BX256" s="18"/>
      <c r="BY256" s="18"/>
      <c r="BZ256" s="18"/>
      <c r="CA256" s="18"/>
      <c r="CB256" s="18"/>
      <c r="CC256" s="18"/>
      <c r="CD256" s="18"/>
      <c r="CE256" s="18"/>
      <c r="CF256" s="18"/>
      <c r="CG256" s="18"/>
      <c r="CH256" s="18"/>
      <c r="CI256" s="18"/>
      <c r="CJ256" s="18"/>
      <c r="CK256" s="18"/>
      <c r="CL256" s="18"/>
      <c r="CM256" s="18"/>
      <c r="CN256" s="18"/>
      <c r="CO256" s="18"/>
      <c r="CP256" s="18"/>
      <c r="CQ256" s="18"/>
      <c r="CR256" s="18"/>
      <c r="CS256" s="18"/>
      <c r="CT256" s="18"/>
      <c r="CU256" s="18"/>
    </row>
    <row r="257" spans="1:99">
      <c r="A257" s="19"/>
      <c r="B257" s="19"/>
      <c r="C257" s="19"/>
      <c r="D257" s="19"/>
      <c r="E257" s="19"/>
      <c r="F257" s="19"/>
      <c r="G257" s="19"/>
      <c r="H257" s="19"/>
      <c r="I257" s="19"/>
      <c r="J257" s="19"/>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8"/>
      <c r="BT257" s="18"/>
      <c r="BU257" s="18"/>
      <c r="BV257" s="18"/>
      <c r="BW257" s="18"/>
      <c r="BX257" s="18"/>
      <c r="BY257" s="18"/>
      <c r="BZ257" s="18"/>
      <c r="CA257" s="18"/>
      <c r="CB257" s="18"/>
      <c r="CC257" s="18"/>
      <c r="CD257" s="18"/>
      <c r="CE257" s="18"/>
      <c r="CF257" s="18"/>
      <c r="CG257" s="18"/>
      <c r="CH257" s="18"/>
      <c r="CI257" s="18"/>
      <c r="CJ257" s="18"/>
      <c r="CK257" s="18"/>
      <c r="CL257" s="18"/>
      <c r="CM257" s="18"/>
      <c r="CN257" s="18"/>
      <c r="CO257" s="18"/>
      <c r="CP257" s="18"/>
      <c r="CQ257" s="18"/>
      <c r="CR257" s="18"/>
      <c r="CS257" s="18"/>
      <c r="CT257" s="18"/>
      <c r="CU257" s="18"/>
    </row>
    <row r="258" spans="1:99">
      <c r="A258" s="19"/>
      <c r="B258" s="19"/>
      <c r="C258" s="19"/>
      <c r="D258" s="19"/>
      <c r="E258" s="19"/>
      <c r="F258" s="19"/>
      <c r="G258" s="19"/>
      <c r="H258" s="19"/>
      <c r="I258" s="19"/>
      <c r="J258" s="19"/>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8"/>
      <c r="BT258" s="18"/>
      <c r="BU258" s="18"/>
      <c r="BV258" s="18"/>
      <c r="BW258" s="18"/>
      <c r="BX258" s="18"/>
      <c r="BY258" s="18"/>
      <c r="BZ258" s="18"/>
      <c r="CA258" s="18"/>
      <c r="CB258" s="18"/>
      <c r="CC258" s="18"/>
      <c r="CD258" s="18"/>
      <c r="CE258" s="18"/>
      <c r="CF258" s="18"/>
      <c r="CG258" s="18"/>
      <c r="CH258" s="18"/>
      <c r="CI258" s="18"/>
      <c r="CJ258" s="18"/>
      <c r="CK258" s="18"/>
      <c r="CL258" s="18"/>
      <c r="CM258" s="18"/>
      <c r="CN258" s="18"/>
      <c r="CO258" s="18"/>
      <c r="CP258" s="18"/>
      <c r="CQ258" s="18"/>
      <c r="CR258" s="18"/>
      <c r="CS258" s="18"/>
      <c r="CT258" s="18"/>
      <c r="CU258" s="18"/>
    </row>
    <row r="259" spans="1:99">
      <c r="A259" s="19"/>
      <c r="B259" s="19"/>
      <c r="C259" s="19"/>
      <c r="D259" s="19"/>
      <c r="E259" s="19"/>
      <c r="F259" s="19"/>
      <c r="G259" s="19"/>
      <c r="H259" s="19"/>
      <c r="I259" s="19"/>
      <c r="J259" s="19"/>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8"/>
      <c r="BT259" s="18"/>
      <c r="BU259" s="18"/>
      <c r="BV259" s="18"/>
      <c r="BW259" s="18"/>
      <c r="BX259" s="18"/>
      <c r="BY259" s="18"/>
      <c r="BZ259" s="18"/>
      <c r="CA259" s="18"/>
      <c r="CB259" s="18"/>
      <c r="CC259" s="18"/>
      <c r="CD259" s="18"/>
      <c r="CE259" s="18"/>
      <c r="CF259" s="18"/>
      <c r="CG259" s="18"/>
      <c r="CH259" s="18"/>
      <c r="CI259" s="18"/>
      <c r="CJ259" s="18"/>
      <c r="CK259" s="18"/>
      <c r="CL259" s="18"/>
      <c r="CM259" s="18"/>
      <c r="CN259" s="18"/>
      <c r="CO259" s="18"/>
      <c r="CP259" s="18"/>
      <c r="CQ259" s="18"/>
      <c r="CR259" s="18"/>
      <c r="CS259" s="18"/>
      <c r="CT259" s="18"/>
      <c r="CU259" s="18"/>
    </row>
    <row r="260" spans="1:99">
      <c r="A260" s="19"/>
      <c r="B260" s="19"/>
      <c r="C260" s="19"/>
      <c r="D260" s="19"/>
      <c r="E260" s="19"/>
      <c r="F260" s="19"/>
      <c r="G260" s="19"/>
      <c r="H260" s="19"/>
      <c r="I260" s="19"/>
      <c r="J260" s="19"/>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8"/>
      <c r="BT260" s="18"/>
      <c r="BU260" s="18"/>
      <c r="BV260" s="18"/>
      <c r="BW260" s="18"/>
      <c r="BX260" s="18"/>
      <c r="BY260" s="18"/>
      <c r="BZ260" s="18"/>
      <c r="CA260" s="18"/>
      <c r="CB260" s="18"/>
      <c r="CC260" s="18"/>
      <c r="CD260" s="18"/>
      <c r="CE260" s="18"/>
      <c r="CF260" s="18"/>
      <c r="CG260" s="18"/>
      <c r="CH260" s="18"/>
      <c r="CI260" s="18"/>
      <c r="CJ260" s="18"/>
      <c r="CK260" s="18"/>
      <c r="CL260" s="18"/>
      <c r="CM260" s="18"/>
      <c r="CN260" s="18"/>
      <c r="CO260" s="18"/>
      <c r="CP260" s="18"/>
      <c r="CQ260" s="18"/>
      <c r="CR260" s="18"/>
      <c r="CS260" s="18"/>
      <c r="CT260" s="18"/>
      <c r="CU260" s="18"/>
    </row>
    <row r="261" spans="1:99">
      <c r="A261" s="19"/>
      <c r="B261" s="19"/>
      <c r="C261" s="19"/>
      <c r="D261" s="19"/>
      <c r="E261" s="19"/>
      <c r="F261" s="19"/>
      <c r="G261" s="19"/>
      <c r="H261" s="19"/>
      <c r="I261" s="19"/>
      <c r="J261" s="19"/>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8"/>
      <c r="BT261" s="18"/>
      <c r="BU261" s="18"/>
      <c r="BV261" s="18"/>
      <c r="BW261" s="18"/>
      <c r="BX261" s="18"/>
      <c r="BY261" s="18"/>
      <c r="BZ261" s="18"/>
      <c r="CA261" s="18"/>
      <c r="CB261" s="18"/>
      <c r="CC261" s="18"/>
      <c r="CD261" s="18"/>
      <c r="CE261" s="18"/>
      <c r="CF261" s="18"/>
      <c r="CG261" s="18"/>
      <c r="CH261" s="18"/>
      <c r="CI261" s="18"/>
      <c r="CJ261" s="18"/>
      <c r="CK261" s="18"/>
      <c r="CL261" s="18"/>
      <c r="CM261" s="18"/>
      <c r="CN261" s="18"/>
      <c r="CO261" s="18"/>
      <c r="CP261" s="18"/>
      <c r="CQ261" s="18"/>
      <c r="CR261" s="18"/>
      <c r="CS261" s="18"/>
      <c r="CT261" s="18"/>
      <c r="CU261" s="18"/>
    </row>
    <row r="262" spans="1:99">
      <c r="A262" s="19"/>
      <c r="B262" s="19"/>
      <c r="C262" s="19"/>
      <c r="D262" s="19"/>
      <c r="E262" s="19"/>
      <c r="F262" s="19"/>
      <c r="G262" s="19"/>
      <c r="H262" s="19"/>
      <c r="I262" s="19"/>
      <c r="J262" s="19"/>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8"/>
      <c r="BT262" s="18"/>
      <c r="BU262" s="18"/>
      <c r="BV262" s="18"/>
      <c r="BW262" s="18"/>
      <c r="BX262" s="18"/>
      <c r="BY262" s="18"/>
      <c r="BZ262" s="18"/>
      <c r="CA262" s="18"/>
      <c r="CB262" s="18"/>
      <c r="CC262" s="18"/>
      <c r="CD262" s="18"/>
      <c r="CE262" s="18"/>
      <c r="CF262" s="18"/>
      <c r="CG262" s="18"/>
      <c r="CH262" s="18"/>
      <c r="CI262" s="18"/>
      <c r="CJ262" s="18"/>
      <c r="CK262" s="18"/>
      <c r="CL262" s="18"/>
      <c r="CM262" s="18"/>
      <c r="CN262" s="18"/>
      <c r="CO262" s="18"/>
      <c r="CP262" s="18"/>
      <c r="CQ262" s="18"/>
      <c r="CR262" s="18"/>
      <c r="CS262" s="18"/>
      <c r="CT262" s="18"/>
      <c r="CU262" s="18"/>
    </row>
    <row r="263" spans="1:99">
      <c r="A263" s="19"/>
      <c r="B263" s="19"/>
      <c r="C263" s="19"/>
      <c r="D263" s="19"/>
      <c r="E263" s="19"/>
      <c r="F263" s="19"/>
      <c r="G263" s="19"/>
      <c r="H263" s="19"/>
      <c r="I263" s="19"/>
      <c r="J263" s="19"/>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8"/>
      <c r="BT263" s="18"/>
      <c r="BU263" s="18"/>
      <c r="BV263" s="18"/>
      <c r="BW263" s="18"/>
      <c r="BX263" s="18"/>
      <c r="BY263" s="18"/>
      <c r="BZ263" s="18"/>
      <c r="CA263" s="18"/>
      <c r="CB263" s="18"/>
      <c r="CC263" s="18"/>
      <c r="CD263" s="18"/>
      <c r="CE263" s="18"/>
      <c r="CF263" s="18"/>
      <c r="CG263" s="18"/>
      <c r="CH263" s="18"/>
      <c r="CI263" s="18"/>
      <c r="CJ263" s="18"/>
      <c r="CK263" s="18"/>
      <c r="CL263" s="18"/>
      <c r="CM263" s="18"/>
      <c r="CN263" s="18"/>
      <c r="CO263" s="18"/>
      <c r="CP263" s="18"/>
      <c r="CQ263" s="18"/>
      <c r="CR263" s="18"/>
      <c r="CS263" s="18"/>
      <c r="CT263" s="18"/>
      <c r="CU263" s="18"/>
    </row>
    <row r="264" spans="1:99">
      <c r="A264" s="19"/>
      <c r="B264" s="19"/>
      <c r="C264" s="19"/>
      <c r="D264" s="19"/>
      <c r="E264" s="19"/>
      <c r="F264" s="19"/>
      <c r="G264" s="19"/>
      <c r="H264" s="19"/>
      <c r="I264" s="19"/>
      <c r="J264" s="19"/>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8"/>
      <c r="BT264" s="18"/>
      <c r="BU264" s="18"/>
      <c r="BV264" s="18"/>
      <c r="BW264" s="18"/>
      <c r="BX264" s="18"/>
      <c r="BY264" s="18"/>
      <c r="BZ264" s="18"/>
      <c r="CA264" s="18"/>
      <c r="CB264" s="18"/>
      <c r="CC264" s="18"/>
      <c r="CD264" s="18"/>
      <c r="CE264" s="18"/>
      <c r="CF264" s="18"/>
      <c r="CG264" s="18"/>
      <c r="CH264" s="18"/>
      <c r="CI264" s="18"/>
      <c r="CJ264" s="18"/>
      <c r="CK264" s="18"/>
      <c r="CL264" s="18"/>
      <c r="CM264" s="18"/>
      <c r="CN264" s="18"/>
      <c r="CO264" s="18"/>
      <c r="CP264" s="18"/>
      <c r="CQ264" s="18"/>
      <c r="CR264" s="18"/>
      <c r="CS264" s="18"/>
      <c r="CT264" s="18"/>
      <c r="CU264" s="18"/>
    </row>
    <row r="265" spans="1:99">
      <c r="A265" s="19"/>
      <c r="B265" s="19"/>
      <c r="C265" s="19"/>
      <c r="D265" s="19"/>
      <c r="E265" s="19"/>
      <c r="F265" s="19"/>
      <c r="G265" s="19"/>
      <c r="H265" s="19"/>
      <c r="I265" s="19"/>
      <c r="J265" s="19"/>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8"/>
      <c r="BT265" s="18"/>
      <c r="BU265" s="18"/>
      <c r="BV265" s="18"/>
      <c r="BW265" s="18"/>
      <c r="BX265" s="18"/>
      <c r="BY265" s="18"/>
      <c r="BZ265" s="18"/>
      <c r="CA265" s="18"/>
      <c r="CB265" s="18"/>
      <c r="CC265" s="18"/>
      <c r="CD265" s="18"/>
      <c r="CE265" s="18"/>
      <c r="CF265" s="18"/>
      <c r="CG265" s="18"/>
      <c r="CH265" s="18"/>
      <c r="CI265" s="18"/>
      <c r="CJ265" s="18"/>
      <c r="CK265" s="18"/>
      <c r="CL265" s="18"/>
      <c r="CM265" s="18"/>
      <c r="CN265" s="18"/>
      <c r="CO265" s="18"/>
      <c r="CP265" s="18"/>
      <c r="CQ265" s="18"/>
      <c r="CR265" s="18"/>
      <c r="CS265" s="18"/>
      <c r="CT265" s="18"/>
      <c r="CU265" s="18"/>
    </row>
    <row r="266" spans="1:99">
      <c r="A266" s="19"/>
      <c r="B266" s="19"/>
      <c r="C266" s="19"/>
      <c r="D266" s="19"/>
      <c r="E266" s="19"/>
      <c r="F266" s="19"/>
      <c r="G266" s="19"/>
      <c r="H266" s="19"/>
      <c r="I266" s="19"/>
      <c r="J266" s="19"/>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8"/>
      <c r="BT266" s="18"/>
      <c r="BU266" s="18"/>
      <c r="BV266" s="18"/>
      <c r="BW266" s="18"/>
      <c r="BX266" s="18"/>
      <c r="BY266" s="18"/>
      <c r="BZ266" s="18"/>
      <c r="CA266" s="18"/>
      <c r="CB266" s="18"/>
      <c r="CC266" s="18"/>
      <c r="CD266" s="18"/>
      <c r="CE266" s="18"/>
      <c r="CF266" s="18"/>
      <c r="CG266" s="18"/>
      <c r="CH266" s="18"/>
      <c r="CI266" s="18"/>
      <c r="CJ266" s="18"/>
      <c r="CK266" s="18"/>
      <c r="CL266" s="18"/>
      <c r="CM266" s="18"/>
      <c r="CN266" s="18"/>
      <c r="CO266" s="18"/>
      <c r="CP266" s="18"/>
      <c r="CQ266" s="18"/>
      <c r="CR266" s="18"/>
      <c r="CS266" s="18"/>
      <c r="CT266" s="18"/>
      <c r="CU266" s="18"/>
    </row>
    <row r="267" spans="1:99">
      <c r="A267" s="19"/>
      <c r="B267" s="19"/>
      <c r="C267" s="19"/>
      <c r="D267" s="19"/>
      <c r="E267" s="19"/>
      <c r="F267" s="19"/>
      <c r="G267" s="19"/>
      <c r="H267" s="19"/>
      <c r="I267" s="19"/>
      <c r="J267" s="19"/>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8"/>
      <c r="BT267" s="18"/>
      <c r="BU267" s="18"/>
      <c r="BV267" s="18"/>
      <c r="BW267" s="18"/>
      <c r="BX267" s="18"/>
      <c r="BY267" s="18"/>
      <c r="BZ267" s="18"/>
      <c r="CA267" s="18"/>
      <c r="CB267" s="18"/>
      <c r="CC267" s="18"/>
      <c r="CD267" s="18"/>
      <c r="CE267" s="18"/>
      <c r="CF267" s="18"/>
      <c r="CG267" s="18"/>
      <c r="CH267" s="18"/>
      <c r="CI267" s="18"/>
      <c r="CJ267" s="18"/>
      <c r="CK267" s="18"/>
      <c r="CL267" s="18"/>
      <c r="CM267" s="18"/>
      <c r="CN267" s="18"/>
      <c r="CO267" s="18"/>
      <c r="CP267" s="18"/>
      <c r="CQ267" s="18"/>
      <c r="CR267" s="18"/>
      <c r="CS267" s="18"/>
      <c r="CT267" s="18"/>
      <c r="CU267" s="18"/>
    </row>
    <row r="268" spans="1:99">
      <c r="A268" s="19"/>
      <c r="B268" s="19"/>
      <c r="C268" s="19"/>
      <c r="D268" s="19"/>
      <c r="E268" s="19"/>
      <c r="F268" s="19"/>
      <c r="G268" s="19"/>
      <c r="H268" s="19"/>
      <c r="I268" s="19"/>
      <c r="J268" s="19"/>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8"/>
      <c r="BT268" s="18"/>
      <c r="BU268" s="18"/>
      <c r="BV268" s="18"/>
      <c r="BW268" s="18"/>
      <c r="BX268" s="18"/>
      <c r="BY268" s="18"/>
      <c r="BZ268" s="18"/>
      <c r="CA268" s="18"/>
      <c r="CB268" s="18"/>
      <c r="CC268" s="18"/>
      <c r="CD268" s="18"/>
      <c r="CE268" s="18"/>
      <c r="CF268" s="18"/>
      <c r="CG268" s="18"/>
      <c r="CH268" s="18"/>
      <c r="CI268" s="18"/>
      <c r="CJ268" s="18"/>
      <c r="CK268" s="18"/>
      <c r="CL268" s="18"/>
      <c r="CM268" s="18"/>
      <c r="CN268" s="18"/>
      <c r="CO268" s="18"/>
      <c r="CP268" s="18"/>
      <c r="CQ268" s="18"/>
      <c r="CR268" s="18"/>
      <c r="CS268" s="18"/>
      <c r="CT268" s="18"/>
      <c r="CU268" s="18"/>
    </row>
    <row r="269" spans="1:99">
      <c r="A269" s="19"/>
      <c r="B269" s="19"/>
      <c r="C269" s="19"/>
      <c r="D269" s="19"/>
      <c r="E269" s="19"/>
      <c r="F269" s="19"/>
      <c r="G269" s="19"/>
      <c r="H269" s="19"/>
      <c r="I269" s="19"/>
      <c r="J269" s="19"/>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8"/>
      <c r="BT269" s="18"/>
      <c r="BU269" s="18"/>
      <c r="BV269" s="18"/>
      <c r="BW269" s="18"/>
      <c r="BX269" s="18"/>
      <c r="BY269" s="18"/>
      <c r="BZ269" s="18"/>
      <c r="CA269" s="18"/>
      <c r="CB269" s="18"/>
      <c r="CC269" s="18"/>
      <c r="CD269" s="18"/>
      <c r="CE269" s="18"/>
      <c r="CF269" s="18"/>
      <c r="CG269" s="18"/>
      <c r="CH269" s="18"/>
      <c r="CI269" s="18"/>
      <c r="CJ269" s="18"/>
      <c r="CK269" s="18"/>
      <c r="CL269" s="18"/>
      <c r="CM269" s="18"/>
      <c r="CN269" s="18"/>
      <c r="CO269" s="18"/>
      <c r="CP269" s="18"/>
      <c r="CQ269" s="18"/>
      <c r="CR269" s="18"/>
      <c r="CS269" s="18"/>
      <c r="CT269" s="18"/>
      <c r="CU269" s="18"/>
    </row>
    <row r="270" spans="1:99">
      <c r="A270" s="19"/>
      <c r="B270" s="19"/>
      <c r="C270" s="19"/>
      <c r="D270" s="19"/>
      <c r="E270" s="19"/>
      <c r="F270" s="19"/>
      <c r="G270" s="19"/>
      <c r="H270" s="19"/>
      <c r="I270" s="19"/>
      <c r="J270" s="19"/>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8"/>
      <c r="BT270" s="18"/>
      <c r="BU270" s="18"/>
      <c r="BV270" s="18"/>
      <c r="BW270" s="18"/>
      <c r="BX270" s="18"/>
      <c r="BY270" s="18"/>
      <c r="BZ270" s="18"/>
      <c r="CA270" s="18"/>
      <c r="CB270" s="18"/>
      <c r="CC270" s="18"/>
      <c r="CD270" s="18"/>
      <c r="CE270" s="18"/>
      <c r="CF270" s="18"/>
      <c r="CG270" s="18"/>
      <c r="CH270" s="18"/>
      <c r="CI270" s="18"/>
      <c r="CJ270" s="18"/>
      <c r="CK270" s="18"/>
      <c r="CL270" s="18"/>
      <c r="CM270" s="18"/>
      <c r="CN270" s="18"/>
      <c r="CO270" s="18"/>
      <c r="CP270" s="18"/>
      <c r="CQ270" s="18"/>
      <c r="CR270" s="18"/>
      <c r="CS270" s="18"/>
      <c r="CT270" s="18"/>
      <c r="CU270" s="18"/>
    </row>
    <row r="271" spans="1:99">
      <c r="A271" s="19"/>
      <c r="B271" s="19"/>
      <c r="C271" s="19"/>
      <c r="D271" s="19"/>
      <c r="E271" s="19"/>
      <c r="F271" s="19"/>
      <c r="G271" s="19"/>
      <c r="H271" s="19"/>
      <c r="I271" s="19"/>
      <c r="J271" s="19"/>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8"/>
      <c r="BT271" s="18"/>
      <c r="BU271" s="18"/>
      <c r="BV271" s="18"/>
      <c r="BW271" s="18"/>
      <c r="BX271" s="18"/>
      <c r="BY271" s="18"/>
      <c r="BZ271" s="18"/>
      <c r="CA271" s="18"/>
      <c r="CB271" s="18"/>
      <c r="CC271" s="18"/>
      <c r="CD271" s="18"/>
      <c r="CE271" s="18"/>
      <c r="CF271" s="18"/>
      <c r="CG271" s="18"/>
      <c r="CH271" s="18"/>
      <c r="CI271" s="18"/>
      <c r="CJ271" s="18"/>
      <c r="CK271" s="18"/>
      <c r="CL271" s="18"/>
      <c r="CM271" s="18"/>
      <c r="CN271" s="18"/>
      <c r="CO271" s="18"/>
      <c r="CP271" s="18"/>
      <c r="CQ271" s="18"/>
      <c r="CR271" s="18"/>
      <c r="CS271" s="18"/>
      <c r="CT271" s="18"/>
      <c r="CU271" s="18"/>
    </row>
    <row r="272" spans="1:99">
      <c r="A272" s="19"/>
      <c r="B272" s="19"/>
      <c r="C272" s="19"/>
      <c r="D272" s="19"/>
      <c r="E272" s="19"/>
      <c r="F272" s="19"/>
      <c r="G272" s="19"/>
      <c r="H272" s="19"/>
      <c r="I272" s="19"/>
      <c r="J272" s="19"/>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8"/>
      <c r="BT272" s="18"/>
      <c r="BU272" s="18"/>
      <c r="BV272" s="18"/>
      <c r="BW272" s="18"/>
      <c r="BX272" s="18"/>
      <c r="BY272" s="18"/>
      <c r="BZ272" s="18"/>
      <c r="CA272" s="18"/>
      <c r="CB272" s="18"/>
      <c r="CC272" s="18"/>
      <c r="CD272" s="18"/>
      <c r="CE272" s="18"/>
      <c r="CF272" s="18"/>
      <c r="CG272" s="18"/>
      <c r="CH272" s="18"/>
      <c r="CI272" s="18"/>
      <c r="CJ272" s="18"/>
      <c r="CK272" s="18"/>
      <c r="CL272" s="18"/>
      <c r="CM272" s="18"/>
      <c r="CN272" s="18"/>
      <c r="CO272" s="18"/>
      <c r="CP272" s="18"/>
      <c r="CQ272" s="18"/>
      <c r="CR272" s="18"/>
      <c r="CS272" s="18"/>
      <c r="CT272" s="18"/>
      <c r="CU272" s="18"/>
    </row>
    <row r="273" spans="1:99">
      <c r="A273" s="19"/>
      <c r="B273" s="19"/>
      <c r="C273" s="19"/>
      <c r="D273" s="19"/>
      <c r="E273" s="19"/>
      <c r="F273" s="19"/>
      <c r="G273" s="19"/>
      <c r="H273" s="19"/>
      <c r="I273" s="19"/>
      <c r="J273" s="19"/>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8"/>
      <c r="BT273" s="18"/>
      <c r="BU273" s="18"/>
      <c r="BV273" s="18"/>
      <c r="BW273" s="18"/>
      <c r="BX273" s="18"/>
      <c r="BY273" s="18"/>
      <c r="BZ273" s="18"/>
      <c r="CA273" s="18"/>
      <c r="CB273" s="18"/>
      <c r="CC273" s="18"/>
      <c r="CD273" s="18"/>
      <c r="CE273" s="18"/>
      <c r="CF273" s="18"/>
      <c r="CG273" s="18"/>
      <c r="CH273" s="18"/>
      <c r="CI273" s="18"/>
      <c r="CJ273" s="18"/>
      <c r="CK273" s="18"/>
      <c r="CL273" s="18"/>
      <c r="CM273" s="18"/>
      <c r="CN273" s="18"/>
      <c r="CO273" s="18"/>
      <c r="CP273" s="18"/>
      <c r="CQ273" s="18"/>
      <c r="CR273" s="18"/>
      <c r="CS273" s="18"/>
      <c r="CT273" s="18"/>
      <c r="CU273" s="18"/>
    </row>
    <row r="274" spans="1:99">
      <c r="A274" s="19"/>
      <c r="B274" s="19"/>
      <c r="C274" s="19"/>
      <c r="D274" s="19"/>
      <c r="E274" s="19"/>
      <c r="F274" s="19"/>
      <c r="G274" s="19"/>
      <c r="H274" s="19"/>
      <c r="I274" s="19"/>
      <c r="J274" s="19"/>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8"/>
      <c r="BT274" s="18"/>
      <c r="BU274" s="18"/>
      <c r="BV274" s="18"/>
      <c r="BW274" s="18"/>
      <c r="BX274" s="18"/>
      <c r="BY274" s="18"/>
      <c r="BZ274" s="18"/>
      <c r="CA274" s="18"/>
      <c r="CB274" s="18"/>
      <c r="CC274" s="18"/>
      <c r="CD274" s="18"/>
      <c r="CE274" s="18"/>
      <c r="CF274" s="18"/>
      <c r="CG274" s="18"/>
      <c r="CH274" s="18"/>
      <c r="CI274" s="18"/>
      <c r="CJ274" s="18"/>
      <c r="CK274" s="18"/>
      <c r="CL274" s="18"/>
      <c r="CM274" s="18"/>
      <c r="CN274" s="18"/>
      <c r="CO274" s="18"/>
      <c r="CP274" s="18"/>
      <c r="CQ274" s="18"/>
      <c r="CR274" s="18"/>
      <c r="CS274" s="18"/>
      <c r="CT274" s="18"/>
      <c r="CU274" s="18"/>
    </row>
    <row r="275" spans="1:99">
      <c r="A275" s="19"/>
      <c r="B275" s="19"/>
      <c r="C275" s="19"/>
      <c r="D275" s="19"/>
      <c r="E275" s="19"/>
      <c r="F275" s="19"/>
      <c r="G275" s="19"/>
      <c r="H275" s="19"/>
      <c r="I275" s="19"/>
      <c r="J275" s="19"/>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8"/>
      <c r="BT275" s="18"/>
      <c r="BU275" s="18"/>
      <c r="BV275" s="18"/>
      <c r="BW275" s="18"/>
      <c r="BX275" s="18"/>
      <c r="BY275" s="18"/>
      <c r="BZ275" s="18"/>
      <c r="CA275" s="18"/>
      <c r="CB275" s="18"/>
      <c r="CC275" s="18"/>
      <c r="CD275" s="18"/>
      <c r="CE275" s="18"/>
      <c r="CF275" s="18"/>
      <c r="CG275" s="18"/>
      <c r="CH275" s="18"/>
      <c r="CI275" s="18"/>
      <c r="CJ275" s="18"/>
      <c r="CK275" s="18"/>
      <c r="CL275" s="18"/>
      <c r="CM275" s="18"/>
      <c r="CN275" s="18"/>
      <c r="CO275" s="18"/>
      <c r="CP275" s="18"/>
      <c r="CQ275" s="18"/>
      <c r="CR275" s="18"/>
      <c r="CS275" s="18"/>
      <c r="CT275" s="18"/>
      <c r="CU275" s="18"/>
    </row>
    <row r="276" spans="1:99">
      <c r="A276" s="19"/>
      <c r="B276" s="19"/>
      <c r="C276" s="19"/>
      <c r="D276" s="19"/>
      <c r="E276" s="19"/>
      <c r="F276" s="19"/>
      <c r="G276" s="19"/>
      <c r="H276" s="19"/>
      <c r="I276" s="19"/>
      <c r="J276" s="19"/>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8"/>
      <c r="BT276" s="18"/>
      <c r="BU276" s="18"/>
      <c r="BV276" s="18"/>
      <c r="BW276" s="18"/>
      <c r="BX276" s="18"/>
      <c r="BY276" s="18"/>
      <c r="BZ276" s="18"/>
      <c r="CA276" s="18"/>
      <c r="CB276" s="18"/>
      <c r="CC276" s="18"/>
      <c r="CD276" s="18"/>
      <c r="CE276" s="18"/>
      <c r="CF276" s="18"/>
      <c r="CG276" s="18"/>
      <c r="CH276" s="18"/>
      <c r="CI276" s="18"/>
      <c r="CJ276" s="18"/>
      <c r="CK276" s="18"/>
      <c r="CL276" s="18"/>
      <c r="CM276" s="18"/>
      <c r="CN276" s="18"/>
      <c r="CO276" s="18"/>
      <c r="CP276" s="18"/>
      <c r="CQ276" s="18"/>
      <c r="CR276" s="18"/>
      <c r="CS276" s="18"/>
      <c r="CT276" s="18"/>
      <c r="CU276" s="18"/>
    </row>
    <row r="277" spans="1:99">
      <c r="A277" s="19"/>
      <c r="B277" s="19"/>
      <c r="C277" s="19"/>
      <c r="D277" s="19"/>
      <c r="E277" s="19"/>
      <c r="F277" s="19"/>
      <c r="G277" s="19"/>
      <c r="H277" s="19"/>
      <c r="I277" s="19"/>
      <c r="J277" s="19"/>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8"/>
      <c r="BT277" s="18"/>
      <c r="BU277" s="18"/>
      <c r="BV277" s="18"/>
      <c r="BW277" s="18"/>
      <c r="BX277" s="18"/>
      <c r="BY277" s="18"/>
      <c r="BZ277" s="18"/>
      <c r="CA277" s="18"/>
      <c r="CB277" s="18"/>
      <c r="CC277" s="18"/>
      <c r="CD277" s="18"/>
      <c r="CE277" s="18"/>
      <c r="CF277" s="18"/>
      <c r="CG277" s="18"/>
      <c r="CH277" s="18"/>
      <c r="CI277" s="18"/>
      <c r="CJ277" s="18"/>
      <c r="CK277" s="18"/>
      <c r="CL277" s="18"/>
      <c r="CM277" s="18"/>
      <c r="CN277" s="18"/>
      <c r="CO277" s="18"/>
      <c r="CP277" s="18"/>
      <c r="CQ277" s="18"/>
      <c r="CR277" s="18"/>
      <c r="CS277" s="18"/>
      <c r="CT277" s="18"/>
      <c r="CU277" s="18"/>
    </row>
    <row r="278" spans="1:99">
      <c r="A278" s="19"/>
      <c r="B278" s="19"/>
      <c r="C278" s="19"/>
      <c r="D278" s="19"/>
      <c r="E278" s="19"/>
      <c r="F278" s="19"/>
      <c r="G278" s="19"/>
      <c r="H278" s="19"/>
      <c r="I278" s="19"/>
      <c r="J278" s="19"/>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8"/>
      <c r="BT278" s="18"/>
      <c r="BU278" s="18"/>
      <c r="BV278" s="18"/>
      <c r="BW278" s="18"/>
      <c r="BX278" s="18"/>
      <c r="BY278" s="18"/>
      <c r="BZ278" s="18"/>
      <c r="CA278" s="18"/>
      <c r="CB278" s="18"/>
      <c r="CC278" s="18"/>
      <c r="CD278" s="18"/>
      <c r="CE278" s="18"/>
      <c r="CF278" s="18"/>
      <c r="CG278" s="18"/>
      <c r="CH278" s="18"/>
      <c r="CI278" s="18"/>
      <c r="CJ278" s="18"/>
      <c r="CK278" s="18"/>
      <c r="CL278" s="18"/>
      <c r="CM278" s="18"/>
      <c r="CN278" s="18"/>
      <c r="CO278" s="18"/>
      <c r="CP278" s="18"/>
      <c r="CQ278" s="18"/>
      <c r="CR278" s="18"/>
      <c r="CS278" s="18"/>
      <c r="CT278" s="18"/>
      <c r="CU278" s="18"/>
    </row>
    <row r="279" spans="1:99">
      <c r="A279" s="19"/>
      <c r="B279" s="19"/>
      <c r="C279" s="19"/>
      <c r="D279" s="19"/>
      <c r="E279" s="19"/>
      <c r="F279" s="19"/>
      <c r="G279" s="19"/>
      <c r="H279" s="19"/>
      <c r="I279" s="19"/>
      <c r="J279" s="19"/>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8"/>
      <c r="BT279" s="18"/>
      <c r="BU279" s="18"/>
      <c r="BV279" s="18"/>
      <c r="BW279" s="18"/>
      <c r="BX279" s="18"/>
      <c r="BY279" s="18"/>
      <c r="BZ279" s="18"/>
      <c r="CA279" s="18"/>
      <c r="CB279" s="18"/>
      <c r="CC279" s="18"/>
      <c r="CD279" s="18"/>
      <c r="CE279" s="18"/>
      <c r="CF279" s="18"/>
      <c r="CG279" s="18"/>
      <c r="CH279" s="18"/>
      <c r="CI279" s="18"/>
      <c r="CJ279" s="18"/>
      <c r="CK279" s="18"/>
      <c r="CL279" s="18"/>
      <c r="CM279" s="18"/>
      <c r="CN279" s="18"/>
      <c r="CO279" s="18"/>
      <c r="CP279" s="18"/>
      <c r="CQ279" s="18"/>
      <c r="CR279" s="18"/>
      <c r="CS279" s="18"/>
      <c r="CT279" s="18"/>
      <c r="CU279" s="18"/>
    </row>
    <row r="280" spans="1:99">
      <c r="A280" s="19"/>
      <c r="B280" s="19"/>
      <c r="C280" s="19"/>
      <c r="D280" s="19"/>
      <c r="E280" s="19"/>
      <c r="F280" s="19"/>
      <c r="G280" s="19"/>
      <c r="H280" s="19"/>
      <c r="I280" s="19"/>
      <c r="J280" s="19"/>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8"/>
      <c r="BT280" s="18"/>
      <c r="BU280" s="18"/>
      <c r="BV280" s="18"/>
      <c r="BW280" s="18"/>
      <c r="BX280" s="18"/>
      <c r="BY280" s="18"/>
      <c r="BZ280" s="18"/>
      <c r="CA280" s="18"/>
      <c r="CB280" s="18"/>
      <c r="CC280" s="18"/>
      <c r="CD280" s="18"/>
      <c r="CE280" s="18"/>
      <c r="CF280" s="18"/>
      <c r="CG280" s="18"/>
      <c r="CH280" s="18"/>
      <c r="CI280" s="18"/>
      <c r="CJ280" s="18"/>
      <c r="CK280" s="18"/>
      <c r="CL280" s="18"/>
      <c r="CM280" s="18"/>
      <c r="CN280" s="18"/>
      <c r="CO280" s="18"/>
      <c r="CP280" s="18"/>
      <c r="CQ280" s="18"/>
      <c r="CR280" s="18"/>
      <c r="CS280" s="18"/>
      <c r="CT280" s="18"/>
      <c r="CU280" s="18"/>
    </row>
    <row r="281" spans="1:99">
      <c r="A281" s="19"/>
      <c r="B281" s="19"/>
      <c r="C281" s="19"/>
      <c r="D281" s="19"/>
      <c r="E281" s="19"/>
      <c r="F281" s="19"/>
      <c r="G281" s="19"/>
      <c r="H281" s="19"/>
      <c r="I281" s="19"/>
      <c r="J281" s="19"/>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8"/>
      <c r="BT281" s="18"/>
      <c r="BU281" s="18"/>
      <c r="BV281" s="18"/>
      <c r="BW281" s="18"/>
      <c r="BX281" s="18"/>
      <c r="BY281" s="18"/>
      <c r="BZ281" s="18"/>
      <c r="CA281" s="18"/>
      <c r="CB281" s="18"/>
      <c r="CC281" s="18"/>
      <c r="CD281" s="18"/>
      <c r="CE281" s="18"/>
      <c r="CF281" s="18"/>
      <c r="CG281" s="18"/>
      <c r="CH281" s="18"/>
      <c r="CI281" s="18"/>
      <c r="CJ281" s="18"/>
      <c r="CK281" s="18"/>
      <c r="CL281" s="18"/>
      <c r="CM281" s="18"/>
      <c r="CN281" s="18"/>
      <c r="CO281" s="18"/>
      <c r="CP281" s="18"/>
      <c r="CQ281" s="18"/>
      <c r="CR281" s="18"/>
      <c r="CS281" s="18"/>
      <c r="CT281" s="18"/>
      <c r="CU281" s="18"/>
    </row>
    <row r="282" spans="1:99">
      <c r="A282" s="19"/>
      <c r="B282" s="19"/>
      <c r="C282" s="19"/>
      <c r="D282" s="19"/>
      <c r="E282" s="19"/>
      <c r="F282" s="19"/>
      <c r="G282" s="19"/>
      <c r="H282" s="19"/>
      <c r="I282" s="19"/>
      <c r="J282" s="19"/>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8"/>
      <c r="BT282" s="18"/>
      <c r="BU282" s="18"/>
      <c r="BV282" s="18"/>
      <c r="BW282" s="18"/>
      <c r="BX282" s="18"/>
      <c r="BY282" s="18"/>
      <c r="BZ282" s="18"/>
      <c r="CA282" s="18"/>
      <c r="CB282" s="18"/>
      <c r="CC282" s="18"/>
      <c r="CD282" s="18"/>
      <c r="CE282" s="18"/>
      <c r="CF282" s="18"/>
      <c r="CG282" s="18"/>
      <c r="CH282" s="18"/>
      <c r="CI282" s="18"/>
      <c r="CJ282" s="18"/>
      <c r="CK282" s="18"/>
      <c r="CL282" s="18"/>
      <c r="CM282" s="18"/>
      <c r="CN282" s="18"/>
      <c r="CO282" s="18"/>
      <c r="CP282" s="18"/>
      <c r="CQ282" s="18"/>
      <c r="CR282" s="18"/>
      <c r="CS282" s="18"/>
      <c r="CT282" s="18"/>
      <c r="CU282" s="18"/>
    </row>
    <row r="283" spans="1:99">
      <c r="A283" s="19"/>
      <c r="B283" s="19"/>
      <c r="C283" s="19"/>
      <c r="D283" s="19"/>
      <c r="E283" s="19"/>
      <c r="F283" s="19"/>
      <c r="G283" s="19"/>
      <c r="H283" s="19"/>
      <c r="I283" s="19"/>
      <c r="J283" s="19"/>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8"/>
      <c r="BT283" s="18"/>
      <c r="BU283" s="18"/>
      <c r="BV283" s="18"/>
      <c r="BW283" s="18"/>
      <c r="BX283" s="18"/>
      <c r="BY283" s="18"/>
      <c r="BZ283" s="18"/>
      <c r="CA283" s="18"/>
      <c r="CB283" s="18"/>
      <c r="CC283" s="18"/>
      <c r="CD283" s="18"/>
      <c r="CE283" s="18"/>
      <c r="CF283" s="18"/>
      <c r="CG283" s="18"/>
      <c r="CH283" s="18"/>
      <c r="CI283" s="18"/>
      <c r="CJ283" s="18"/>
      <c r="CK283" s="18"/>
      <c r="CL283" s="18"/>
      <c r="CM283" s="18"/>
      <c r="CN283" s="18"/>
      <c r="CO283" s="18"/>
      <c r="CP283" s="18"/>
      <c r="CQ283" s="18"/>
      <c r="CR283" s="18"/>
      <c r="CS283" s="18"/>
      <c r="CT283" s="18"/>
      <c r="CU283" s="18"/>
    </row>
    <row r="284" spans="1:99">
      <c r="A284" s="19"/>
      <c r="B284" s="19"/>
      <c r="C284" s="19"/>
      <c r="D284" s="19"/>
      <c r="E284" s="19"/>
      <c r="F284" s="19"/>
      <c r="G284" s="19"/>
      <c r="H284" s="19"/>
      <c r="I284" s="19"/>
      <c r="J284" s="19"/>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8"/>
      <c r="BT284" s="18"/>
      <c r="BU284" s="18"/>
      <c r="BV284" s="18"/>
      <c r="BW284" s="18"/>
      <c r="BX284" s="18"/>
      <c r="BY284" s="18"/>
      <c r="BZ284" s="18"/>
      <c r="CA284" s="18"/>
      <c r="CB284" s="18"/>
      <c r="CC284" s="18"/>
      <c r="CD284" s="18"/>
      <c r="CE284" s="18"/>
      <c r="CF284" s="18"/>
      <c r="CG284" s="18"/>
      <c r="CH284" s="18"/>
      <c r="CI284" s="18"/>
      <c r="CJ284" s="18"/>
      <c r="CK284" s="18"/>
      <c r="CL284" s="18"/>
      <c r="CM284" s="18"/>
      <c r="CN284" s="18"/>
      <c r="CO284" s="18"/>
      <c r="CP284" s="18"/>
      <c r="CQ284" s="18"/>
      <c r="CR284" s="18"/>
      <c r="CS284" s="18"/>
      <c r="CT284" s="18"/>
      <c r="CU284" s="18"/>
    </row>
    <row r="285" spans="1:99">
      <c r="A285" s="19"/>
      <c r="B285" s="19"/>
      <c r="C285" s="19"/>
      <c r="D285" s="19"/>
      <c r="E285" s="19"/>
      <c r="F285" s="19"/>
      <c r="G285" s="19"/>
      <c r="H285" s="19"/>
      <c r="I285" s="19"/>
      <c r="J285" s="19"/>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8"/>
      <c r="BT285" s="18"/>
      <c r="BU285" s="18"/>
      <c r="BV285" s="18"/>
      <c r="BW285" s="18"/>
      <c r="BX285" s="18"/>
      <c r="BY285" s="18"/>
      <c r="BZ285" s="18"/>
      <c r="CA285" s="18"/>
      <c r="CB285" s="18"/>
      <c r="CC285" s="18"/>
      <c r="CD285" s="18"/>
      <c r="CE285" s="18"/>
      <c r="CF285" s="18"/>
      <c r="CG285" s="18"/>
      <c r="CH285" s="18"/>
      <c r="CI285" s="18"/>
      <c r="CJ285" s="18"/>
      <c r="CK285" s="18"/>
      <c r="CL285" s="18"/>
      <c r="CM285" s="18"/>
      <c r="CN285" s="18"/>
      <c r="CO285" s="18"/>
      <c r="CP285" s="18"/>
      <c r="CQ285" s="18"/>
      <c r="CR285" s="18"/>
      <c r="CS285" s="18"/>
      <c r="CT285" s="18"/>
      <c r="CU285" s="18"/>
    </row>
    <row r="286" spans="1:99">
      <c r="A286" s="19"/>
      <c r="B286" s="19"/>
      <c r="C286" s="19"/>
      <c r="D286" s="19"/>
      <c r="E286" s="19"/>
      <c r="F286" s="19"/>
      <c r="G286" s="19"/>
      <c r="H286" s="19"/>
      <c r="I286" s="19"/>
      <c r="J286" s="19"/>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8"/>
      <c r="BT286" s="18"/>
      <c r="BU286" s="18"/>
      <c r="BV286" s="18"/>
      <c r="BW286" s="18"/>
      <c r="BX286" s="18"/>
      <c r="BY286" s="18"/>
      <c r="BZ286" s="18"/>
      <c r="CA286" s="18"/>
      <c r="CB286" s="18"/>
      <c r="CC286" s="18"/>
      <c r="CD286" s="18"/>
      <c r="CE286" s="18"/>
      <c r="CF286" s="18"/>
      <c r="CG286" s="18"/>
      <c r="CH286" s="18"/>
      <c r="CI286" s="18"/>
      <c r="CJ286" s="18"/>
      <c r="CK286" s="18"/>
      <c r="CL286" s="18"/>
      <c r="CM286" s="18"/>
      <c r="CN286" s="18"/>
      <c r="CO286" s="18"/>
      <c r="CP286" s="18"/>
      <c r="CQ286" s="18"/>
      <c r="CR286" s="18"/>
      <c r="CS286" s="18"/>
      <c r="CT286" s="18"/>
      <c r="CU286" s="18"/>
    </row>
    <row r="287" spans="1:99">
      <c r="A287" s="19"/>
      <c r="B287" s="19"/>
      <c r="C287" s="19"/>
      <c r="D287" s="19"/>
      <c r="E287" s="19"/>
      <c r="F287" s="19"/>
      <c r="G287" s="19"/>
      <c r="H287" s="19"/>
      <c r="I287" s="19"/>
      <c r="J287" s="19"/>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8"/>
      <c r="BT287" s="18"/>
      <c r="BU287" s="18"/>
      <c r="BV287" s="18"/>
      <c r="BW287" s="18"/>
      <c r="BX287" s="18"/>
      <c r="BY287" s="18"/>
      <c r="BZ287" s="18"/>
      <c r="CA287" s="18"/>
      <c r="CB287" s="18"/>
      <c r="CC287" s="18"/>
      <c r="CD287" s="18"/>
      <c r="CE287" s="18"/>
      <c r="CF287" s="18"/>
      <c r="CG287" s="18"/>
      <c r="CH287" s="18"/>
      <c r="CI287" s="18"/>
      <c r="CJ287" s="18"/>
      <c r="CK287" s="18"/>
      <c r="CL287" s="18"/>
      <c r="CM287" s="18"/>
      <c r="CN287" s="18"/>
      <c r="CO287" s="18"/>
      <c r="CP287" s="18"/>
      <c r="CQ287" s="18"/>
      <c r="CR287" s="18"/>
      <c r="CS287" s="18"/>
      <c r="CT287" s="18"/>
      <c r="CU287" s="18"/>
    </row>
    <row r="288" spans="1:99">
      <c r="A288" s="19"/>
      <c r="B288" s="19"/>
      <c r="C288" s="19"/>
      <c r="D288" s="19"/>
      <c r="E288" s="19"/>
      <c r="F288" s="19"/>
      <c r="G288" s="19"/>
      <c r="H288" s="19"/>
      <c r="I288" s="19"/>
      <c r="J288" s="19"/>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8"/>
      <c r="BT288" s="18"/>
      <c r="BU288" s="18"/>
      <c r="BV288" s="18"/>
      <c r="BW288" s="18"/>
      <c r="BX288" s="18"/>
      <c r="BY288" s="18"/>
      <c r="BZ288" s="18"/>
      <c r="CA288" s="18"/>
      <c r="CB288" s="18"/>
      <c r="CC288" s="18"/>
      <c r="CD288" s="18"/>
      <c r="CE288" s="18"/>
      <c r="CF288" s="18"/>
      <c r="CG288" s="18"/>
      <c r="CH288" s="18"/>
      <c r="CI288" s="18"/>
      <c r="CJ288" s="18"/>
      <c r="CK288" s="18"/>
      <c r="CL288" s="18"/>
      <c r="CM288" s="18"/>
      <c r="CN288" s="18"/>
      <c r="CO288" s="18"/>
      <c r="CP288" s="18"/>
      <c r="CQ288" s="18"/>
      <c r="CR288" s="18"/>
      <c r="CS288" s="18"/>
      <c r="CT288" s="18"/>
      <c r="CU288" s="18"/>
    </row>
    <row r="289" spans="1:99">
      <c r="A289" s="19"/>
      <c r="B289" s="19"/>
      <c r="C289" s="19"/>
      <c r="D289" s="19"/>
      <c r="E289" s="19"/>
      <c r="F289" s="19"/>
      <c r="G289" s="19"/>
      <c r="H289" s="19"/>
      <c r="I289" s="19"/>
      <c r="J289" s="19"/>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8"/>
      <c r="BT289" s="18"/>
      <c r="BU289" s="18"/>
      <c r="BV289" s="18"/>
      <c r="BW289" s="18"/>
      <c r="BX289" s="18"/>
      <c r="BY289" s="18"/>
      <c r="BZ289" s="18"/>
      <c r="CA289" s="18"/>
      <c r="CB289" s="18"/>
      <c r="CC289" s="18"/>
      <c r="CD289" s="18"/>
      <c r="CE289" s="18"/>
      <c r="CF289" s="18"/>
      <c r="CG289" s="18"/>
      <c r="CH289" s="18"/>
      <c r="CI289" s="18"/>
      <c r="CJ289" s="18"/>
      <c r="CK289" s="18"/>
      <c r="CL289" s="18"/>
      <c r="CM289" s="18"/>
      <c r="CN289" s="18"/>
      <c r="CO289" s="18"/>
      <c r="CP289" s="18"/>
      <c r="CQ289" s="18"/>
      <c r="CR289" s="18"/>
      <c r="CS289" s="18"/>
      <c r="CT289" s="18"/>
      <c r="CU289" s="18"/>
    </row>
    <row r="290" spans="1:99">
      <c r="A290" s="19"/>
      <c r="B290" s="19"/>
      <c r="C290" s="19"/>
      <c r="D290" s="19"/>
      <c r="E290" s="19"/>
      <c r="F290" s="19"/>
      <c r="G290" s="19"/>
      <c r="H290" s="19"/>
      <c r="I290" s="19"/>
      <c r="J290" s="19"/>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8"/>
      <c r="BT290" s="18"/>
      <c r="BU290" s="18"/>
      <c r="BV290" s="18"/>
      <c r="BW290" s="18"/>
      <c r="BX290" s="18"/>
      <c r="BY290" s="18"/>
      <c r="BZ290" s="18"/>
      <c r="CA290" s="18"/>
      <c r="CB290" s="18"/>
      <c r="CC290" s="18"/>
      <c r="CD290" s="18"/>
      <c r="CE290" s="18"/>
      <c r="CF290" s="18"/>
      <c r="CG290" s="18"/>
      <c r="CH290" s="18"/>
      <c r="CI290" s="18"/>
      <c r="CJ290" s="18"/>
      <c r="CK290" s="18"/>
      <c r="CL290" s="18"/>
      <c r="CM290" s="18"/>
      <c r="CN290" s="18"/>
      <c r="CO290" s="18"/>
      <c r="CP290" s="18"/>
      <c r="CQ290" s="18"/>
      <c r="CR290" s="18"/>
      <c r="CS290" s="18"/>
      <c r="CT290" s="18"/>
      <c r="CU290" s="18"/>
    </row>
    <row r="291" spans="1:99">
      <c r="A291" s="19"/>
      <c r="B291" s="19"/>
      <c r="C291" s="19"/>
      <c r="D291" s="19"/>
      <c r="E291" s="19"/>
      <c r="F291" s="19"/>
      <c r="G291" s="19"/>
      <c r="H291" s="19"/>
      <c r="I291" s="19"/>
      <c r="J291" s="19"/>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8"/>
      <c r="BT291" s="18"/>
      <c r="BU291" s="18"/>
      <c r="BV291" s="18"/>
      <c r="BW291" s="18"/>
      <c r="BX291" s="18"/>
      <c r="BY291" s="18"/>
      <c r="BZ291" s="18"/>
      <c r="CA291" s="18"/>
      <c r="CB291" s="18"/>
      <c r="CC291" s="18"/>
      <c r="CD291" s="18"/>
      <c r="CE291" s="18"/>
      <c r="CF291" s="18"/>
      <c r="CG291" s="18"/>
      <c r="CH291" s="18"/>
      <c r="CI291" s="18"/>
      <c r="CJ291" s="18"/>
      <c r="CK291" s="18"/>
      <c r="CL291" s="18"/>
      <c r="CM291" s="18"/>
      <c r="CN291" s="18"/>
      <c r="CO291" s="18"/>
      <c r="CP291" s="18"/>
      <c r="CQ291" s="18"/>
      <c r="CR291" s="18"/>
      <c r="CS291" s="18"/>
      <c r="CT291" s="18"/>
      <c r="CU291" s="18"/>
    </row>
    <row r="292" spans="1:99">
      <c r="A292" s="19"/>
      <c r="B292" s="19"/>
      <c r="C292" s="19"/>
      <c r="D292" s="19"/>
      <c r="E292" s="19"/>
      <c r="F292" s="19"/>
      <c r="G292" s="19"/>
      <c r="H292" s="19"/>
      <c r="I292" s="19"/>
      <c r="J292" s="19"/>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8"/>
      <c r="BT292" s="18"/>
      <c r="BU292" s="18"/>
      <c r="BV292" s="18"/>
      <c r="BW292" s="18"/>
      <c r="BX292" s="18"/>
      <c r="BY292" s="18"/>
      <c r="BZ292" s="18"/>
      <c r="CA292" s="18"/>
      <c r="CB292" s="18"/>
      <c r="CC292" s="18"/>
      <c r="CD292" s="18"/>
      <c r="CE292" s="18"/>
      <c r="CF292" s="18"/>
      <c r="CG292" s="18"/>
      <c r="CH292" s="18"/>
      <c r="CI292" s="18"/>
      <c r="CJ292" s="18"/>
      <c r="CK292" s="18"/>
      <c r="CL292" s="18"/>
      <c r="CM292" s="18"/>
      <c r="CN292" s="18"/>
      <c r="CO292" s="18"/>
      <c r="CP292" s="18"/>
      <c r="CQ292" s="18"/>
      <c r="CR292" s="18"/>
      <c r="CS292" s="18"/>
      <c r="CT292" s="18"/>
      <c r="CU292" s="18"/>
    </row>
    <row r="293" spans="1:99">
      <c r="A293" s="19"/>
      <c r="B293" s="19"/>
      <c r="C293" s="19"/>
      <c r="D293" s="19"/>
      <c r="E293" s="19"/>
      <c r="F293" s="19"/>
      <c r="G293" s="19"/>
      <c r="H293" s="19"/>
      <c r="I293" s="19"/>
      <c r="J293" s="19"/>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8"/>
      <c r="BT293" s="18"/>
      <c r="BU293" s="18"/>
      <c r="BV293" s="18"/>
      <c r="BW293" s="18"/>
      <c r="BX293" s="18"/>
      <c r="BY293" s="18"/>
      <c r="BZ293" s="18"/>
      <c r="CA293" s="18"/>
      <c r="CB293" s="18"/>
      <c r="CC293" s="18"/>
      <c r="CD293" s="18"/>
      <c r="CE293" s="18"/>
      <c r="CF293" s="18"/>
      <c r="CG293" s="18"/>
      <c r="CH293" s="18"/>
      <c r="CI293" s="18"/>
      <c r="CJ293" s="18"/>
      <c r="CK293" s="18"/>
      <c r="CL293" s="18"/>
      <c r="CM293" s="18"/>
      <c r="CN293" s="18"/>
      <c r="CO293" s="18"/>
      <c r="CP293" s="18"/>
      <c r="CQ293" s="18"/>
      <c r="CR293" s="18"/>
      <c r="CS293" s="18"/>
      <c r="CT293" s="18"/>
      <c r="CU293" s="18"/>
    </row>
    <row r="294" spans="1:99">
      <c r="A294" s="19"/>
      <c r="B294" s="19"/>
      <c r="C294" s="19"/>
      <c r="D294" s="19"/>
      <c r="E294" s="19"/>
      <c r="F294" s="19"/>
      <c r="G294" s="19"/>
      <c r="H294" s="19"/>
      <c r="I294" s="19"/>
      <c r="J294" s="19"/>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8"/>
      <c r="BU294" s="18"/>
      <c r="BV294" s="18"/>
      <c r="BW294" s="18"/>
      <c r="BX294" s="18"/>
      <c r="BY294" s="18"/>
      <c r="BZ294" s="18"/>
      <c r="CA294" s="18"/>
      <c r="CB294" s="18"/>
      <c r="CC294" s="18"/>
      <c r="CD294" s="18"/>
      <c r="CE294" s="18"/>
      <c r="CF294" s="18"/>
      <c r="CG294" s="18"/>
      <c r="CH294" s="18"/>
      <c r="CI294" s="18"/>
      <c r="CJ294" s="18"/>
      <c r="CK294" s="18"/>
      <c r="CL294" s="18"/>
      <c r="CM294" s="18"/>
      <c r="CN294" s="18"/>
      <c r="CO294" s="18"/>
      <c r="CP294" s="18"/>
      <c r="CQ294" s="18"/>
      <c r="CR294" s="18"/>
      <c r="CS294" s="18"/>
      <c r="CT294" s="18"/>
      <c r="CU294" s="18"/>
    </row>
    <row r="295" spans="1:99">
      <c r="A295" s="19"/>
      <c r="B295" s="19"/>
      <c r="C295" s="19"/>
      <c r="D295" s="19"/>
      <c r="E295" s="19"/>
      <c r="F295" s="19"/>
      <c r="G295" s="19"/>
      <c r="H295" s="19"/>
      <c r="I295" s="19"/>
      <c r="J295" s="19"/>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8"/>
      <c r="BT295" s="18"/>
      <c r="BU295" s="18"/>
      <c r="BV295" s="18"/>
      <c r="BW295" s="18"/>
      <c r="BX295" s="18"/>
      <c r="BY295" s="18"/>
      <c r="BZ295" s="18"/>
      <c r="CA295" s="18"/>
      <c r="CB295" s="18"/>
      <c r="CC295" s="18"/>
      <c r="CD295" s="18"/>
      <c r="CE295" s="18"/>
      <c r="CF295" s="18"/>
      <c r="CG295" s="18"/>
      <c r="CH295" s="18"/>
      <c r="CI295" s="18"/>
      <c r="CJ295" s="18"/>
      <c r="CK295" s="18"/>
      <c r="CL295" s="18"/>
      <c r="CM295" s="18"/>
      <c r="CN295" s="18"/>
      <c r="CO295" s="18"/>
      <c r="CP295" s="18"/>
      <c r="CQ295" s="18"/>
      <c r="CR295" s="18"/>
      <c r="CS295" s="18"/>
      <c r="CT295" s="18"/>
      <c r="CU295" s="18"/>
    </row>
    <row r="296" spans="1:99">
      <c r="A296" s="19"/>
      <c r="B296" s="19"/>
      <c r="C296" s="19"/>
      <c r="D296" s="19"/>
      <c r="E296" s="19"/>
      <c r="F296" s="19"/>
      <c r="G296" s="19"/>
      <c r="H296" s="19"/>
      <c r="I296" s="19"/>
      <c r="J296" s="19"/>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8"/>
      <c r="BT296" s="18"/>
      <c r="BU296" s="18"/>
      <c r="BV296" s="18"/>
      <c r="BW296" s="18"/>
      <c r="BX296" s="18"/>
      <c r="BY296" s="18"/>
      <c r="BZ296" s="18"/>
      <c r="CA296" s="18"/>
      <c r="CB296" s="18"/>
      <c r="CC296" s="18"/>
      <c r="CD296" s="18"/>
      <c r="CE296" s="18"/>
      <c r="CF296" s="18"/>
      <c r="CG296" s="18"/>
      <c r="CH296" s="18"/>
      <c r="CI296" s="18"/>
      <c r="CJ296" s="18"/>
      <c r="CK296" s="18"/>
      <c r="CL296" s="18"/>
      <c r="CM296" s="18"/>
      <c r="CN296" s="18"/>
      <c r="CO296" s="18"/>
      <c r="CP296" s="18"/>
      <c r="CQ296" s="18"/>
      <c r="CR296" s="18"/>
      <c r="CS296" s="18"/>
      <c r="CT296" s="18"/>
      <c r="CU296" s="18"/>
    </row>
    <row r="297" spans="1:99">
      <c r="A297" s="19"/>
      <c r="B297" s="19"/>
      <c r="C297" s="19"/>
      <c r="D297" s="19"/>
      <c r="E297" s="19"/>
      <c r="F297" s="19"/>
      <c r="G297" s="19"/>
      <c r="H297" s="19"/>
      <c r="I297" s="19"/>
      <c r="J297" s="19"/>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8"/>
      <c r="BT297" s="18"/>
      <c r="BU297" s="18"/>
      <c r="BV297" s="18"/>
      <c r="BW297" s="18"/>
      <c r="BX297" s="18"/>
      <c r="BY297" s="18"/>
      <c r="BZ297" s="18"/>
      <c r="CA297" s="18"/>
      <c r="CB297" s="18"/>
      <c r="CC297" s="18"/>
      <c r="CD297" s="18"/>
      <c r="CE297" s="18"/>
      <c r="CF297" s="18"/>
      <c r="CG297" s="18"/>
      <c r="CH297" s="18"/>
      <c r="CI297" s="18"/>
      <c r="CJ297" s="18"/>
      <c r="CK297" s="18"/>
      <c r="CL297" s="18"/>
      <c r="CM297" s="18"/>
      <c r="CN297" s="18"/>
      <c r="CO297" s="18"/>
      <c r="CP297" s="18"/>
      <c r="CQ297" s="18"/>
      <c r="CR297" s="18"/>
      <c r="CS297" s="18"/>
      <c r="CT297" s="18"/>
      <c r="CU297" s="18"/>
    </row>
    <row r="298" spans="1:99">
      <c r="A298" s="19"/>
      <c r="B298" s="19"/>
      <c r="C298" s="19"/>
      <c r="D298" s="19"/>
      <c r="E298" s="19"/>
      <c r="F298" s="19"/>
      <c r="G298" s="19"/>
      <c r="H298" s="19"/>
      <c r="I298" s="19"/>
      <c r="J298" s="19"/>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8"/>
      <c r="BT298" s="18"/>
      <c r="BU298" s="18"/>
      <c r="BV298" s="18"/>
      <c r="BW298" s="18"/>
      <c r="BX298" s="18"/>
      <c r="BY298" s="18"/>
      <c r="BZ298" s="18"/>
      <c r="CA298" s="18"/>
      <c r="CB298" s="18"/>
      <c r="CC298" s="18"/>
      <c r="CD298" s="18"/>
      <c r="CE298" s="18"/>
      <c r="CF298" s="18"/>
      <c r="CG298" s="18"/>
      <c r="CH298" s="18"/>
      <c r="CI298" s="18"/>
      <c r="CJ298" s="18"/>
      <c r="CK298" s="18"/>
      <c r="CL298" s="18"/>
      <c r="CM298" s="18"/>
      <c r="CN298" s="18"/>
      <c r="CO298" s="18"/>
      <c r="CP298" s="18"/>
      <c r="CQ298" s="18"/>
      <c r="CR298" s="18"/>
      <c r="CS298" s="18"/>
      <c r="CT298" s="18"/>
      <c r="CU298" s="18"/>
    </row>
    <row r="299" spans="1:99">
      <c r="A299" s="19"/>
      <c r="B299" s="19"/>
      <c r="C299" s="19"/>
      <c r="D299" s="19"/>
      <c r="E299" s="19"/>
      <c r="F299" s="19"/>
      <c r="G299" s="19"/>
      <c r="H299" s="19"/>
      <c r="I299" s="19"/>
      <c r="J299" s="19"/>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8"/>
      <c r="BT299" s="18"/>
      <c r="BU299" s="18"/>
      <c r="BV299" s="18"/>
      <c r="BW299" s="18"/>
      <c r="BX299" s="18"/>
      <c r="BY299" s="18"/>
      <c r="BZ299" s="18"/>
      <c r="CA299" s="18"/>
      <c r="CB299" s="18"/>
      <c r="CC299" s="18"/>
      <c r="CD299" s="18"/>
      <c r="CE299" s="18"/>
      <c r="CF299" s="18"/>
      <c r="CG299" s="18"/>
      <c r="CH299" s="18"/>
      <c r="CI299" s="18"/>
      <c r="CJ299" s="18"/>
      <c r="CK299" s="18"/>
      <c r="CL299" s="18"/>
      <c r="CM299" s="18"/>
      <c r="CN299" s="18"/>
      <c r="CO299" s="18"/>
      <c r="CP299" s="18"/>
      <c r="CQ299" s="18"/>
      <c r="CR299" s="18"/>
      <c r="CS299" s="18"/>
      <c r="CT299" s="18"/>
      <c r="CU299" s="18"/>
    </row>
    <row r="300" spans="1:99">
      <c r="A300" s="19"/>
      <c r="B300" s="19"/>
      <c r="C300" s="19"/>
      <c r="D300" s="19"/>
      <c r="E300" s="19"/>
      <c r="F300" s="19"/>
      <c r="G300" s="19"/>
      <c r="H300" s="19"/>
      <c r="I300" s="19"/>
      <c r="J300" s="19"/>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8"/>
      <c r="BT300" s="18"/>
      <c r="BU300" s="18"/>
      <c r="BV300" s="18"/>
      <c r="BW300" s="18"/>
      <c r="BX300" s="18"/>
      <c r="BY300" s="18"/>
      <c r="BZ300" s="18"/>
      <c r="CA300" s="18"/>
      <c r="CB300" s="18"/>
      <c r="CC300" s="18"/>
      <c r="CD300" s="18"/>
      <c r="CE300" s="18"/>
      <c r="CF300" s="18"/>
      <c r="CG300" s="18"/>
      <c r="CH300" s="18"/>
      <c r="CI300" s="18"/>
      <c r="CJ300" s="18"/>
      <c r="CK300" s="18"/>
      <c r="CL300" s="18"/>
      <c r="CM300" s="18"/>
      <c r="CN300" s="18"/>
      <c r="CO300" s="18"/>
      <c r="CP300" s="18"/>
      <c r="CQ300" s="18"/>
      <c r="CR300" s="18"/>
      <c r="CS300" s="18"/>
      <c r="CT300" s="18"/>
      <c r="CU300" s="18"/>
    </row>
    <row r="301" spans="1:99">
      <c r="A301" s="19"/>
      <c r="B301" s="19"/>
      <c r="C301" s="19"/>
      <c r="D301" s="19"/>
      <c r="E301" s="19"/>
      <c r="F301" s="19"/>
      <c r="G301" s="19"/>
      <c r="H301" s="19"/>
      <c r="I301" s="19"/>
      <c r="J301" s="19"/>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8"/>
      <c r="BT301" s="18"/>
      <c r="BU301" s="18"/>
      <c r="BV301" s="18"/>
      <c r="BW301" s="18"/>
      <c r="BX301" s="18"/>
      <c r="BY301" s="18"/>
      <c r="BZ301" s="18"/>
      <c r="CA301" s="18"/>
      <c r="CB301" s="18"/>
      <c r="CC301" s="18"/>
      <c r="CD301" s="18"/>
      <c r="CE301" s="18"/>
      <c r="CF301" s="18"/>
      <c r="CG301" s="18"/>
      <c r="CH301" s="18"/>
      <c r="CI301" s="18"/>
      <c r="CJ301" s="18"/>
      <c r="CK301" s="18"/>
      <c r="CL301" s="18"/>
      <c r="CM301" s="18"/>
      <c r="CN301" s="18"/>
      <c r="CO301" s="18"/>
      <c r="CP301" s="18"/>
      <c r="CQ301" s="18"/>
      <c r="CR301" s="18"/>
      <c r="CS301" s="18"/>
      <c r="CT301" s="18"/>
      <c r="CU301" s="18"/>
    </row>
    <row r="302" spans="1:99">
      <c r="A302" s="19"/>
      <c r="B302" s="19"/>
      <c r="C302" s="19"/>
      <c r="D302" s="19"/>
      <c r="E302" s="19"/>
      <c r="F302" s="19"/>
      <c r="G302" s="19"/>
      <c r="H302" s="19"/>
      <c r="I302" s="19"/>
      <c r="J302" s="19"/>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row>
    <row r="303" spans="1:99">
      <c r="A303" s="19"/>
      <c r="B303" s="19"/>
      <c r="C303" s="19"/>
      <c r="D303" s="19"/>
      <c r="E303" s="19"/>
      <c r="F303" s="19"/>
      <c r="G303" s="19"/>
      <c r="H303" s="19"/>
      <c r="I303" s="19"/>
      <c r="J303" s="19"/>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row>
    <row r="304" spans="1:99">
      <c r="A304" s="19"/>
      <c r="B304" s="19"/>
      <c r="C304" s="19"/>
      <c r="D304" s="19"/>
      <c r="E304" s="19"/>
      <c r="F304" s="19"/>
      <c r="G304" s="19"/>
      <c r="H304" s="19"/>
      <c r="I304" s="19"/>
      <c r="J304" s="19"/>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row>
    <row r="305" spans="1:99">
      <c r="A305" s="19"/>
      <c r="B305" s="19"/>
      <c r="C305" s="19"/>
      <c r="D305" s="19"/>
      <c r="E305" s="19"/>
      <c r="F305" s="19"/>
      <c r="G305" s="19"/>
      <c r="H305" s="19"/>
      <c r="I305" s="19"/>
      <c r="J305" s="19"/>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row>
    <row r="306" spans="1:99">
      <c r="A306" s="19"/>
      <c r="B306" s="19"/>
      <c r="C306" s="19"/>
      <c r="D306" s="19"/>
      <c r="E306" s="19"/>
      <c r="F306" s="19"/>
      <c r="G306" s="19"/>
      <c r="H306" s="19"/>
      <c r="I306" s="19"/>
      <c r="J306" s="19"/>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row>
    <row r="307" spans="1:99">
      <c r="A307" s="19"/>
      <c r="B307" s="19"/>
      <c r="C307" s="19"/>
      <c r="D307" s="19"/>
      <c r="E307" s="19"/>
      <c r="F307" s="19"/>
      <c r="G307" s="19"/>
      <c r="H307" s="19"/>
      <c r="I307" s="19"/>
      <c r="J307" s="19"/>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row>
    <row r="308" spans="1:99">
      <c r="A308" s="19"/>
      <c r="B308" s="19"/>
      <c r="C308" s="19"/>
      <c r="D308" s="19"/>
      <c r="E308" s="19"/>
      <c r="F308" s="19"/>
      <c r="G308" s="19"/>
      <c r="H308" s="19"/>
      <c r="I308" s="19"/>
      <c r="J308" s="19"/>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row>
    <row r="309" spans="1:99">
      <c r="A309" s="19"/>
      <c r="B309" s="19"/>
      <c r="C309" s="19"/>
      <c r="D309" s="19"/>
      <c r="E309" s="19"/>
      <c r="F309" s="19"/>
      <c r="G309" s="19"/>
      <c r="H309" s="19"/>
      <c r="I309" s="19"/>
      <c r="J309" s="19"/>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row>
    <row r="310" spans="1:99">
      <c r="A310" s="19"/>
      <c r="B310" s="19"/>
      <c r="C310" s="19"/>
      <c r="D310" s="19"/>
      <c r="E310" s="19"/>
      <c r="F310" s="19"/>
      <c r="G310" s="19"/>
      <c r="H310" s="19"/>
      <c r="I310" s="19"/>
      <c r="J310" s="19"/>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row>
    <row r="311" spans="1:99">
      <c r="A311" s="19"/>
      <c r="B311" s="19"/>
      <c r="C311" s="19"/>
      <c r="D311" s="19"/>
      <c r="E311" s="19"/>
      <c r="F311" s="19"/>
      <c r="G311" s="19"/>
      <c r="H311" s="19"/>
      <c r="I311" s="19"/>
      <c r="J311" s="19"/>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row>
    <row r="312" spans="1:99">
      <c r="A312" s="19"/>
      <c r="B312" s="19"/>
      <c r="C312" s="19"/>
      <c r="D312" s="19"/>
      <c r="E312" s="19"/>
      <c r="F312" s="19"/>
      <c r="G312" s="19"/>
      <c r="H312" s="19"/>
      <c r="I312" s="19"/>
      <c r="J312" s="19"/>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row>
    <row r="313" spans="1:99">
      <c r="A313" s="19"/>
      <c r="B313" s="19"/>
      <c r="C313" s="19"/>
      <c r="D313" s="19"/>
      <c r="E313" s="19"/>
      <c r="F313" s="19"/>
      <c r="G313" s="19"/>
      <c r="H313" s="19"/>
      <c r="I313" s="19"/>
      <c r="J313" s="19"/>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row>
    <row r="314" spans="1:99">
      <c r="A314" s="19"/>
      <c r="B314" s="19"/>
      <c r="C314" s="19"/>
      <c r="D314" s="19"/>
      <c r="E314" s="19"/>
      <c r="F314" s="19"/>
      <c r="G314" s="19"/>
      <c r="H314" s="19"/>
      <c r="I314" s="19"/>
      <c r="J314" s="19"/>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row>
    <row r="315" spans="1:99">
      <c r="A315" s="19"/>
      <c r="B315" s="19"/>
      <c r="C315" s="19"/>
      <c r="D315" s="19"/>
      <c r="E315" s="19"/>
      <c r="F315" s="19"/>
      <c r="G315" s="19"/>
      <c r="H315" s="19"/>
      <c r="I315" s="19"/>
      <c r="J315" s="19"/>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row>
    <row r="316" spans="1:99">
      <c r="A316" s="19"/>
      <c r="B316" s="19"/>
      <c r="C316" s="19"/>
      <c r="D316" s="19"/>
      <c r="E316" s="19"/>
      <c r="F316" s="19"/>
      <c r="G316" s="19"/>
      <c r="H316" s="19"/>
      <c r="I316" s="19"/>
      <c r="J316" s="19"/>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row>
    <row r="317" spans="1:99">
      <c r="A317" s="19"/>
      <c r="B317" s="19"/>
      <c r="C317" s="19"/>
      <c r="D317" s="19"/>
      <c r="E317" s="19"/>
      <c r="F317" s="19"/>
      <c r="G317" s="19"/>
      <c r="H317" s="19"/>
      <c r="I317" s="19"/>
      <c r="J317" s="19"/>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row>
    <row r="318" spans="1:99">
      <c r="A318" s="19"/>
      <c r="B318" s="19"/>
      <c r="C318" s="19"/>
      <c r="D318" s="19"/>
      <c r="E318" s="19"/>
      <c r="F318" s="19"/>
      <c r="G318" s="19"/>
      <c r="H318" s="19"/>
      <c r="I318" s="19"/>
      <c r="J318" s="19"/>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row>
    <row r="319" spans="1:99">
      <c r="A319" s="19"/>
      <c r="B319" s="19"/>
      <c r="C319" s="19"/>
      <c r="D319" s="19"/>
      <c r="E319" s="19"/>
      <c r="F319" s="19"/>
      <c r="G319" s="19"/>
      <c r="H319" s="19"/>
      <c r="I319" s="19"/>
      <c r="J319" s="19"/>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row>
    <row r="320" spans="1:99">
      <c r="A320" s="19"/>
      <c r="B320" s="19"/>
      <c r="C320" s="19"/>
      <c r="D320" s="19"/>
      <c r="E320" s="19"/>
      <c r="F320" s="19"/>
      <c r="G320" s="19"/>
      <c r="H320" s="19"/>
      <c r="I320" s="19"/>
      <c r="J320" s="19"/>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row>
    <row r="321" spans="1:99">
      <c r="A321" s="19"/>
      <c r="B321" s="19"/>
      <c r="C321" s="19"/>
      <c r="D321" s="19"/>
      <c r="E321" s="19"/>
      <c r="F321" s="19"/>
      <c r="G321" s="19"/>
      <c r="H321" s="19"/>
      <c r="I321" s="19"/>
      <c r="J321" s="19"/>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row>
    <row r="322" spans="1:99">
      <c r="A322" s="19"/>
      <c r="B322" s="19"/>
      <c r="C322" s="19"/>
      <c r="D322" s="19"/>
      <c r="E322" s="19"/>
      <c r="F322" s="19"/>
      <c r="G322" s="19"/>
      <c r="H322" s="19"/>
      <c r="I322" s="19"/>
      <c r="J322" s="19"/>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row>
    <row r="323" spans="1:99">
      <c r="A323" s="19"/>
      <c r="B323" s="19"/>
      <c r="C323" s="19"/>
      <c r="D323" s="19"/>
      <c r="E323" s="19"/>
      <c r="F323" s="19"/>
      <c r="G323" s="19"/>
      <c r="H323" s="19"/>
      <c r="I323" s="19"/>
      <c r="J323" s="19"/>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row>
    <row r="324" spans="1:99">
      <c r="A324" s="19"/>
      <c r="B324" s="19"/>
      <c r="C324" s="19"/>
      <c r="D324" s="19"/>
      <c r="E324" s="19"/>
      <c r="F324" s="19"/>
      <c r="G324" s="19"/>
      <c r="H324" s="19"/>
      <c r="I324" s="19"/>
      <c r="J324" s="19"/>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row>
    <row r="325" spans="1:99">
      <c r="A325" s="19"/>
      <c r="B325" s="19"/>
      <c r="C325" s="19"/>
      <c r="D325" s="19"/>
      <c r="E325" s="19"/>
      <c r="F325" s="19"/>
      <c r="G325" s="19"/>
      <c r="H325" s="19"/>
      <c r="I325" s="19"/>
      <c r="J325" s="19"/>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row>
    <row r="326" spans="1:99">
      <c r="A326" s="19"/>
      <c r="B326" s="19"/>
      <c r="C326" s="19"/>
      <c r="D326" s="19"/>
      <c r="E326" s="19"/>
      <c r="F326" s="19"/>
      <c r="G326" s="19"/>
      <c r="H326" s="19"/>
      <c r="I326" s="19"/>
      <c r="J326" s="19"/>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row>
    <row r="327" spans="1:99">
      <c r="A327" s="19"/>
      <c r="B327" s="19"/>
      <c r="C327" s="19"/>
      <c r="D327" s="19"/>
      <c r="E327" s="19"/>
      <c r="F327" s="19"/>
      <c r="G327" s="19"/>
      <c r="H327" s="19"/>
      <c r="I327" s="19"/>
      <c r="J327" s="19"/>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row>
    <row r="328" spans="1:99">
      <c r="A328" s="19"/>
      <c r="B328" s="19"/>
      <c r="C328" s="19"/>
      <c r="D328" s="19"/>
      <c r="E328" s="19"/>
      <c r="F328" s="19"/>
      <c r="G328" s="19"/>
      <c r="H328" s="19"/>
      <c r="I328" s="19"/>
      <c r="J328" s="19"/>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row>
    <row r="329" spans="1:99">
      <c r="A329" s="19"/>
      <c r="B329" s="19"/>
      <c r="C329" s="19"/>
      <c r="D329" s="19"/>
      <c r="E329" s="19"/>
      <c r="F329" s="19"/>
      <c r="G329" s="19"/>
      <c r="H329" s="19"/>
      <c r="I329" s="19"/>
      <c r="J329" s="19"/>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row>
    <row r="330" spans="1:99">
      <c r="A330" s="19"/>
      <c r="B330" s="19"/>
      <c r="C330" s="19"/>
      <c r="D330" s="19"/>
      <c r="E330" s="19"/>
      <c r="F330" s="19"/>
      <c r="G330" s="19"/>
      <c r="H330" s="19"/>
      <c r="I330" s="19"/>
      <c r="J330" s="19"/>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row>
    <row r="331" spans="1:99">
      <c r="A331" s="19"/>
      <c r="B331" s="19"/>
      <c r="C331" s="19"/>
      <c r="D331" s="19"/>
      <c r="E331" s="19"/>
      <c r="F331" s="19"/>
      <c r="G331" s="19"/>
      <c r="H331" s="19"/>
      <c r="I331" s="19"/>
      <c r="J331" s="19"/>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row>
    <row r="332" spans="1:99">
      <c r="A332" s="19"/>
      <c r="B332" s="19"/>
      <c r="C332" s="19"/>
      <c r="D332" s="19"/>
      <c r="E332" s="19"/>
      <c r="F332" s="19"/>
      <c r="G332" s="19"/>
      <c r="H332" s="19"/>
      <c r="I332" s="19"/>
      <c r="J332" s="19"/>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row>
    <row r="333" spans="1:99">
      <c r="A333" s="19"/>
      <c r="B333" s="19"/>
      <c r="C333" s="19"/>
      <c r="D333" s="19"/>
      <c r="E333" s="19"/>
      <c r="F333" s="19"/>
      <c r="G333" s="19"/>
      <c r="H333" s="19"/>
      <c r="I333" s="19"/>
      <c r="J333" s="19"/>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row>
    <row r="334" spans="1:99">
      <c r="A334" s="19"/>
      <c r="B334" s="19"/>
      <c r="C334" s="19"/>
      <c r="D334" s="19"/>
      <c r="E334" s="19"/>
      <c r="F334" s="19"/>
      <c r="G334" s="19"/>
      <c r="H334" s="19"/>
      <c r="I334" s="19"/>
      <c r="J334" s="19"/>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row>
    <row r="335" spans="1:99">
      <c r="A335" s="19"/>
      <c r="B335" s="19"/>
      <c r="C335" s="19"/>
      <c r="D335" s="19"/>
      <c r="E335" s="19"/>
      <c r="F335" s="19"/>
      <c r="G335" s="19"/>
      <c r="H335" s="19"/>
      <c r="I335" s="19"/>
      <c r="J335" s="19"/>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row>
    <row r="336" spans="1:99">
      <c r="A336" s="19"/>
      <c r="B336" s="19"/>
      <c r="C336" s="19"/>
      <c r="D336" s="19"/>
      <c r="E336" s="19"/>
      <c r="F336" s="19"/>
      <c r="G336" s="19"/>
      <c r="H336" s="19"/>
      <c r="I336" s="19"/>
      <c r="J336" s="19"/>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row>
    <row r="337" spans="1:99">
      <c r="A337" s="19"/>
      <c r="B337" s="19"/>
      <c r="C337" s="19"/>
      <c r="D337" s="19"/>
      <c r="E337" s="19"/>
      <c r="F337" s="19"/>
      <c r="G337" s="19"/>
      <c r="H337" s="19"/>
      <c r="I337" s="19"/>
      <c r="J337" s="19"/>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row>
    <row r="338" spans="1:99">
      <c r="A338" s="19"/>
      <c r="B338" s="19"/>
      <c r="C338" s="19"/>
      <c r="D338" s="19"/>
      <c r="E338" s="19"/>
      <c r="F338" s="19"/>
      <c r="G338" s="19"/>
      <c r="H338" s="19"/>
      <c r="I338" s="19"/>
      <c r="J338" s="19"/>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row>
    <row r="339" spans="1:99">
      <c r="A339" s="19"/>
      <c r="B339" s="19"/>
      <c r="C339" s="19"/>
      <c r="D339" s="19"/>
      <c r="E339" s="19"/>
      <c r="F339" s="19"/>
      <c r="G339" s="19"/>
      <c r="H339" s="19"/>
      <c r="I339" s="19"/>
      <c r="J339" s="19"/>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row>
    <row r="340" spans="1:99">
      <c r="A340" s="19"/>
      <c r="B340" s="19"/>
      <c r="C340" s="19"/>
      <c r="D340" s="19"/>
      <c r="E340" s="19"/>
      <c r="F340" s="19"/>
      <c r="G340" s="19"/>
      <c r="H340" s="19"/>
      <c r="I340" s="19"/>
      <c r="J340" s="19"/>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row>
    <row r="341" spans="1:99">
      <c r="A341" s="19"/>
      <c r="B341" s="19"/>
      <c r="C341" s="19"/>
      <c r="D341" s="19"/>
      <c r="E341" s="19"/>
      <c r="F341" s="19"/>
      <c r="G341" s="19"/>
      <c r="H341" s="19"/>
      <c r="I341" s="19"/>
      <c r="J341" s="19"/>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8"/>
      <c r="BT341" s="18"/>
      <c r="BU341" s="18"/>
      <c r="BV341" s="18"/>
      <c r="BW341" s="18"/>
      <c r="BX341" s="18"/>
      <c r="BY341" s="18"/>
      <c r="BZ341" s="18"/>
      <c r="CA341" s="18"/>
      <c r="CB341" s="18"/>
      <c r="CC341" s="18"/>
      <c r="CD341" s="18"/>
      <c r="CE341" s="18"/>
      <c r="CF341" s="18"/>
      <c r="CG341" s="18"/>
      <c r="CH341" s="18"/>
      <c r="CI341" s="18"/>
      <c r="CJ341" s="18"/>
      <c r="CK341" s="18"/>
      <c r="CL341" s="18"/>
      <c r="CM341" s="18"/>
      <c r="CN341" s="18"/>
      <c r="CO341" s="18"/>
      <c r="CP341" s="18"/>
      <c r="CQ341" s="18"/>
      <c r="CR341" s="18"/>
      <c r="CS341" s="18"/>
      <c r="CT341" s="18"/>
      <c r="CU341" s="18"/>
    </row>
    <row r="342" spans="1:99">
      <c r="A342" s="19"/>
      <c r="B342" s="19"/>
      <c r="C342" s="19"/>
      <c r="D342" s="19"/>
      <c r="E342" s="19"/>
      <c r="F342" s="19"/>
      <c r="G342" s="19"/>
      <c r="H342" s="19"/>
      <c r="I342" s="19"/>
      <c r="J342" s="19"/>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8"/>
      <c r="BT342" s="18"/>
      <c r="BU342" s="18"/>
      <c r="BV342" s="18"/>
      <c r="BW342" s="18"/>
      <c r="BX342" s="18"/>
      <c r="BY342" s="18"/>
      <c r="BZ342" s="18"/>
      <c r="CA342" s="18"/>
      <c r="CB342" s="18"/>
      <c r="CC342" s="18"/>
      <c r="CD342" s="18"/>
      <c r="CE342" s="18"/>
      <c r="CF342" s="18"/>
      <c r="CG342" s="18"/>
      <c r="CH342" s="18"/>
      <c r="CI342" s="18"/>
      <c r="CJ342" s="18"/>
      <c r="CK342" s="18"/>
      <c r="CL342" s="18"/>
      <c r="CM342" s="18"/>
      <c r="CN342" s="18"/>
      <c r="CO342" s="18"/>
      <c r="CP342" s="18"/>
      <c r="CQ342" s="18"/>
      <c r="CR342" s="18"/>
      <c r="CS342" s="18"/>
      <c r="CT342" s="18"/>
      <c r="CU342" s="18"/>
    </row>
    <row r="343" spans="1:99">
      <c r="A343" s="19"/>
      <c r="B343" s="19"/>
      <c r="C343" s="19"/>
      <c r="D343" s="19"/>
      <c r="E343" s="19"/>
      <c r="F343" s="19"/>
      <c r="G343" s="19"/>
      <c r="H343" s="19"/>
      <c r="I343" s="19"/>
      <c r="J343" s="19"/>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8"/>
      <c r="BT343" s="18"/>
      <c r="BU343" s="18"/>
      <c r="BV343" s="18"/>
      <c r="BW343" s="18"/>
      <c r="BX343" s="18"/>
      <c r="BY343" s="18"/>
      <c r="BZ343" s="18"/>
      <c r="CA343" s="18"/>
      <c r="CB343" s="18"/>
      <c r="CC343" s="18"/>
      <c r="CD343" s="18"/>
      <c r="CE343" s="18"/>
      <c r="CF343" s="18"/>
      <c r="CG343" s="18"/>
      <c r="CH343" s="18"/>
      <c r="CI343" s="18"/>
      <c r="CJ343" s="18"/>
      <c r="CK343" s="18"/>
      <c r="CL343" s="18"/>
      <c r="CM343" s="18"/>
      <c r="CN343" s="18"/>
      <c r="CO343" s="18"/>
      <c r="CP343" s="18"/>
      <c r="CQ343" s="18"/>
      <c r="CR343" s="18"/>
      <c r="CS343" s="18"/>
      <c r="CT343" s="18"/>
      <c r="CU343" s="18"/>
    </row>
    <row r="344" spans="1:99">
      <c r="A344" s="19"/>
      <c r="B344" s="19"/>
      <c r="C344" s="19"/>
      <c r="D344" s="19"/>
      <c r="E344" s="19"/>
      <c r="F344" s="19"/>
      <c r="G344" s="19"/>
      <c r="H344" s="19"/>
      <c r="I344" s="19"/>
      <c r="J344" s="19"/>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8"/>
      <c r="BT344" s="18"/>
      <c r="BU344" s="18"/>
      <c r="BV344" s="18"/>
      <c r="BW344" s="18"/>
      <c r="BX344" s="18"/>
      <c r="BY344" s="18"/>
      <c r="BZ344" s="18"/>
      <c r="CA344" s="18"/>
      <c r="CB344" s="18"/>
      <c r="CC344" s="18"/>
      <c r="CD344" s="18"/>
      <c r="CE344" s="18"/>
      <c r="CF344" s="18"/>
      <c r="CG344" s="18"/>
      <c r="CH344" s="18"/>
      <c r="CI344" s="18"/>
      <c r="CJ344" s="18"/>
      <c r="CK344" s="18"/>
      <c r="CL344" s="18"/>
      <c r="CM344" s="18"/>
      <c r="CN344" s="18"/>
      <c r="CO344" s="18"/>
      <c r="CP344" s="18"/>
      <c r="CQ344" s="18"/>
      <c r="CR344" s="18"/>
      <c r="CS344" s="18"/>
      <c r="CT344" s="18"/>
      <c r="CU344" s="18"/>
    </row>
    <row r="345" spans="1:99">
      <c r="A345" s="19"/>
      <c r="B345" s="19"/>
      <c r="C345" s="19"/>
      <c r="D345" s="19"/>
      <c r="E345" s="19"/>
      <c r="F345" s="19"/>
      <c r="G345" s="19"/>
      <c r="H345" s="19"/>
      <c r="I345" s="19"/>
      <c r="J345" s="19"/>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8"/>
      <c r="BT345" s="18"/>
      <c r="BU345" s="18"/>
      <c r="BV345" s="18"/>
      <c r="BW345" s="18"/>
      <c r="BX345" s="18"/>
      <c r="BY345" s="18"/>
      <c r="BZ345" s="18"/>
      <c r="CA345" s="18"/>
      <c r="CB345" s="18"/>
      <c r="CC345" s="18"/>
      <c r="CD345" s="18"/>
      <c r="CE345" s="18"/>
      <c r="CF345" s="18"/>
      <c r="CG345" s="18"/>
      <c r="CH345" s="18"/>
      <c r="CI345" s="18"/>
      <c r="CJ345" s="18"/>
      <c r="CK345" s="18"/>
      <c r="CL345" s="18"/>
      <c r="CM345" s="18"/>
      <c r="CN345" s="18"/>
      <c r="CO345" s="18"/>
      <c r="CP345" s="18"/>
      <c r="CQ345" s="18"/>
      <c r="CR345" s="18"/>
      <c r="CS345" s="18"/>
      <c r="CT345" s="18"/>
      <c r="CU345" s="18"/>
    </row>
    <row r="346" spans="1:99">
      <c r="A346" s="19"/>
      <c r="B346" s="19"/>
      <c r="C346" s="19"/>
      <c r="D346" s="19"/>
      <c r="E346" s="19"/>
      <c r="F346" s="19"/>
      <c r="G346" s="19"/>
      <c r="H346" s="19"/>
      <c r="I346" s="19"/>
      <c r="J346" s="19"/>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8"/>
      <c r="BT346" s="18"/>
      <c r="BU346" s="18"/>
      <c r="BV346" s="18"/>
      <c r="BW346" s="18"/>
      <c r="BX346" s="18"/>
      <c r="BY346" s="18"/>
      <c r="BZ346" s="18"/>
      <c r="CA346" s="18"/>
      <c r="CB346" s="18"/>
      <c r="CC346" s="18"/>
      <c r="CD346" s="18"/>
      <c r="CE346" s="18"/>
      <c r="CF346" s="18"/>
      <c r="CG346" s="18"/>
      <c r="CH346" s="18"/>
      <c r="CI346" s="18"/>
      <c r="CJ346" s="18"/>
      <c r="CK346" s="18"/>
      <c r="CL346" s="18"/>
      <c r="CM346" s="18"/>
      <c r="CN346" s="18"/>
      <c r="CO346" s="18"/>
      <c r="CP346" s="18"/>
      <c r="CQ346" s="18"/>
      <c r="CR346" s="18"/>
      <c r="CS346" s="18"/>
      <c r="CT346" s="18"/>
      <c r="CU346" s="18"/>
    </row>
    <row r="347" spans="1:99">
      <c r="A347" s="19"/>
      <c r="B347" s="19"/>
      <c r="C347" s="19"/>
      <c r="D347" s="19"/>
      <c r="E347" s="19"/>
      <c r="F347" s="19"/>
      <c r="G347" s="19"/>
      <c r="H347" s="19"/>
      <c r="I347" s="19"/>
      <c r="J347" s="19"/>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8"/>
      <c r="BT347" s="18"/>
      <c r="BU347" s="18"/>
      <c r="BV347" s="18"/>
      <c r="BW347" s="18"/>
      <c r="BX347" s="18"/>
      <c r="BY347" s="18"/>
      <c r="BZ347" s="18"/>
      <c r="CA347" s="18"/>
      <c r="CB347" s="18"/>
      <c r="CC347" s="18"/>
      <c r="CD347" s="18"/>
      <c r="CE347" s="18"/>
      <c r="CF347" s="18"/>
      <c r="CG347" s="18"/>
      <c r="CH347" s="18"/>
      <c r="CI347" s="18"/>
      <c r="CJ347" s="18"/>
      <c r="CK347" s="18"/>
      <c r="CL347" s="18"/>
      <c r="CM347" s="18"/>
      <c r="CN347" s="18"/>
      <c r="CO347" s="18"/>
      <c r="CP347" s="18"/>
      <c r="CQ347" s="18"/>
      <c r="CR347" s="18"/>
      <c r="CS347" s="18"/>
      <c r="CT347" s="18"/>
      <c r="CU347" s="18"/>
    </row>
    <row r="348" spans="1:99">
      <c r="A348" s="19"/>
      <c r="B348" s="19"/>
      <c r="C348" s="19"/>
      <c r="D348" s="19"/>
      <c r="E348" s="19"/>
      <c r="F348" s="19"/>
      <c r="G348" s="19"/>
      <c r="H348" s="19"/>
      <c r="I348" s="19"/>
      <c r="J348" s="19"/>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8"/>
      <c r="BT348" s="18"/>
      <c r="BU348" s="18"/>
      <c r="BV348" s="18"/>
      <c r="BW348" s="18"/>
      <c r="BX348" s="18"/>
      <c r="BY348" s="18"/>
      <c r="BZ348" s="18"/>
      <c r="CA348" s="18"/>
      <c r="CB348" s="18"/>
      <c r="CC348" s="18"/>
      <c r="CD348" s="18"/>
      <c r="CE348" s="18"/>
      <c r="CF348" s="18"/>
      <c r="CG348" s="18"/>
      <c r="CH348" s="18"/>
      <c r="CI348" s="18"/>
      <c r="CJ348" s="18"/>
      <c r="CK348" s="18"/>
      <c r="CL348" s="18"/>
      <c r="CM348" s="18"/>
      <c r="CN348" s="18"/>
      <c r="CO348" s="18"/>
      <c r="CP348" s="18"/>
      <c r="CQ348" s="18"/>
      <c r="CR348" s="18"/>
      <c r="CS348" s="18"/>
      <c r="CT348" s="18"/>
      <c r="CU348" s="18"/>
    </row>
    <row r="349" spans="1:99">
      <c r="A349" s="19"/>
      <c r="B349" s="19"/>
      <c r="C349" s="19"/>
      <c r="D349" s="19"/>
      <c r="E349" s="19"/>
      <c r="F349" s="19"/>
      <c r="G349" s="19"/>
      <c r="H349" s="19"/>
      <c r="I349" s="19"/>
      <c r="J349" s="19"/>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8"/>
      <c r="BT349" s="18"/>
      <c r="BU349" s="18"/>
      <c r="BV349" s="18"/>
      <c r="BW349" s="18"/>
      <c r="BX349" s="18"/>
      <c r="BY349" s="18"/>
      <c r="BZ349" s="18"/>
      <c r="CA349" s="18"/>
      <c r="CB349" s="18"/>
      <c r="CC349" s="18"/>
      <c r="CD349" s="18"/>
      <c r="CE349" s="18"/>
      <c r="CF349" s="18"/>
      <c r="CG349" s="18"/>
      <c r="CH349" s="18"/>
      <c r="CI349" s="18"/>
      <c r="CJ349" s="18"/>
      <c r="CK349" s="18"/>
      <c r="CL349" s="18"/>
      <c r="CM349" s="18"/>
      <c r="CN349" s="18"/>
      <c r="CO349" s="18"/>
      <c r="CP349" s="18"/>
      <c r="CQ349" s="18"/>
      <c r="CR349" s="18"/>
      <c r="CS349" s="18"/>
      <c r="CT349" s="18"/>
      <c r="CU349" s="18"/>
    </row>
    <row r="350" spans="1:99">
      <c r="A350" s="19"/>
      <c r="B350" s="19"/>
      <c r="C350" s="19"/>
      <c r="D350" s="19"/>
      <c r="E350" s="19"/>
      <c r="F350" s="19"/>
      <c r="G350" s="19"/>
      <c r="H350" s="19"/>
      <c r="I350" s="19"/>
      <c r="J350" s="19"/>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8"/>
      <c r="BT350" s="18"/>
      <c r="BU350" s="18"/>
      <c r="BV350" s="18"/>
      <c r="BW350" s="18"/>
      <c r="BX350" s="18"/>
      <c r="BY350" s="18"/>
      <c r="BZ350" s="18"/>
      <c r="CA350" s="18"/>
      <c r="CB350" s="18"/>
      <c r="CC350" s="18"/>
      <c r="CD350" s="18"/>
      <c r="CE350" s="18"/>
      <c r="CF350" s="18"/>
      <c r="CG350" s="18"/>
      <c r="CH350" s="18"/>
      <c r="CI350" s="18"/>
      <c r="CJ350" s="18"/>
      <c r="CK350" s="18"/>
      <c r="CL350" s="18"/>
      <c r="CM350" s="18"/>
      <c r="CN350" s="18"/>
      <c r="CO350" s="18"/>
      <c r="CP350" s="18"/>
      <c r="CQ350" s="18"/>
      <c r="CR350" s="18"/>
      <c r="CS350" s="18"/>
      <c r="CT350" s="18"/>
      <c r="CU350" s="18"/>
    </row>
    <row r="351" spans="1:99">
      <c r="A351" s="19"/>
      <c r="B351" s="19"/>
      <c r="C351" s="19"/>
      <c r="D351" s="19"/>
      <c r="E351" s="19"/>
      <c r="F351" s="19"/>
      <c r="G351" s="19"/>
      <c r="H351" s="19"/>
      <c r="I351" s="19"/>
      <c r="J351" s="19"/>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8"/>
      <c r="BT351" s="18"/>
      <c r="BU351" s="18"/>
      <c r="BV351" s="18"/>
      <c r="BW351" s="18"/>
      <c r="BX351" s="18"/>
      <c r="BY351" s="18"/>
      <c r="BZ351" s="18"/>
      <c r="CA351" s="18"/>
      <c r="CB351" s="18"/>
      <c r="CC351" s="18"/>
      <c r="CD351" s="18"/>
      <c r="CE351" s="18"/>
      <c r="CF351" s="18"/>
      <c r="CG351" s="18"/>
      <c r="CH351" s="18"/>
      <c r="CI351" s="18"/>
      <c r="CJ351" s="18"/>
      <c r="CK351" s="18"/>
      <c r="CL351" s="18"/>
      <c r="CM351" s="18"/>
      <c r="CN351" s="18"/>
      <c r="CO351" s="18"/>
      <c r="CP351" s="18"/>
      <c r="CQ351" s="18"/>
      <c r="CR351" s="18"/>
      <c r="CS351" s="18"/>
      <c r="CT351" s="18"/>
      <c r="CU351" s="18"/>
    </row>
    <row r="352" spans="1:99">
      <c r="A352" s="19"/>
      <c r="B352" s="19"/>
      <c r="C352" s="19"/>
      <c r="D352" s="19"/>
      <c r="E352" s="19"/>
      <c r="F352" s="19"/>
      <c r="G352" s="19"/>
      <c r="H352" s="19"/>
      <c r="I352" s="19"/>
      <c r="J352" s="19"/>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8"/>
      <c r="BT352" s="18"/>
      <c r="BU352" s="18"/>
      <c r="BV352" s="18"/>
      <c r="BW352" s="18"/>
      <c r="BX352" s="18"/>
      <c r="BY352" s="18"/>
      <c r="BZ352" s="18"/>
      <c r="CA352" s="18"/>
      <c r="CB352" s="18"/>
      <c r="CC352" s="18"/>
      <c r="CD352" s="18"/>
      <c r="CE352" s="18"/>
      <c r="CF352" s="18"/>
      <c r="CG352" s="18"/>
      <c r="CH352" s="18"/>
      <c r="CI352" s="18"/>
      <c r="CJ352" s="18"/>
      <c r="CK352" s="18"/>
      <c r="CL352" s="18"/>
      <c r="CM352" s="18"/>
      <c r="CN352" s="18"/>
      <c r="CO352" s="18"/>
      <c r="CP352" s="18"/>
      <c r="CQ352" s="18"/>
      <c r="CR352" s="18"/>
      <c r="CS352" s="18"/>
      <c r="CT352" s="18"/>
      <c r="CU352" s="18"/>
    </row>
    <row r="353" spans="1:99">
      <c r="A353" s="19"/>
      <c r="B353" s="19"/>
      <c r="C353" s="19"/>
      <c r="D353" s="19"/>
      <c r="E353" s="19"/>
      <c r="F353" s="19"/>
      <c r="G353" s="19"/>
      <c r="H353" s="19"/>
      <c r="I353" s="19"/>
      <c r="J353" s="19"/>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8"/>
      <c r="BT353" s="18"/>
      <c r="BU353" s="18"/>
      <c r="BV353" s="18"/>
      <c r="BW353" s="18"/>
      <c r="BX353" s="18"/>
      <c r="BY353" s="18"/>
      <c r="BZ353" s="18"/>
      <c r="CA353" s="18"/>
      <c r="CB353" s="18"/>
      <c r="CC353" s="18"/>
      <c r="CD353" s="18"/>
      <c r="CE353" s="18"/>
      <c r="CF353" s="18"/>
      <c r="CG353" s="18"/>
      <c r="CH353" s="18"/>
      <c r="CI353" s="18"/>
      <c r="CJ353" s="18"/>
      <c r="CK353" s="18"/>
      <c r="CL353" s="18"/>
      <c r="CM353" s="18"/>
      <c r="CN353" s="18"/>
      <c r="CO353" s="18"/>
      <c r="CP353" s="18"/>
      <c r="CQ353" s="18"/>
      <c r="CR353" s="18"/>
      <c r="CS353" s="18"/>
      <c r="CT353" s="18"/>
      <c r="CU353" s="18"/>
    </row>
    <row r="354" spans="1:99">
      <c r="A354" s="19"/>
      <c r="B354" s="19"/>
      <c r="C354" s="19"/>
      <c r="D354" s="19"/>
      <c r="E354" s="19"/>
      <c r="F354" s="19"/>
      <c r="G354" s="19"/>
      <c r="H354" s="19"/>
      <c r="I354" s="19"/>
      <c r="J354" s="19"/>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8"/>
      <c r="BT354" s="18"/>
      <c r="BU354" s="18"/>
      <c r="BV354" s="18"/>
      <c r="BW354" s="18"/>
      <c r="BX354" s="18"/>
      <c r="BY354" s="18"/>
      <c r="BZ354" s="18"/>
      <c r="CA354" s="18"/>
      <c r="CB354" s="18"/>
      <c r="CC354" s="18"/>
      <c r="CD354" s="18"/>
      <c r="CE354" s="18"/>
      <c r="CF354" s="18"/>
      <c r="CG354" s="18"/>
      <c r="CH354" s="18"/>
      <c r="CI354" s="18"/>
      <c r="CJ354" s="18"/>
      <c r="CK354" s="18"/>
      <c r="CL354" s="18"/>
      <c r="CM354" s="18"/>
      <c r="CN354" s="18"/>
      <c r="CO354" s="18"/>
      <c r="CP354" s="18"/>
      <c r="CQ354" s="18"/>
      <c r="CR354" s="18"/>
      <c r="CS354" s="18"/>
      <c r="CT354" s="18"/>
      <c r="CU354" s="18"/>
    </row>
    <row r="355" spans="1:99">
      <c r="A355" s="19"/>
      <c r="B355" s="19"/>
      <c r="C355" s="19"/>
      <c r="D355" s="19"/>
      <c r="E355" s="19"/>
      <c r="F355" s="19"/>
      <c r="G355" s="19"/>
      <c r="H355" s="19"/>
      <c r="I355" s="19"/>
      <c r="J355" s="19"/>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8"/>
      <c r="BT355" s="18"/>
      <c r="BU355" s="18"/>
      <c r="BV355" s="18"/>
      <c r="BW355" s="18"/>
      <c r="BX355" s="18"/>
      <c r="BY355" s="18"/>
      <c r="BZ355" s="18"/>
      <c r="CA355" s="18"/>
      <c r="CB355" s="18"/>
      <c r="CC355" s="18"/>
      <c r="CD355" s="18"/>
      <c r="CE355" s="18"/>
      <c r="CF355" s="18"/>
      <c r="CG355" s="18"/>
      <c r="CH355" s="18"/>
      <c r="CI355" s="18"/>
      <c r="CJ355" s="18"/>
      <c r="CK355" s="18"/>
      <c r="CL355" s="18"/>
      <c r="CM355" s="18"/>
      <c r="CN355" s="18"/>
      <c r="CO355" s="18"/>
      <c r="CP355" s="18"/>
      <c r="CQ355" s="18"/>
      <c r="CR355" s="18"/>
      <c r="CS355" s="18"/>
      <c r="CT355" s="18"/>
      <c r="CU355" s="18"/>
    </row>
    <row r="356" spans="1:99">
      <c r="A356" s="19"/>
      <c r="B356" s="19"/>
      <c r="C356" s="19"/>
      <c r="D356" s="19"/>
      <c r="E356" s="19"/>
      <c r="F356" s="19"/>
      <c r="G356" s="19"/>
      <c r="H356" s="19"/>
      <c r="I356" s="19"/>
      <c r="J356" s="19"/>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8"/>
      <c r="BT356" s="18"/>
      <c r="BU356" s="18"/>
      <c r="BV356" s="18"/>
      <c r="BW356" s="18"/>
      <c r="BX356" s="18"/>
      <c r="BY356" s="18"/>
      <c r="BZ356" s="18"/>
      <c r="CA356" s="18"/>
      <c r="CB356" s="18"/>
      <c r="CC356" s="18"/>
      <c r="CD356" s="18"/>
      <c r="CE356" s="18"/>
      <c r="CF356" s="18"/>
      <c r="CG356" s="18"/>
      <c r="CH356" s="18"/>
      <c r="CI356" s="18"/>
      <c r="CJ356" s="18"/>
      <c r="CK356" s="18"/>
      <c r="CL356" s="18"/>
      <c r="CM356" s="18"/>
      <c r="CN356" s="18"/>
      <c r="CO356" s="18"/>
      <c r="CP356" s="18"/>
      <c r="CQ356" s="18"/>
      <c r="CR356" s="18"/>
      <c r="CS356" s="18"/>
      <c r="CT356" s="18"/>
      <c r="CU356" s="18"/>
    </row>
    <row r="357" spans="1:99">
      <c r="A357" s="19"/>
      <c r="B357" s="19"/>
      <c r="C357" s="19"/>
      <c r="D357" s="19"/>
      <c r="E357" s="19"/>
      <c r="F357" s="19"/>
      <c r="G357" s="19"/>
      <c r="H357" s="19"/>
      <c r="I357" s="19"/>
      <c r="J357" s="19"/>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8"/>
      <c r="BT357" s="18"/>
      <c r="BU357" s="18"/>
      <c r="BV357" s="18"/>
      <c r="BW357" s="18"/>
      <c r="BX357" s="18"/>
      <c r="BY357" s="18"/>
      <c r="BZ357" s="18"/>
      <c r="CA357" s="18"/>
      <c r="CB357" s="18"/>
      <c r="CC357" s="18"/>
      <c r="CD357" s="18"/>
      <c r="CE357" s="18"/>
      <c r="CF357" s="18"/>
      <c r="CG357" s="18"/>
      <c r="CH357" s="18"/>
      <c r="CI357" s="18"/>
      <c r="CJ357" s="18"/>
      <c r="CK357" s="18"/>
      <c r="CL357" s="18"/>
      <c r="CM357" s="18"/>
      <c r="CN357" s="18"/>
      <c r="CO357" s="18"/>
      <c r="CP357" s="18"/>
      <c r="CQ357" s="18"/>
      <c r="CR357" s="18"/>
      <c r="CS357" s="18"/>
      <c r="CT357" s="18"/>
      <c r="CU357" s="18"/>
    </row>
    <row r="358" spans="1:99">
      <c r="A358" s="19"/>
      <c r="B358" s="19"/>
      <c r="C358" s="19"/>
      <c r="D358" s="19"/>
      <c r="E358" s="19"/>
      <c r="F358" s="19"/>
      <c r="G358" s="19"/>
      <c r="H358" s="19"/>
      <c r="I358" s="19"/>
      <c r="J358" s="19"/>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8"/>
      <c r="BT358" s="18"/>
      <c r="BU358" s="18"/>
      <c r="BV358" s="18"/>
      <c r="BW358" s="18"/>
      <c r="BX358" s="18"/>
      <c r="BY358" s="18"/>
      <c r="BZ358" s="18"/>
      <c r="CA358" s="18"/>
      <c r="CB358" s="18"/>
      <c r="CC358" s="18"/>
      <c r="CD358" s="18"/>
      <c r="CE358" s="18"/>
      <c r="CF358" s="18"/>
      <c r="CG358" s="18"/>
      <c r="CH358" s="18"/>
      <c r="CI358" s="18"/>
      <c r="CJ358" s="18"/>
      <c r="CK358" s="18"/>
      <c r="CL358" s="18"/>
      <c r="CM358" s="18"/>
      <c r="CN358" s="18"/>
      <c r="CO358" s="18"/>
      <c r="CP358" s="18"/>
      <c r="CQ358" s="18"/>
      <c r="CR358" s="18"/>
      <c r="CS358" s="18"/>
      <c r="CT358" s="18"/>
      <c r="CU358" s="18"/>
    </row>
    <row r="359" spans="1:99">
      <c r="A359" s="19"/>
      <c r="B359" s="19"/>
      <c r="C359" s="19"/>
      <c r="D359" s="19"/>
      <c r="E359" s="19"/>
      <c r="F359" s="19"/>
      <c r="G359" s="19"/>
      <c r="H359" s="19"/>
      <c r="I359" s="19"/>
      <c r="J359" s="19"/>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8"/>
      <c r="BT359" s="18"/>
      <c r="BU359" s="18"/>
      <c r="BV359" s="18"/>
      <c r="BW359" s="18"/>
      <c r="BX359" s="18"/>
      <c r="BY359" s="18"/>
      <c r="BZ359" s="18"/>
      <c r="CA359" s="18"/>
      <c r="CB359" s="18"/>
      <c r="CC359" s="18"/>
      <c r="CD359" s="18"/>
      <c r="CE359" s="18"/>
      <c r="CF359" s="18"/>
      <c r="CG359" s="18"/>
      <c r="CH359" s="18"/>
      <c r="CI359" s="18"/>
      <c r="CJ359" s="18"/>
      <c r="CK359" s="18"/>
      <c r="CL359" s="18"/>
      <c r="CM359" s="18"/>
      <c r="CN359" s="18"/>
      <c r="CO359" s="18"/>
      <c r="CP359" s="18"/>
      <c r="CQ359" s="18"/>
      <c r="CR359" s="18"/>
      <c r="CS359" s="18"/>
      <c r="CT359" s="18"/>
      <c r="CU359" s="18"/>
    </row>
    <row r="360" spans="1:99">
      <c r="A360" s="19"/>
      <c r="B360" s="19"/>
      <c r="C360" s="19"/>
      <c r="D360" s="19"/>
      <c r="E360" s="19"/>
      <c r="F360" s="19"/>
      <c r="G360" s="19"/>
      <c r="H360" s="19"/>
      <c r="I360" s="19"/>
      <c r="J360" s="19"/>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8"/>
      <c r="BT360" s="18"/>
      <c r="BU360" s="18"/>
      <c r="BV360" s="18"/>
      <c r="BW360" s="18"/>
      <c r="BX360" s="18"/>
      <c r="BY360" s="18"/>
      <c r="BZ360" s="18"/>
      <c r="CA360" s="18"/>
      <c r="CB360" s="18"/>
      <c r="CC360" s="18"/>
      <c r="CD360" s="18"/>
      <c r="CE360" s="18"/>
      <c r="CF360" s="18"/>
      <c r="CG360" s="18"/>
      <c r="CH360" s="18"/>
      <c r="CI360" s="18"/>
      <c r="CJ360" s="18"/>
      <c r="CK360" s="18"/>
      <c r="CL360" s="18"/>
      <c r="CM360" s="18"/>
      <c r="CN360" s="18"/>
      <c r="CO360" s="18"/>
      <c r="CP360" s="18"/>
      <c r="CQ360" s="18"/>
      <c r="CR360" s="18"/>
      <c r="CS360" s="18"/>
      <c r="CT360" s="18"/>
      <c r="CU360" s="18"/>
    </row>
    <row r="361" spans="1:99">
      <c r="A361" s="19"/>
      <c r="B361" s="19"/>
      <c r="C361" s="19"/>
      <c r="D361" s="19"/>
      <c r="E361" s="19"/>
      <c r="F361" s="19"/>
      <c r="G361" s="19"/>
      <c r="H361" s="19"/>
      <c r="I361" s="19"/>
      <c r="J361" s="19"/>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8"/>
      <c r="BT361" s="18"/>
      <c r="BU361" s="18"/>
      <c r="BV361" s="18"/>
      <c r="BW361" s="18"/>
      <c r="BX361" s="18"/>
      <c r="BY361" s="18"/>
      <c r="BZ361" s="18"/>
      <c r="CA361" s="18"/>
      <c r="CB361" s="18"/>
      <c r="CC361" s="18"/>
      <c r="CD361" s="18"/>
      <c r="CE361" s="18"/>
      <c r="CF361" s="18"/>
      <c r="CG361" s="18"/>
      <c r="CH361" s="18"/>
      <c r="CI361" s="18"/>
      <c r="CJ361" s="18"/>
      <c r="CK361" s="18"/>
      <c r="CL361" s="18"/>
      <c r="CM361" s="18"/>
      <c r="CN361" s="18"/>
      <c r="CO361" s="18"/>
      <c r="CP361" s="18"/>
      <c r="CQ361" s="18"/>
      <c r="CR361" s="18"/>
      <c r="CS361" s="18"/>
      <c r="CT361" s="18"/>
      <c r="CU361" s="18"/>
    </row>
    <row r="362" spans="1:99">
      <c r="A362" s="19"/>
      <c r="B362" s="19"/>
      <c r="C362" s="19"/>
      <c r="D362" s="19"/>
      <c r="E362" s="19"/>
      <c r="F362" s="19"/>
      <c r="G362" s="19"/>
      <c r="H362" s="19"/>
      <c r="I362" s="19"/>
      <c r="J362" s="19"/>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8"/>
      <c r="BT362" s="18"/>
      <c r="BU362" s="18"/>
      <c r="BV362" s="18"/>
      <c r="BW362" s="18"/>
      <c r="BX362" s="18"/>
      <c r="BY362" s="18"/>
      <c r="BZ362" s="18"/>
      <c r="CA362" s="18"/>
      <c r="CB362" s="18"/>
      <c r="CC362" s="18"/>
      <c r="CD362" s="18"/>
      <c r="CE362" s="18"/>
      <c r="CF362" s="18"/>
      <c r="CG362" s="18"/>
      <c r="CH362" s="18"/>
      <c r="CI362" s="18"/>
      <c r="CJ362" s="18"/>
      <c r="CK362" s="18"/>
      <c r="CL362" s="18"/>
      <c r="CM362" s="18"/>
      <c r="CN362" s="18"/>
      <c r="CO362" s="18"/>
      <c r="CP362" s="18"/>
      <c r="CQ362" s="18"/>
      <c r="CR362" s="18"/>
      <c r="CS362" s="18"/>
      <c r="CT362" s="18"/>
      <c r="CU362" s="18"/>
    </row>
    <row r="363" spans="1:99">
      <c r="A363" s="19"/>
      <c r="B363" s="19"/>
      <c r="C363" s="19"/>
      <c r="D363" s="19"/>
      <c r="E363" s="19"/>
      <c r="F363" s="19"/>
      <c r="G363" s="19"/>
      <c r="H363" s="19"/>
      <c r="I363" s="19"/>
      <c r="J363" s="19"/>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8"/>
      <c r="BT363" s="18"/>
      <c r="BU363" s="18"/>
      <c r="BV363" s="18"/>
      <c r="BW363" s="18"/>
      <c r="BX363" s="18"/>
      <c r="BY363" s="18"/>
      <c r="BZ363" s="18"/>
      <c r="CA363" s="18"/>
      <c r="CB363" s="18"/>
      <c r="CC363" s="18"/>
      <c r="CD363" s="18"/>
      <c r="CE363" s="18"/>
      <c r="CF363" s="18"/>
      <c r="CG363" s="18"/>
      <c r="CH363" s="18"/>
      <c r="CI363" s="18"/>
      <c r="CJ363" s="18"/>
      <c r="CK363" s="18"/>
      <c r="CL363" s="18"/>
      <c r="CM363" s="18"/>
      <c r="CN363" s="18"/>
      <c r="CO363" s="18"/>
      <c r="CP363" s="18"/>
      <c r="CQ363" s="18"/>
      <c r="CR363" s="18"/>
      <c r="CS363" s="18"/>
      <c r="CT363" s="18"/>
      <c r="CU363" s="18"/>
    </row>
    <row r="364" spans="1:99">
      <c r="A364" s="19"/>
      <c r="B364" s="19"/>
      <c r="C364" s="19"/>
      <c r="D364" s="19"/>
      <c r="E364" s="19"/>
      <c r="F364" s="19"/>
      <c r="G364" s="19"/>
      <c r="H364" s="19"/>
      <c r="I364" s="19"/>
      <c r="J364" s="19"/>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8"/>
      <c r="BT364" s="18"/>
      <c r="BU364" s="18"/>
      <c r="BV364" s="18"/>
      <c r="BW364" s="18"/>
      <c r="BX364" s="18"/>
      <c r="BY364" s="18"/>
      <c r="BZ364" s="18"/>
      <c r="CA364" s="18"/>
      <c r="CB364" s="18"/>
      <c r="CC364" s="18"/>
      <c r="CD364" s="18"/>
      <c r="CE364" s="18"/>
      <c r="CF364" s="18"/>
      <c r="CG364" s="18"/>
      <c r="CH364" s="18"/>
      <c r="CI364" s="18"/>
      <c r="CJ364" s="18"/>
      <c r="CK364" s="18"/>
      <c r="CL364" s="18"/>
      <c r="CM364" s="18"/>
      <c r="CN364" s="18"/>
      <c r="CO364" s="18"/>
      <c r="CP364" s="18"/>
      <c r="CQ364" s="18"/>
      <c r="CR364" s="18"/>
      <c r="CS364" s="18"/>
      <c r="CT364" s="18"/>
      <c r="CU364" s="18"/>
    </row>
    <row r="365" spans="1:99">
      <c r="A365" s="19"/>
      <c r="B365" s="19"/>
      <c r="C365" s="19"/>
      <c r="D365" s="19"/>
      <c r="E365" s="19"/>
      <c r="F365" s="19"/>
      <c r="G365" s="19"/>
      <c r="H365" s="19"/>
      <c r="I365" s="19"/>
      <c r="J365" s="19"/>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8"/>
      <c r="BT365" s="18"/>
      <c r="BU365" s="18"/>
      <c r="BV365" s="18"/>
      <c r="BW365" s="18"/>
      <c r="BX365" s="18"/>
      <c r="BY365" s="18"/>
      <c r="BZ365" s="18"/>
      <c r="CA365" s="18"/>
      <c r="CB365" s="18"/>
      <c r="CC365" s="18"/>
      <c r="CD365" s="18"/>
      <c r="CE365" s="18"/>
      <c r="CF365" s="18"/>
      <c r="CG365" s="18"/>
      <c r="CH365" s="18"/>
      <c r="CI365" s="18"/>
      <c r="CJ365" s="18"/>
      <c r="CK365" s="18"/>
      <c r="CL365" s="18"/>
      <c r="CM365" s="18"/>
      <c r="CN365" s="18"/>
      <c r="CO365" s="18"/>
      <c r="CP365" s="18"/>
      <c r="CQ365" s="18"/>
      <c r="CR365" s="18"/>
      <c r="CS365" s="18"/>
      <c r="CT365" s="18"/>
      <c r="CU365" s="18"/>
    </row>
    <row r="366" spans="1:99">
      <c r="A366" s="19"/>
      <c r="B366" s="19"/>
      <c r="C366" s="19"/>
      <c r="D366" s="19"/>
      <c r="E366" s="19"/>
      <c r="F366" s="19"/>
      <c r="G366" s="19"/>
      <c r="H366" s="19"/>
      <c r="I366" s="19"/>
      <c r="J366" s="19"/>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8"/>
      <c r="BT366" s="18"/>
      <c r="BU366" s="18"/>
      <c r="BV366" s="18"/>
      <c r="BW366" s="18"/>
      <c r="BX366" s="18"/>
      <c r="BY366" s="18"/>
      <c r="BZ366" s="18"/>
      <c r="CA366" s="18"/>
      <c r="CB366" s="18"/>
      <c r="CC366" s="18"/>
      <c r="CD366" s="18"/>
      <c r="CE366" s="18"/>
      <c r="CF366" s="18"/>
      <c r="CG366" s="18"/>
      <c r="CH366" s="18"/>
      <c r="CI366" s="18"/>
      <c r="CJ366" s="18"/>
      <c r="CK366" s="18"/>
      <c r="CL366" s="18"/>
      <c r="CM366" s="18"/>
      <c r="CN366" s="18"/>
      <c r="CO366" s="18"/>
      <c r="CP366" s="18"/>
      <c r="CQ366" s="18"/>
      <c r="CR366" s="18"/>
      <c r="CS366" s="18"/>
      <c r="CT366" s="18"/>
      <c r="CU366" s="18"/>
    </row>
    <row r="367" spans="1:99">
      <c r="A367" s="19"/>
      <c r="B367" s="19"/>
      <c r="C367" s="19"/>
      <c r="D367" s="19"/>
      <c r="E367" s="19"/>
      <c r="F367" s="19"/>
      <c r="G367" s="19"/>
      <c r="H367" s="19"/>
      <c r="I367" s="19"/>
      <c r="J367" s="19"/>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8"/>
      <c r="BT367" s="18"/>
      <c r="BU367" s="18"/>
      <c r="BV367" s="18"/>
      <c r="BW367" s="18"/>
      <c r="BX367" s="18"/>
      <c r="BY367" s="18"/>
      <c r="BZ367" s="18"/>
      <c r="CA367" s="18"/>
      <c r="CB367" s="18"/>
      <c r="CC367" s="18"/>
      <c r="CD367" s="18"/>
      <c r="CE367" s="18"/>
      <c r="CF367" s="18"/>
      <c r="CG367" s="18"/>
      <c r="CH367" s="18"/>
      <c r="CI367" s="18"/>
      <c r="CJ367" s="18"/>
      <c r="CK367" s="18"/>
      <c r="CL367" s="18"/>
      <c r="CM367" s="18"/>
      <c r="CN367" s="18"/>
      <c r="CO367" s="18"/>
      <c r="CP367" s="18"/>
      <c r="CQ367" s="18"/>
      <c r="CR367" s="18"/>
      <c r="CS367" s="18"/>
      <c r="CT367" s="18"/>
      <c r="CU367" s="18"/>
    </row>
    <row r="368" spans="1:99">
      <c r="A368" s="19"/>
      <c r="B368" s="19"/>
      <c r="C368" s="19"/>
      <c r="D368" s="19"/>
      <c r="E368" s="19"/>
      <c r="F368" s="19"/>
      <c r="G368" s="19"/>
      <c r="H368" s="19"/>
      <c r="I368" s="19"/>
      <c r="J368" s="19"/>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8"/>
      <c r="BT368" s="18"/>
      <c r="BU368" s="18"/>
      <c r="BV368" s="18"/>
      <c r="BW368" s="18"/>
      <c r="BX368" s="18"/>
      <c r="BY368" s="18"/>
      <c r="BZ368" s="18"/>
      <c r="CA368" s="18"/>
      <c r="CB368" s="18"/>
      <c r="CC368" s="18"/>
      <c r="CD368" s="18"/>
      <c r="CE368" s="18"/>
      <c r="CF368" s="18"/>
      <c r="CG368" s="18"/>
      <c r="CH368" s="18"/>
      <c r="CI368" s="18"/>
      <c r="CJ368" s="18"/>
      <c r="CK368" s="18"/>
      <c r="CL368" s="18"/>
      <c r="CM368" s="18"/>
      <c r="CN368" s="18"/>
      <c r="CO368" s="18"/>
      <c r="CP368" s="18"/>
      <c r="CQ368" s="18"/>
      <c r="CR368" s="18"/>
      <c r="CS368" s="18"/>
      <c r="CT368" s="18"/>
      <c r="CU368" s="18"/>
    </row>
    <row r="369" spans="1:99">
      <c r="A369" s="19"/>
      <c r="B369" s="19"/>
      <c r="C369" s="19"/>
      <c r="D369" s="19"/>
      <c r="E369" s="19"/>
      <c r="F369" s="19"/>
      <c r="G369" s="19"/>
      <c r="H369" s="19"/>
      <c r="I369" s="19"/>
      <c r="J369" s="19"/>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8"/>
      <c r="BT369" s="18"/>
      <c r="BU369" s="18"/>
      <c r="BV369" s="18"/>
      <c r="BW369" s="18"/>
      <c r="BX369" s="18"/>
      <c r="BY369" s="18"/>
      <c r="BZ369" s="18"/>
      <c r="CA369" s="18"/>
      <c r="CB369" s="18"/>
      <c r="CC369" s="18"/>
      <c r="CD369" s="18"/>
      <c r="CE369" s="18"/>
      <c r="CF369" s="18"/>
      <c r="CG369" s="18"/>
      <c r="CH369" s="18"/>
      <c r="CI369" s="18"/>
      <c r="CJ369" s="18"/>
      <c r="CK369" s="18"/>
      <c r="CL369" s="18"/>
      <c r="CM369" s="18"/>
      <c r="CN369" s="18"/>
      <c r="CO369" s="18"/>
      <c r="CP369" s="18"/>
      <c r="CQ369" s="18"/>
      <c r="CR369" s="18"/>
      <c r="CS369" s="18"/>
      <c r="CT369" s="18"/>
      <c r="CU369" s="18"/>
    </row>
    <row r="370" spans="1:99">
      <c r="A370" s="19"/>
      <c r="B370" s="19"/>
      <c r="C370" s="19"/>
      <c r="D370" s="19"/>
      <c r="E370" s="19"/>
      <c r="F370" s="19"/>
      <c r="G370" s="19"/>
      <c r="H370" s="19"/>
      <c r="I370" s="19"/>
      <c r="J370" s="19"/>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8"/>
      <c r="BT370" s="18"/>
      <c r="BU370" s="18"/>
      <c r="BV370" s="18"/>
      <c r="BW370" s="18"/>
      <c r="BX370" s="18"/>
      <c r="BY370" s="18"/>
      <c r="BZ370" s="18"/>
      <c r="CA370" s="18"/>
      <c r="CB370" s="18"/>
      <c r="CC370" s="18"/>
      <c r="CD370" s="18"/>
      <c r="CE370" s="18"/>
      <c r="CF370" s="18"/>
      <c r="CG370" s="18"/>
      <c r="CH370" s="18"/>
      <c r="CI370" s="18"/>
      <c r="CJ370" s="18"/>
      <c r="CK370" s="18"/>
      <c r="CL370" s="18"/>
      <c r="CM370" s="18"/>
      <c r="CN370" s="18"/>
      <c r="CO370" s="18"/>
      <c r="CP370" s="18"/>
      <c r="CQ370" s="18"/>
      <c r="CR370" s="18"/>
      <c r="CS370" s="18"/>
      <c r="CT370" s="18"/>
      <c r="CU370" s="18"/>
    </row>
    <row r="371" spans="1:99">
      <c r="A371" s="19"/>
      <c r="B371" s="19"/>
      <c r="C371" s="19"/>
      <c r="D371" s="19"/>
      <c r="E371" s="19"/>
      <c r="F371" s="19"/>
      <c r="G371" s="19"/>
      <c r="H371" s="19"/>
      <c r="I371" s="19"/>
      <c r="J371" s="19"/>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8"/>
      <c r="BT371" s="18"/>
      <c r="BU371" s="18"/>
      <c r="BV371" s="18"/>
      <c r="BW371" s="18"/>
      <c r="BX371" s="18"/>
      <c r="BY371" s="18"/>
      <c r="BZ371" s="18"/>
      <c r="CA371" s="18"/>
      <c r="CB371" s="18"/>
      <c r="CC371" s="18"/>
      <c r="CD371" s="18"/>
      <c r="CE371" s="18"/>
      <c r="CF371" s="18"/>
      <c r="CG371" s="18"/>
      <c r="CH371" s="18"/>
      <c r="CI371" s="18"/>
      <c r="CJ371" s="18"/>
      <c r="CK371" s="18"/>
      <c r="CL371" s="18"/>
      <c r="CM371" s="18"/>
      <c r="CN371" s="18"/>
      <c r="CO371" s="18"/>
      <c r="CP371" s="18"/>
      <c r="CQ371" s="18"/>
      <c r="CR371" s="18"/>
      <c r="CS371" s="18"/>
      <c r="CT371" s="18"/>
      <c r="CU371" s="18"/>
    </row>
    <row r="372" spans="1:99">
      <c r="A372" s="19"/>
      <c r="B372" s="19"/>
      <c r="C372" s="19"/>
      <c r="D372" s="19"/>
      <c r="E372" s="19"/>
      <c r="F372" s="19"/>
      <c r="G372" s="19"/>
      <c r="H372" s="19"/>
      <c r="I372" s="19"/>
      <c r="J372" s="19"/>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8"/>
      <c r="BT372" s="18"/>
      <c r="BU372" s="18"/>
      <c r="BV372" s="18"/>
      <c r="BW372" s="18"/>
      <c r="BX372" s="18"/>
      <c r="BY372" s="18"/>
      <c r="BZ372" s="18"/>
      <c r="CA372" s="18"/>
      <c r="CB372" s="18"/>
      <c r="CC372" s="18"/>
      <c r="CD372" s="18"/>
      <c r="CE372" s="18"/>
      <c r="CF372" s="18"/>
      <c r="CG372" s="18"/>
      <c r="CH372" s="18"/>
      <c r="CI372" s="18"/>
      <c r="CJ372" s="18"/>
      <c r="CK372" s="18"/>
      <c r="CL372" s="18"/>
      <c r="CM372" s="18"/>
      <c r="CN372" s="18"/>
      <c r="CO372" s="18"/>
      <c r="CP372" s="18"/>
      <c r="CQ372" s="18"/>
      <c r="CR372" s="18"/>
      <c r="CS372" s="18"/>
      <c r="CT372" s="18"/>
      <c r="CU372" s="18"/>
    </row>
    <row r="373" spans="1:99">
      <c r="A373" s="19"/>
      <c r="B373" s="19"/>
      <c r="C373" s="19"/>
      <c r="D373" s="19"/>
      <c r="E373" s="19"/>
      <c r="F373" s="19"/>
      <c r="G373" s="19"/>
      <c r="H373" s="19"/>
      <c r="I373" s="19"/>
      <c r="J373" s="19"/>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8"/>
      <c r="BT373" s="18"/>
      <c r="BU373" s="18"/>
      <c r="BV373" s="18"/>
      <c r="BW373" s="18"/>
      <c r="BX373" s="18"/>
      <c r="BY373" s="18"/>
      <c r="BZ373" s="18"/>
      <c r="CA373" s="18"/>
      <c r="CB373" s="18"/>
      <c r="CC373" s="18"/>
      <c r="CD373" s="18"/>
      <c r="CE373" s="18"/>
      <c r="CF373" s="18"/>
      <c r="CG373" s="18"/>
      <c r="CH373" s="18"/>
      <c r="CI373" s="18"/>
      <c r="CJ373" s="18"/>
      <c r="CK373" s="18"/>
      <c r="CL373" s="18"/>
      <c r="CM373" s="18"/>
      <c r="CN373" s="18"/>
      <c r="CO373" s="18"/>
      <c r="CP373" s="18"/>
      <c r="CQ373" s="18"/>
      <c r="CR373" s="18"/>
      <c r="CS373" s="18"/>
      <c r="CT373" s="18"/>
      <c r="CU373" s="18"/>
    </row>
    <row r="374" spans="1:99">
      <c r="A374" s="19"/>
      <c r="B374" s="19"/>
      <c r="C374" s="19"/>
      <c r="D374" s="19"/>
      <c r="E374" s="19"/>
      <c r="F374" s="19"/>
      <c r="G374" s="19"/>
      <c r="H374" s="19"/>
      <c r="I374" s="19"/>
      <c r="J374" s="19"/>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8"/>
      <c r="BT374" s="18"/>
      <c r="BU374" s="18"/>
      <c r="BV374" s="18"/>
      <c r="BW374" s="18"/>
      <c r="BX374" s="18"/>
      <c r="BY374" s="18"/>
      <c r="BZ374" s="18"/>
      <c r="CA374" s="18"/>
      <c r="CB374" s="18"/>
      <c r="CC374" s="18"/>
      <c r="CD374" s="18"/>
      <c r="CE374" s="18"/>
      <c r="CF374" s="18"/>
      <c r="CG374" s="18"/>
      <c r="CH374" s="18"/>
      <c r="CI374" s="18"/>
      <c r="CJ374" s="18"/>
      <c r="CK374" s="18"/>
      <c r="CL374" s="18"/>
      <c r="CM374" s="18"/>
      <c r="CN374" s="18"/>
      <c r="CO374" s="18"/>
      <c r="CP374" s="18"/>
      <c r="CQ374" s="18"/>
      <c r="CR374" s="18"/>
      <c r="CS374" s="18"/>
      <c r="CT374" s="18"/>
      <c r="CU374" s="18"/>
    </row>
    <row r="375" spans="1:99">
      <c r="A375" s="19"/>
      <c r="B375" s="19"/>
      <c r="C375" s="19"/>
      <c r="D375" s="19"/>
      <c r="E375" s="19"/>
      <c r="F375" s="19"/>
      <c r="G375" s="19"/>
      <c r="H375" s="19"/>
      <c r="I375" s="19"/>
      <c r="J375" s="19"/>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8"/>
      <c r="BT375" s="18"/>
      <c r="BU375" s="18"/>
      <c r="BV375" s="18"/>
      <c r="BW375" s="18"/>
      <c r="BX375" s="18"/>
      <c r="BY375" s="18"/>
      <c r="BZ375" s="18"/>
      <c r="CA375" s="18"/>
      <c r="CB375" s="18"/>
      <c r="CC375" s="18"/>
      <c r="CD375" s="18"/>
      <c r="CE375" s="18"/>
      <c r="CF375" s="18"/>
      <c r="CG375" s="18"/>
      <c r="CH375" s="18"/>
      <c r="CI375" s="18"/>
      <c r="CJ375" s="18"/>
      <c r="CK375" s="18"/>
      <c r="CL375" s="18"/>
      <c r="CM375" s="18"/>
      <c r="CN375" s="18"/>
      <c r="CO375" s="18"/>
      <c r="CP375" s="18"/>
      <c r="CQ375" s="18"/>
      <c r="CR375" s="18"/>
      <c r="CS375" s="18"/>
      <c r="CT375" s="18"/>
      <c r="CU375" s="18"/>
    </row>
    <row r="376" spans="1:99">
      <c r="A376" s="19"/>
      <c r="B376" s="19"/>
      <c r="C376" s="19"/>
      <c r="D376" s="19"/>
      <c r="E376" s="19"/>
      <c r="F376" s="19"/>
      <c r="G376" s="19"/>
      <c r="H376" s="19"/>
      <c r="I376" s="19"/>
      <c r="J376" s="19"/>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8"/>
      <c r="BT376" s="18"/>
      <c r="BU376" s="18"/>
      <c r="BV376" s="18"/>
      <c r="BW376" s="18"/>
      <c r="BX376" s="18"/>
      <c r="BY376" s="18"/>
      <c r="BZ376" s="18"/>
      <c r="CA376" s="18"/>
      <c r="CB376" s="18"/>
      <c r="CC376" s="18"/>
      <c r="CD376" s="18"/>
      <c r="CE376" s="18"/>
      <c r="CF376" s="18"/>
      <c r="CG376" s="18"/>
      <c r="CH376" s="18"/>
      <c r="CI376" s="18"/>
      <c r="CJ376" s="18"/>
      <c r="CK376" s="18"/>
      <c r="CL376" s="18"/>
      <c r="CM376" s="18"/>
      <c r="CN376" s="18"/>
      <c r="CO376" s="18"/>
      <c r="CP376" s="18"/>
      <c r="CQ376" s="18"/>
      <c r="CR376" s="18"/>
      <c r="CS376" s="18"/>
      <c r="CT376" s="18"/>
      <c r="CU376" s="18"/>
    </row>
    <row r="377" spans="1:99">
      <c r="A377" s="19"/>
      <c r="B377" s="19"/>
      <c r="C377" s="19"/>
      <c r="D377" s="19"/>
      <c r="E377" s="19"/>
      <c r="F377" s="19"/>
      <c r="G377" s="19"/>
      <c r="H377" s="19"/>
      <c r="I377" s="19"/>
      <c r="J377" s="19"/>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8"/>
      <c r="BT377" s="18"/>
      <c r="BU377" s="18"/>
      <c r="BV377" s="18"/>
      <c r="BW377" s="18"/>
      <c r="BX377" s="18"/>
      <c r="BY377" s="18"/>
      <c r="BZ377" s="18"/>
      <c r="CA377" s="18"/>
      <c r="CB377" s="18"/>
      <c r="CC377" s="18"/>
      <c r="CD377" s="18"/>
      <c r="CE377" s="18"/>
      <c r="CF377" s="18"/>
      <c r="CG377" s="18"/>
      <c r="CH377" s="18"/>
      <c r="CI377" s="18"/>
      <c r="CJ377" s="18"/>
      <c r="CK377" s="18"/>
      <c r="CL377" s="18"/>
      <c r="CM377" s="18"/>
      <c r="CN377" s="18"/>
      <c r="CO377" s="18"/>
      <c r="CP377" s="18"/>
      <c r="CQ377" s="18"/>
      <c r="CR377" s="18"/>
      <c r="CS377" s="18"/>
      <c r="CT377" s="18"/>
      <c r="CU377" s="18"/>
    </row>
    <row r="378" spans="1:99">
      <c r="A378" s="19"/>
      <c r="B378" s="19"/>
      <c r="C378" s="19"/>
      <c r="D378" s="19"/>
      <c r="E378" s="19"/>
      <c r="F378" s="19"/>
      <c r="G378" s="19"/>
      <c r="H378" s="19"/>
      <c r="I378" s="19"/>
      <c r="J378" s="19"/>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8"/>
      <c r="BT378" s="18"/>
      <c r="BU378" s="18"/>
      <c r="BV378" s="18"/>
      <c r="BW378" s="18"/>
      <c r="BX378" s="18"/>
      <c r="BY378" s="18"/>
      <c r="BZ378" s="18"/>
      <c r="CA378" s="18"/>
      <c r="CB378" s="18"/>
      <c r="CC378" s="18"/>
      <c r="CD378" s="18"/>
      <c r="CE378" s="18"/>
      <c r="CF378" s="18"/>
      <c r="CG378" s="18"/>
      <c r="CH378" s="18"/>
      <c r="CI378" s="18"/>
      <c r="CJ378" s="18"/>
      <c r="CK378" s="18"/>
      <c r="CL378" s="18"/>
      <c r="CM378" s="18"/>
      <c r="CN378" s="18"/>
      <c r="CO378" s="18"/>
      <c r="CP378" s="18"/>
      <c r="CQ378" s="18"/>
      <c r="CR378" s="18"/>
      <c r="CS378" s="18"/>
      <c r="CT378" s="18"/>
      <c r="CU378" s="18"/>
    </row>
    <row r="379" spans="1:99">
      <c r="A379" s="19"/>
      <c r="B379" s="19"/>
      <c r="C379" s="19"/>
      <c r="D379" s="19"/>
      <c r="E379" s="19"/>
      <c r="F379" s="19"/>
      <c r="G379" s="19"/>
      <c r="H379" s="19"/>
      <c r="I379" s="19"/>
      <c r="J379" s="19"/>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8"/>
      <c r="BT379" s="18"/>
      <c r="BU379" s="18"/>
      <c r="BV379" s="18"/>
      <c r="BW379" s="18"/>
      <c r="BX379" s="18"/>
      <c r="BY379" s="18"/>
      <c r="BZ379" s="18"/>
      <c r="CA379" s="18"/>
      <c r="CB379" s="18"/>
      <c r="CC379" s="18"/>
      <c r="CD379" s="18"/>
      <c r="CE379" s="18"/>
      <c r="CF379" s="18"/>
      <c r="CG379" s="18"/>
      <c r="CH379" s="18"/>
      <c r="CI379" s="18"/>
      <c r="CJ379" s="18"/>
      <c r="CK379" s="18"/>
      <c r="CL379" s="18"/>
      <c r="CM379" s="18"/>
      <c r="CN379" s="18"/>
      <c r="CO379" s="18"/>
      <c r="CP379" s="18"/>
      <c r="CQ379" s="18"/>
      <c r="CR379" s="18"/>
      <c r="CS379" s="18"/>
      <c r="CT379" s="18"/>
      <c r="CU379" s="18"/>
    </row>
    <row r="380" spans="1:99">
      <c r="A380" s="19"/>
      <c r="B380" s="19"/>
      <c r="C380" s="19"/>
      <c r="D380" s="19"/>
      <c r="E380" s="19"/>
      <c r="F380" s="19"/>
      <c r="G380" s="19"/>
      <c r="H380" s="19"/>
      <c r="I380" s="19"/>
      <c r="J380" s="19"/>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8"/>
      <c r="BT380" s="18"/>
      <c r="BU380" s="18"/>
      <c r="BV380" s="18"/>
      <c r="BW380" s="18"/>
      <c r="BX380" s="18"/>
      <c r="BY380" s="18"/>
      <c r="BZ380" s="18"/>
      <c r="CA380" s="18"/>
      <c r="CB380" s="18"/>
      <c r="CC380" s="18"/>
      <c r="CD380" s="18"/>
      <c r="CE380" s="18"/>
      <c r="CF380" s="18"/>
      <c r="CG380" s="18"/>
      <c r="CH380" s="18"/>
      <c r="CI380" s="18"/>
      <c r="CJ380" s="18"/>
      <c r="CK380" s="18"/>
      <c r="CL380" s="18"/>
      <c r="CM380" s="18"/>
      <c r="CN380" s="18"/>
      <c r="CO380" s="18"/>
      <c r="CP380" s="18"/>
      <c r="CQ380" s="18"/>
      <c r="CR380" s="18"/>
      <c r="CS380" s="18"/>
      <c r="CT380" s="18"/>
      <c r="CU380" s="18"/>
    </row>
    <row r="381" spans="1:99">
      <c r="A381" s="19"/>
      <c r="B381" s="19"/>
      <c r="C381" s="19"/>
      <c r="D381" s="19"/>
      <c r="E381" s="19"/>
      <c r="F381" s="19"/>
      <c r="G381" s="19"/>
      <c r="H381" s="19"/>
      <c r="I381" s="19"/>
      <c r="J381" s="19"/>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8"/>
      <c r="BT381" s="18"/>
      <c r="BU381" s="18"/>
      <c r="BV381" s="18"/>
      <c r="BW381" s="18"/>
      <c r="BX381" s="18"/>
      <c r="BY381" s="18"/>
      <c r="BZ381" s="18"/>
      <c r="CA381" s="18"/>
      <c r="CB381" s="18"/>
      <c r="CC381" s="18"/>
      <c r="CD381" s="18"/>
      <c r="CE381" s="18"/>
      <c r="CF381" s="18"/>
      <c r="CG381" s="18"/>
      <c r="CH381" s="18"/>
      <c r="CI381" s="18"/>
      <c r="CJ381" s="18"/>
      <c r="CK381" s="18"/>
      <c r="CL381" s="18"/>
      <c r="CM381" s="18"/>
      <c r="CN381" s="18"/>
      <c r="CO381" s="18"/>
      <c r="CP381" s="18"/>
      <c r="CQ381" s="18"/>
      <c r="CR381" s="18"/>
      <c r="CS381" s="18"/>
      <c r="CT381" s="18"/>
      <c r="CU381" s="18"/>
    </row>
    <row r="382" spans="1:99">
      <c r="A382" s="19"/>
      <c r="B382" s="19"/>
      <c r="C382" s="19"/>
      <c r="D382" s="19"/>
      <c r="E382" s="19"/>
      <c r="F382" s="19"/>
      <c r="G382" s="19"/>
      <c r="H382" s="19"/>
      <c r="I382" s="19"/>
      <c r="J382" s="19"/>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8"/>
      <c r="BT382" s="18"/>
      <c r="BU382" s="18"/>
      <c r="BV382" s="18"/>
      <c r="BW382" s="18"/>
      <c r="BX382" s="18"/>
      <c r="BY382" s="18"/>
      <c r="BZ382" s="18"/>
      <c r="CA382" s="18"/>
      <c r="CB382" s="18"/>
      <c r="CC382" s="18"/>
      <c r="CD382" s="18"/>
      <c r="CE382" s="18"/>
      <c r="CF382" s="18"/>
      <c r="CG382" s="18"/>
      <c r="CH382" s="18"/>
      <c r="CI382" s="18"/>
      <c r="CJ382" s="18"/>
      <c r="CK382" s="18"/>
      <c r="CL382" s="18"/>
      <c r="CM382" s="18"/>
      <c r="CN382" s="18"/>
      <c r="CO382" s="18"/>
      <c r="CP382" s="18"/>
      <c r="CQ382" s="18"/>
      <c r="CR382" s="18"/>
      <c r="CS382" s="18"/>
      <c r="CT382" s="18"/>
      <c r="CU382" s="18"/>
    </row>
    <row r="383" spans="1:99">
      <c r="A383" s="19"/>
      <c r="B383" s="19"/>
      <c r="C383" s="19"/>
      <c r="D383" s="19"/>
      <c r="E383" s="19"/>
      <c r="F383" s="19"/>
      <c r="G383" s="19"/>
      <c r="H383" s="19"/>
      <c r="I383" s="19"/>
      <c r="J383" s="19"/>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8"/>
      <c r="BT383" s="18"/>
      <c r="BU383" s="18"/>
      <c r="BV383" s="18"/>
      <c r="BW383" s="18"/>
      <c r="BX383" s="18"/>
      <c r="BY383" s="18"/>
      <c r="BZ383" s="18"/>
      <c r="CA383" s="18"/>
      <c r="CB383" s="18"/>
      <c r="CC383" s="18"/>
      <c r="CD383" s="18"/>
      <c r="CE383" s="18"/>
      <c r="CF383" s="18"/>
      <c r="CG383" s="18"/>
      <c r="CH383" s="18"/>
      <c r="CI383" s="18"/>
      <c r="CJ383" s="18"/>
      <c r="CK383" s="18"/>
      <c r="CL383" s="18"/>
      <c r="CM383" s="18"/>
      <c r="CN383" s="18"/>
      <c r="CO383" s="18"/>
      <c r="CP383" s="18"/>
      <c r="CQ383" s="18"/>
      <c r="CR383" s="18"/>
      <c r="CS383" s="18"/>
      <c r="CT383" s="18"/>
      <c r="CU383" s="18"/>
    </row>
    <row r="384" spans="1:99">
      <c r="A384" s="19"/>
      <c r="B384" s="19"/>
      <c r="C384" s="19"/>
      <c r="D384" s="19"/>
      <c r="E384" s="19"/>
      <c r="F384" s="19"/>
      <c r="G384" s="19"/>
      <c r="H384" s="19"/>
      <c r="I384" s="19"/>
      <c r="J384" s="19"/>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8"/>
      <c r="BT384" s="18"/>
      <c r="BU384" s="18"/>
      <c r="BV384" s="18"/>
      <c r="BW384" s="18"/>
      <c r="BX384" s="18"/>
      <c r="BY384" s="18"/>
      <c r="BZ384" s="18"/>
      <c r="CA384" s="18"/>
      <c r="CB384" s="18"/>
      <c r="CC384" s="18"/>
      <c r="CD384" s="18"/>
      <c r="CE384" s="18"/>
      <c r="CF384" s="18"/>
      <c r="CG384" s="18"/>
      <c r="CH384" s="18"/>
      <c r="CI384" s="18"/>
      <c r="CJ384" s="18"/>
      <c r="CK384" s="18"/>
      <c r="CL384" s="18"/>
      <c r="CM384" s="18"/>
      <c r="CN384" s="18"/>
      <c r="CO384" s="18"/>
      <c r="CP384" s="18"/>
      <c r="CQ384" s="18"/>
      <c r="CR384" s="18"/>
      <c r="CS384" s="18"/>
      <c r="CT384" s="18"/>
      <c r="CU384" s="18"/>
    </row>
    <row r="385" spans="1:99">
      <c r="A385" s="19"/>
      <c r="B385" s="19"/>
      <c r="C385" s="19"/>
      <c r="D385" s="19"/>
      <c r="E385" s="19"/>
      <c r="F385" s="19"/>
      <c r="G385" s="19"/>
      <c r="H385" s="19"/>
      <c r="I385" s="19"/>
      <c r="J385" s="19"/>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8"/>
      <c r="BT385" s="18"/>
      <c r="BU385" s="18"/>
      <c r="BV385" s="18"/>
      <c r="BW385" s="18"/>
      <c r="BX385" s="18"/>
      <c r="BY385" s="18"/>
      <c r="BZ385" s="18"/>
      <c r="CA385" s="18"/>
      <c r="CB385" s="18"/>
      <c r="CC385" s="18"/>
      <c r="CD385" s="18"/>
      <c r="CE385" s="18"/>
      <c r="CF385" s="18"/>
      <c r="CG385" s="18"/>
      <c r="CH385" s="18"/>
      <c r="CI385" s="18"/>
      <c r="CJ385" s="18"/>
      <c r="CK385" s="18"/>
      <c r="CL385" s="18"/>
      <c r="CM385" s="18"/>
      <c r="CN385" s="18"/>
      <c r="CO385" s="18"/>
      <c r="CP385" s="18"/>
      <c r="CQ385" s="18"/>
      <c r="CR385" s="18"/>
      <c r="CS385" s="18"/>
      <c r="CT385" s="18"/>
      <c r="CU385" s="18"/>
    </row>
    <row r="386" spans="1:99">
      <c r="A386" s="19"/>
      <c r="B386" s="19"/>
      <c r="C386" s="19"/>
      <c r="D386" s="19"/>
      <c r="E386" s="19"/>
      <c r="F386" s="19"/>
      <c r="G386" s="19"/>
      <c r="H386" s="19"/>
      <c r="I386" s="19"/>
      <c r="J386" s="19"/>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8"/>
      <c r="BT386" s="18"/>
      <c r="BU386" s="18"/>
      <c r="BV386" s="18"/>
      <c r="BW386" s="18"/>
      <c r="BX386" s="18"/>
      <c r="BY386" s="18"/>
      <c r="BZ386" s="18"/>
      <c r="CA386" s="18"/>
      <c r="CB386" s="18"/>
      <c r="CC386" s="18"/>
      <c r="CD386" s="18"/>
      <c r="CE386" s="18"/>
      <c r="CF386" s="18"/>
      <c r="CG386" s="18"/>
      <c r="CH386" s="18"/>
      <c r="CI386" s="18"/>
      <c r="CJ386" s="18"/>
      <c r="CK386" s="18"/>
      <c r="CL386" s="18"/>
      <c r="CM386" s="18"/>
      <c r="CN386" s="18"/>
      <c r="CO386" s="18"/>
      <c r="CP386" s="18"/>
      <c r="CQ386" s="18"/>
      <c r="CR386" s="18"/>
      <c r="CS386" s="18"/>
      <c r="CT386" s="18"/>
      <c r="CU386" s="18"/>
    </row>
    <row r="387" spans="1:99">
      <c r="A387" s="19"/>
      <c r="B387" s="19"/>
      <c r="C387" s="19"/>
      <c r="D387" s="19"/>
      <c r="E387" s="19"/>
      <c r="F387" s="19"/>
      <c r="G387" s="19"/>
      <c r="H387" s="19"/>
      <c r="I387" s="19"/>
      <c r="J387" s="19"/>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8"/>
      <c r="BT387" s="18"/>
      <c r="BU387" s="18"/>
      <c r="BV387" s="18"/>
      <c r="BW387" s="18"/>
      <c r="BX387" s="18"/>
      <c r="BY387" s="18"/>
      <c r="BZ387" s="18"/>
      <c r="CA387" s="18"/>
      <c r="CB387" s="18"/>
      <c r="CC387" s="18"/>
      <c r="CD387" s="18"/>
      <c r="CE387" s="18"/>
      <c r="CF387" s="18"/>
      <c r="CG387" s="18"/>
      <c r="CH387" s="18"/>
      <c r="CI387" s="18"/>
      <c r="CJ387" s="18"/>
      <c r="CK387" s="18"/>
      <c r="CL387" s="18"/>
      <c r="CM387" s="18"/>
      <c r="CN387" s="18"/>
      <c r="CO387" s="18"/>
      <c r="CP387" s="18"/>
      <c r="CQ387" s="18"/>
      <c r="CR387" s="18"/>
      <c r="CS387" s="18"/>
      <c r="CT387" s="18"/>
      <c r="CU387" s="18"/>
    </row>
    <row r="388" spans="1:99">
      <c r="A388" s="19"/>
      <c r="B388" s="19"/>
      <c r="C388" s="19"/>
      <c r="D388" s="19"/>
      <c r="E388" s="19"/>
      <c r="F388" s="19"/>
      <c r="G388" s="19"/>
      <c r="H388" s="19"/>
      <c r="I388" s="19"/>
      <c r="J388" s="19"/>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8"/>
      <c r="BT388" s="18"/>
      <c r="BU388" s="18"/>
      <c r="BV388" s="18"/>
      <c r="BW388" s="18"/>
      <c r="BX388" s="18"/>
      <c r="BY388" s="18"/>
      <c r="BZ388" s="18"/>
      <c r="CA388" s="18"/>
      <c r="CB388" s="18"/>
      <c r="CC388" s="18"/>
      <c r="CD388" s="18"/>
      <c r="CE388" s="18"/>
      <c r="CF388" s="18"/>
      <c r="CG388" s="18"/>
      <c r="CH388" s="18"/>
      <c r="CI388" s="18"/>
      <c r="CJ388" s="18"/>
      <c r="CK388" s="18"/>
      <c r="CL388" s="18"/>
      <c r="CM388" s="18"/>
      <c r="CN388" s="18"/>
      <c r="CO388" s="18"/>
      <c r="CP388" s="18"/>
      <c r="CQ388" s="18"/>
      <c r="CR388" s="18"/>
      <c r="CS388" s="18"/>
      <c r="CT388" s="18"/>
      <c r="CU388" s="18"/>
    </row>
    <row r="389" spans="1:99">
      <c r="A389" s="19"/>
      <c r="B389" s="19"/>
      <c r="C389" s="19"/>
      <c r="D389" s="19"/>
      <c r="E389" s="19"/>
      <c r="F389" s="19"/>
      <c r="G389" s="19"/>
      <c r="H389" s="19"/>
      <c r="I389" s="19"/>
      <c r="J389" s="19"/>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8"/>
      <c r="BT389" s="18"/>
      <c r="BU389" s="18"/>
      <c r="BV389" s="18"/>
      <c r="BW389" s="18"/>
      <c r="BX389" s="18"/>
      <c r="BY389" s="18"/>
      <c r="BZ389" s="18"/>
      <c r="CA389" s="18"/>
      <c r="CB389" s="18"/>
      <c r="CC389" s="18"/>
      <c r="CD389" s="18"/>
      <c r="CE389" s="18"/>
      <c r="CF389" s="18"/>
      <c r="CG389" s="18"/>
      <c r="CH389" s="18"/>
      <c r="CI389" s="18"/>
      <c r="CJ389" s="18"/>
      <c r="CK389" s="18"/>
      <c r="CL389" s="18"/>
      <c r="CM389" s="18"/>
      <c r="CN389" s="18"/>
      <c r="CO389" s="18"/>
      <c r="CP389" s="18"/>
      <c r="CQ389" s="18"/>
      <c r="CR389" s="18"/>
      <c r="CS389" s="18"/>
      <c r="CT389" s="18"/>
      <c r="CU389" s="18"/>
    </row>
    <row r="390" spans="1:99">
      <c r="A390" s="19"/>
      <c r="B390" s="19"/>
      <c r="C390" s="19"/>
      <c r="D390" s="19"/>
      <c r="E390" s="19"/>
      <c r="F390" s="19"/>
      <c r="G390" s="19"/>
      <c r="H390" s="19"/>
      <c r="I390" s="19"/>
      <c r="J390" s="19"/>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8"/>
      <c r="BT390" s="18"/>
      <c r="BU390" s="18"/>
      <c r="BV390" s="18"/>
      <c r="BW390" s="18"/>
      <c r="BX390" s="18"/>
      <c r="BY390" s="18"/>
      <c r="BZ390" s="18"/>
      <c r="CA390" s="18"/>
      <c r="CB390" s="18"/>
      <c r="CC390" s="18"/>
      <c r="CD390" s="18"/>
      <c r="CE390" s="18"/>
      <c r="CF390" s="18"/>
      <c r="CG390" s="18"/>
      <c r="CH390" s="18"/>
      <c r="CI390" s="18"/>
      <c r="CJ390" s="18"/>
      <c r="CK390" s="18"/>
      <c r="CL390" s="18"/>
      <c r="CM390" s="18"/>
      <c r="CN390" s="18"/>
      <c r="CO390" s="18"/>
      <c r="CP390" s="18"/>
      <c r="CQ390" s="18"/>
      <c r="CR390" s="18"/>
      <c r="CS390" s="18"/>
      <c r="CT390" s="18"/>
      <c r="CU390" s="18"/>
    </row>
    <row r="391" spans="1:99">
      <c r="A391" s="19"/>
      <c r="B391" s="19"/>
      <c r="C391" s="19"/>
      <c r="D391" s="19"/>
      <c r="E391" s="19"/>
      <c r="F391" s="19"/>
      <c r="G391" s="19"/>
      <c r="H391" s="19"/>
      <c r="I391" s="19"/>
      <c r="J391" s="19"/>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8"/>
      <c r="BT391" s="18"/>
      <c r="BU391" s="18"/>
      <c r="BV391" s="18"/>
      <c r="BW391" s="18"/>
      <c r="BX391" s="18"/>
      <c r="BY391" s="18"/>
      <c r="BZ391" s="18"/>
      <c r="CA391" s="18"/>
      <c r="CB391" s="18"/>
      <c r="CC391" s="18"/>
      <c r="CD391" s="18"/>
      <c r="CE391" s="18"/>
      <c r="CF391" s="18"/>
      <c r="CG391" s="18"/>
      <c r="CH391" s="18"/>
      <c r="CI391" s="18"/>
      <c r="CJ391" s="18"/>
      <c r="CK391" s="18"/>
      <c r="CL391" s="18"/>
      <c r="CM391" s="18"/>
      <c r="CN391" s="18"/>
      <c r="CO391" s="18"/>
      <c r="CP391" s="18"/>
      <c r="CQ391" s="18"/>
      <c r="CR391" s="18"/>
      <c r="CS391" s="18"/>
      <c r="CT391" s="18"/>
      <c r="CU391" s="18"/>
    </row>
    <row r="392" spans="1:99">
      <c r="A392" s="19"/>
      <c r="B392" s="19"/>
      <c r="C392" s="19"/>
      <c r="D392" s="19"/>
      <c r="E392" s="19"/>
      <c r="F392" s="19"/>
      <c r="G392" s="19"/>
      <c r="H392" s="19"/>
      <c r="I392" s="19"/>
      <c r="J392" s="19"/>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8"/>
      <c r="BT392" s="18"/>
      <c r="BU392" s="18"/>
      <c r="BV392" s="18"/>
      <c r="BW392" s="18"/>
      <c r="BX392" s="18"/>
      <c r="BY392" s="18"/>
      <c r="BZ392" s="18"/>
      <c r="CA392" s="18"/>
      <c r="CB392" s="18"/>
      <c r="CC392" s="18"/>
      <c r="CD392" s="18"/>
      <c r="CE392" s="18"/>
      <c r="CF392" s="18"/>
      <c r="CG392" s="18"/>
      <c r="CH392" s="18"/>
      <c r="CI392" s="18"/>
      <c r="CJ392" s="18"/>
      <c r="CK392" s="18"/>
      <c r="CL392" s="18"/>
      <c r="CM392" s="18"/>
      <c r="CN392" s="18"/>
      <c r="CO392" s="18"/>
      <c r="CP392" s="18"/>
      <c r="CQ392" s="18"/>
      <c r="CR392" s="18"/>
      <c r="CS392" s="18"/>
      <c r="CT392" s="18"/>
      <c r="CU392" s="18"/>
    </row>
    <row r="393" spans="1:99">
      <c r="A393" s="19"/>
      <c r="B393" s="19"/>
      <c r="C393" s="19"/>
      <c r="D393" s="19"/>
      <c r="E393" s="19"/>
      <c r="F393" s="19"/>
      <c r="G393" s="19"/>
      <c r="H393" s="19"/>
      <c r="I393" s="19"/>
      <c r="J393" s="19"/>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8"/>
      <c r="BT393" s="18"/>
      <c r="BU393" s="18"/>
      <c r="BV393" s="18"/>
      <c r="BW393" s="18"/>
      <c r="BX393" s="18"/>
      <c r="BY393" s="18"/>
      <c r="BZ393" s="18"/>
      <c r="CA393" s="18"/>
      <c r="CB393" s="18"/>
      <c r="CC393" s="18"/>
      <c r="CD393" s="18"/>
      <c r="CE393" s="18"/>
      <c r="CF393" s="18"/>
      <c r="CG393" s="18"/>
      <c r="CH393" s="18"/>
      <c r="CI393" s="18"/>
      <c r="CJ393" s="18"/>
      <c r="CK393" s="18"/>
      <c r="CL393" s="18"/>
      <c r="CM393" s="18"/>
      <c r="CN393" s="18"/>
      <c r="CO393" s="18"/>
      <c r="CP393" s="18"/>
      <c r="CQ393" s="18"/>
      <c r="CR393" s="18"/>
      <c r="CS393" s="18"/>
      <c r="CT393" s="18"/>
      <c r="CU393" s="18"/>
    </row>
    <row r="394" spans="1:99">
      <c r="A394" s="19"/>
      <c r="B394" s="19"/>
      <c r="C394" s="19"/>
      <c r="D394" s="19"/>
      <c r="E394" s="19"/>
      <c r="F394" s="19"/>
      <c r="G394" s="19"/>
      <c r="H394" s="19"/>
      <c r="I394" s="19"/>
      <c r="J394" s="19"/>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8"/>
      <c r="BT394" s="18"/>
      <c r="BU394" s="18"/>
      <c r="BV394" s="18"/>
      <c r="BW394" s="18"/>
      <c r="BX394" s="18"/>
      <c r="BY394" s="18"/>
      <c r="BZ394" s="18"/>
      <c r="CA394" s="18"/>
      <c r="CB394" s="18"/>
      <c r="CC394" s="18"/>
      <c r="CD394" s="18"/>
      <c r="CE394" s="18"/>
      <c r="CF394" s="18"/>
      <c r="CG394" s="18"/>
      <c r="CH394" s="18"/>
      <c r="CI394" s="18"/>
      <c r="CJ394" s="18"/>
      <c r="CK394" s="18"/>
      <c r="CL394" s="18"/>
      <c r="CM394" s="18"/>
      <c r="CN394" s="18"/>
      <c r="CO394" s="18"/>
      <c r="CP394" s="18"/>
      <c r="CQ394" s="18"/>
      <c r="CR394" s="18"/>
      <c r="CS394" s="18"/>
      <c r="CT394" s="18"/>
      <c r="CU394" s="18"/>
    </row>
    <row r="395" spans="1:99">
      <c r="A395" s="19"/>
      <c r="B395" s="19"/>
      <c r="C395" s="19"/>
      <c r="D395" s="19"/>
      <c r="E395" s="19"/>
      <c r="F395" s="19"/>
      <c r="G395" s="19"/>
      <c r="H395" s="19"/>
      <c r="I395" s="19"/>
      <c r="J395" s="19"/>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8"/>
      <c r="BT395" s="18"/>
      <c r="BU395" s="18"/>
      <c r="BV395" s="18"/>
      <c r="BW395" s="18"/>
      <c r="BX395" s="18"/>
      <c r="BY395" s="18"/>
      <c r="BZ395" s="18"/>
      <c r="CA395" s="18"/>
      <c r="CB395" s="18"/>
      <c r="CC395" s="18"/>
      <c r="CD395" s="18"/>
      <c r="CE395" s="18"/>
      <c r="CF395" s="18"/>
      <c r="CG395" s="18"/>
      <c r="CH395" s="18"/>
      <c r="CI395" s="18"/>
      <c r="CJ395" s="18"/>
      <c r="CK395" s="18"/>
      <c r="CL395" s="18"/>
      <c r="CM395" s="18"/>
      <c r="CN395" s="18"/>
      <c r="CO395" s="18"/>
      <c r="CP395" s="18"/>
      <c r="CQ395" s="18"/>
      <c r="CR395" s="18"/>
      <c r="CS395" s="18"/>
      <c r="CT395" s="18"/>
      <c r="CU395" s="18"/>
    </row>
    <row r="396" spans="1:99">
      <c r="A396" s="19"/>
      <c r="B396" s="19"/>
      <c r="C396" s="19"/>
      <c r="D396" s="19"/>
      <c r="E396" s="19"/>
      <c r="F396" s="19"/>
      <c r="G396" s="19"/>
      <c r="H396" s="19"/>
      <c r="I396" s="19"/>
      <c r="J396" s="19"/>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8"/>
      <c r="BT396" s="18"/>
      <c r="BU396" s="18"/>
      <c r="BV396" s="18"/>
      <c r="BW396" s="18"/>
      <c r="BX396" s="18"/>
      <c r="BY396" s="18"/>
      <c r="BZ396" s="18"/>
      <c r="CA396" s="18"/>
      <c r="CB396" s="18"/>
      <c r="CC396" s="18"/>
      <c r="CD396" s="18"/>
      <c r="CE396" s="18"/>
      <c r="CF396" s="18"/>
      <c r="CG396" s="18"/>
      <c r="CH396" s="18"/>
      <c r="CI396" s="18"/>
      <c r="CJ396" s="18"/>
      <c r="CK396" s="18"/>
      <c r="CL396" s="18"/>
      <c r="CM396" s="18"/>
      <c r="CN396" s="18"/>
      <c r="CO396" s="18"/>
      <c r="CP396" s="18"/>
      <c r="CQ396" s="18"/>
      <c r="CR396" s="18"/>
      <c r="CS396" s="18"/>
      <c r="CT396" s="18"/>
      <c r="CU396" s="18"/>
    </row>
    <row r="397" spans="1:99">
      <c r="A397" s="19"/>
      <c r="B397" s="19"/>
      <c r="C397" s="19"/>
      <c r="D397" s="19"/>
      <c r="E397" s="19"/>
      <c r="F397" s="19"/>
      <c r="G397" s="19"/>
      <c r="H397" s="19"/>
      <c r="I397" s="19"/>
      <c r="J397" s="19"/>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8"/>
      <c r="BT397" s="18"/>
      <c r="BU397" s="18"/>
      <c r="BV397" s="18"/>
      <c r="BW397" s="18"/>
      <c r="BX397" s="18"/>
      <c r="BY397" s="18"/>
      <c r="BZ397" s="18"/>
      <c r="CA397" s="18"/>
      <c r="CB397" s="18"/>
      <c r="CC397" s="18"/>
      <c r="CD397" s="18"/>
      <c r="CE397" s="18"/>
      <c r="CF397" s="18"/>
      <c r="CG397" s="18"/>
      <c r="CH397" s="18"/>
      <c r="CI397" s="18"/>
      <c r="CJ397" s="18"/>
      <c r="CK397" s="18"/>
      <c r="CL397" s="18"/>
      <c r="CM397" s="18"/>
      <c r="CN397" s="18"/>
      <c r="CO397" s="18"/>
      <c r="CP397" s="18"/>
      <c r="CQ397" s="18"/>
      <c r="CR397" s="18"/>
      <c r="CS397" s="18"/>
      <c r="CT397" s="18"/>
      <c r="CU397" s="18"/>
    </row>
    <row r="398" spans="1:99">
      <c r="A398" s="19"/>
      <c r="B398" s="19"/>
      <c r="C398" s="19"/>
      <c r="D398" s="19"/>
      <c r="E398" s="19"/>
      <c r="F398" s="19"/>
      <c r="G398" s="19"/>
      <c r="H398" s="19"/>
      <c r="I398" s="19"/>
      <c r="J398" s="19"/>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8"/>
      <c r="BT398" s="18"/>
      <c r="BU398" s="18"/>
      <c r="BV398" s="18"/>
      <c r="BW398" s="18"/>
      <c r="BX398" s="18"/>
      <c r="BY398" s="18"/>
      <c r="BZ398" s="18"/>
      <c r="CA398" s="18"/>
      <c r="CB398" s="18"/>
      <c r="CC398" s="18"/>
      <c r="CD398" s="18"/>
      <c r="CE398" s="18"/>
      <c r="CF398" s="18"/>
      <c r="CG398" s="18"/>
      <c r="CH398" s="18"/>
      <c r="CI398" s="18"/>
      <c r="CJ398" s="18"/>
      <c r="CK398" s="18"/>
      <c r="CL398" s="18"/>
      <c r="CM398" s="18"/>
      <c r="CN398" s="18"/>
      <c r="CO398" s="18"/>
      <c r="CP398" s="18"/>
      <c r="CQ398" s="18"/>
      <c r="CR398" s="18"/>
      <c r="CS398" s="18"/>
      <c r="CT398" s="18"/>
      <c r="CU398" s="18"/>
    </row>
    <row r="399" spans="1:99">
      <c r="A399" s="19"/>
      <c r="B399" s="19"/>
      <c r="C399" s="19"/>
      <c r="D399" s="19"/>
      <c r="E399" s="19"/>
      <c r="F399" s="19"/>
      <c r="G399" s="19"/>
      <c r="H399" s="19"/>
      <c r="I399" s="19"/>
      <c r="J399" s="19"/>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8"/>
      <c r="BT399" s="18"/>
      <c r="BU399" s="18"/>
      <c r="BV399" s="18"/>
      <c r="BW399" s="18"/>
      <c r="BX399" s="18"/>
      <c r="BY399" s="18"/>
      <c r="BZ399" s="18"/>
      <c r="CA399" s="18"/>
      <c r="CB399" s="18"/>
      <c r="CC399" s="18"/>
      <c r="CD399" s="18"/>
      <c r="CE399" s="18"/>
      <c r="CF399" s="18"/>
      <c r="CG399" s="18"/>
      <c r="CH399" s="18"/>
      <c r="CI399" s="18"/>
      <c r="CJ399" s="18"/>
      <c r="CK399" s="18"/>
      <c r="CL399" s="18"/>
      <c r="CM399" s="18"/>
      <c r="CN399" s="18"/>
      <c r="CO399" s="18"/>
      <c r="CP399" s="18"/>
      <c r="CQ399" s="18"/>
      <c r="CR399" s="18"/>
      <c r="CS399" s="18"/>
      <c r="CT399" s="18"/>
      <c r="CU399" s="18"/>
    </row>
    <row r="400" spans="1:99">
      <c r="A400" s="19"/>
      <c r="B400" s="19"/>
      <c r="C400" s="19"/>
      <c r="D400" s="19"/>
      <c r="E400" s="19"/>
      <c r="F400" s="19"/>
      <c r="G400" s="19"/>
      <c r="H400" s="19"/>
      <c r="I400" s="19"/>
      <c r="J400" s="19"/>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8"/>
      <c r="BT400" s="18"/>
      <c r="BU400" s="18"/>
      <c r="BV400" s="18"/>
      <c r="BW400" s="18"/>
      <c r="BX400" s="18"/>
      <c r="BY400" s="18"/>
      <c r="BZ400" s="18"/>
      <c r="CA400" s="18"/>
      <c r="CB400" s="18"/>
      <c r="CC400" s="18"/>
      <c r="CD400" s="18"/>
      <c r="CE400" s="18"/>
      <c r="CF400" s="18"/>
      <c r="CG400" s="18"/>
      <c r="CH400" s="18"/>
      <c r="CI400" s="18"/>
      <c r="CJ400" s="18"/>
      <c r="CK400" s="18"/>
      <c r="CL400" s="18"/>
      <c r="CM400" s="18"/>
      <c r="CN400" s="18"/>
      <c r="CO400" s="18"/>
      <c r="CP400" s="18"/>
      <c r="CQ400" s="18"/>
      <c r="CR400" s="18"/>
      <c r="CS400" s="18"/>
      <c r="CT400" s="18"/>
      <c r="CU400" s="18"/>
    </row>
    <row r="401" spans="1:99">
      <c r="A401" s="19"/>
      <c r="B401" s="19"/>
      <c r="C401" s="19"/>
      <c r="D401" s="19"/>
      <c r="E401" s="19"/>
      <c r="F401" s="19"/>
      <c r="G401" s="19"/>
      <c r="H401" s="19"/>
      <c r="I401" s="19"/>
      <c r="J401" s="19"/>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8"/>
      <c r="BT401" s="18"/>
      <c r="BU401" s="18"/>
      <c r="BV401" s="18"/>
      <c r="BW401" s="18"/>
      <c r="BX401" s="18"/>
      <c r="BY401" s="18"/>
      <c r="BZ401" s="18"/>
      <c r="CA401" s="18"/>
      <c r="CB401" s="18"/>
      <c r="CC401" s="18"/>
      <c r="CD401" s="18"/>
      <c r="CE401" s="18"/>
      <c r="CF401" s="18"/>
      <c r="CG401" s="18"/>
      <c r="CH401" s="18"/>
      <c r="CI401" s="18"/>
      <c r="CJ401" s="18"/>
      <c r="CK401" s="18"/>
      <c r="CL401" s="18"/>
      <c r="CM401" s="18"/>
      <c r="CN401" s="18"/>
      <c r="CO401" s="18"/>
      <c r="CP401" s="18"/>
      <c r="CQ401" s="18"/>
      <c r="CR401" s="18"/>
      <c r="CS401" s="18"/>
      <c r="CT401" s="18"/>
      <c r="CU401" s="18"/>
    </row>
    <row r="402" spans="1:99">
      <c r="A402" s="19"/>
      <c r="B402" s="19"/>
      <c r="C402" s="19"/>
      <c r="D402" s="19"/>
      <c r="E402" s="19"/>
      <c r="F402" s="19"/>
      <c r="G402" s="19"/>
      <c r="H402" s="19"/>
      <c r="I402" s="19"/>
      <c r="J402" s="19"/>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8"/>
      <c r="BT402" s="18"/>
      <c r="BU402" s="18"/>
      <c r="BV402" s="18"/>
      <c r="BW402" s="18"/>
      <c r="BX402" s="18"/>
      <c r="BY402" s="18"/>
      <c r="BZ402" s="18"/>
      <c r="CA402" s="18"/>
      <c r="CB402" s="18"/>
      <c r="CC402" s="18"/>
      <c r="CD402" s="18"/>
      <c r="CE402" s="18"/>
      <c r="CF402" s="18"/>
      <c r="CG402" s="18"/>
      <c r="CH402" s="18"/>
      <c r="CI402" s="18"/>
      <c r="CJ402" s="18"/>
      <c r="CK402" s="18"/>
      <c r="CL402" s="18"/>
      <c r="CM402" s="18"/>
      <c r="CN402" s="18"/>
      <c r="CO402" s="18"/>
      <c r="CP402" s="18"/>
      <c r="CQ402" s="18"/>
      <c r="CR402" s="18"/>
      <c r="CS402" s="18"/>
      <c r="CT402" s="18"/>
      <c r="CU402" s="18"/>
    </row>
    <row r="403" spans="1:99">
      <c r="A403" s="19"/>
      <c r="B403" s="19"/>
      <c r="C403" s="19"/>
      <c r="D403" s="19"/>
      <c r="E403" s="19"/>
      <c r="F403" s="19"/>
      <c r="G403" s="19"/>
      <c r="H403" s="19"/>
      <c r="I403" s="19"/>
      <c r="J403" s="19"/>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8"/>
      <c r="BT403" s="18"/>
      <c r="BU403" s="18"/>
      <c r="BV403" s="18"/>
      <c r="BW403" s="18"/>
      <c r="BX403" s="18"/>
      <c r="BY403" s="18"/>
      <c r="BZ403" s="18"/>
      <c r="CA403" s="18"/>
      <c r="CB403" s="18"/>
      <c r="CC403" s="18"/>
      <c r="CD403" s="18"/>
      <c r="CE403" s="18"/>
      <c r="CF403" s="18"/>
      <c r="CG403" s="18"/>
      <c r="CH403" s="18"/>
      <c r="CI403" s="18"/>
      <c r="CJ403" s="18"/>
      <c r="CK403" s="18"/>
      <c r="CL403" s="18"/>
      <c r="CM403" s="18"/>
      <c r="CN403" s="18"/>
      <c r="CO403" s="18"/>
      <c r="CP403" s="18"/>
      <c r="CQ403" s="18"/>
      <c r="CR403" s="18"/>
      <c r="CS403" s="18"/>
      <c r="CT403" s="18"/>
      <c r="CU403" s="18"/>
    </row>
    <row r="404" spans="1:99">
      <c r="A404" s="19"/>
      <c r="B404" s="19"/>
      <c r="C404" s="19"/>
      <c r="D404" s="19"/>
      <c r="E404" s="19"/>
      <c r="F404" s="19"/>
      <c r="G404" s="19"/>
      <c r="H404" s="19"/>
      <c r="I404" s="19"/>
      <c r="J404" s="19"/>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8"/>
      <c r="BT404" s="18"/>
      <c r="BU404" s="18"/>
      <c r="BV404" s="18"/>
      <c r="BW404" s="18"/>
      <c r="BX404" s="18"/>
      <c r="BY404" s="18"/>
      <c r="BZ404" s="18"/>
      <c r="CA404" s="18"/>
      <c r="CB404" s="18"/>
      <c r="CC404" s="18"/>
      <c r="CD404" s="18"/>
      <c r="CE404" s="18"/>
      <c r="CF404" s="18"/>
      <c r="CG404" s="18"/>
      <c r="CH404" s="18"/>
      <c r="CI404" s="18"/>
      <c r="CJ404" s="18"/>
      <c r="CK404" s="18"/>
      <c r="CL404" s="18"/>
      <c r="CM404" s="18"/>
      <c r="CN404" s="18"/>
      <c r="CO404" s="18"/>
      <c r="CP404" s="18"/>
      <c r="CQ404" s="18"/>
      <c r="CR404" s="18"/>
      <c r="CS404" s="18"/>
      <c r="CT404" s="18"/>
      <c r="CU404" s="18"/>
    </row>
    <row r="405" spans="1:99">
      <c r="A405" s="19"/>
      <c r="B405" s="19"/>
      <c r="C405" s="19"/>
      <c r="D405" s="19"/>
      <c r="E405" s="19"/>
      <c r="F405" s="19"/>
      <c r="G405" s="19"/>
      <c r="H405" s="19"/>
      <c r="I405" s="19"/>
      <c r="J405" s="19"/>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c r="BW405" s="18"/>
      <c r="BX405" s="18"/>
      <c r="BY405" s="18"/>
      <c r="BZ405" s="18"/>
      <c r="CA405" s="18"/>
      <c r="CB405" s="18"/>
      <c r="CC405" s="18"/>
      <c r="CD405" s="18"/>
      <c r="CE405" s="18"/>
      <c r="CF405" s="18"/>
      <c r="CG405" s="18"/>
      <c r="CH405" s="18"/>
      <c r="CI405" s="18"/>
      <c r="CJ405" s="18"/>
      <c r="CK405" s="18"/>
      <c r="CL405" s="18"/>
      <c r="CM405" s="18"/>
      <c r="CN405" s="18"/>
      <c r="CO405" s="18"/>
      <c r="CP405" s="18"/>
      <c r="CQ405" s="18"/>
      <c r="CR405" s="18"/>
      <c r="CS405" s="18"/>
      <c r="CT405" s="18"/>
      <c r="CU405" s="18"/>
    </row>
    <row r="406" spans="1:99">
      <c r="A406" s="19"/>
      <c r="B406" s="19"/>
      <c r="C406" s="19"/>
      <c r="D406" s="19"/>
      <c r="E406" s="19"/>
      <c r="F406" s="19"/>
      <c r="G406" s="19"/>
      <c r="H406" s="19"/>
      <c r="I406" s="19"/>
      <c r="J406" s="19"/>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8"/>
      <c r="BT406" s="18"/>
      <c r="BU406" s="18"/>
      <c r="BV406" s="18"/>
      <c r="BW406" s="18"/>
      <c r="BX406" s="18"/>
      <c r="BY406" s="18"/>
      <c r="BZ406" s="18"/>
      <c r="CA406" s="18"/>
      <c r="CB406" s="18"/>
      <c r="CC406" s="18"/>
      <c r="CD406" s="18"/>
      <c r="CE406" s="18"/>
      <c r="CF406" s="18"/>
      <c r="CG406" s="18"/>
      <c r="CH406" s="18"/>
      <c r="CI406" s="18"/>
      <c r="CJ406" s="18"/>
      <c r="CK406" s="18"/>
      <c r="CL406" s="18"/>
      <c r="CM406" s="18"/>
      <c r="CN406" s="18"/>
      <c r="CO406" s="18"/>
      <c r="CP406" s="18"/>
      <c r="CQ406" s="18"/>
      <c r="CR406" s="18"/>
      <c r="CS406" s="18"/>
      <c r="CT406" s="18"/>
      <c r="CU406" s="18"/>
    </row>
    <row r="407" spans="1:99">
      <c r="A407" s="19"/>
      <c r="B407" s="19"/>
      <c r="C407" s="19"/>
      <c r="D407" s="19"/>
      <c r="E407" s="19"/>
      <c r="F407" s="19"/>
      <c r="G407" s="19"/>
      <c r="H407" s="19"/>
      <c r="I407" s="19"/>
      <c r="J407" s="19"/>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8"/>
      <c r="BT407" s="18"/>
      <c r="BU407" s="18"/>
      <c r="BV407" s="18"/>
      <c r="BW407" s="18"/>
      <c r="BX407" s="18"/>
      <c r="BY407" s="18"/>
      <c r="BZ407" s="18"/>
      <c r="CA407" s="18"/>
      <c r="CB407" s="18"/>
      <c r="CC407" s="18"/>
      <c r="CD407" s="18"/>
      <c r="CE407" s="18"/>
      <c r="CF407" s="18"/>
      <c r="CG407" s="18"/>
      <c r="CH407" s="18"/>
      <c r="CI407" s="18"/>
      <c r="CJ407" s="18"/>
      <c r="CK407" s="18"/>
      <c r="CL407" s="18"/>
      <c r="CM407" s="18"/>
      <c r="CN407" s="18"/>
      <c r="CO407" s="18"/>
      <c r="CP407" s="18"/>
      <c r="CQ407" s="18"/>
      <c r="CR407" s="18"/>
      <c r="CS407" s="18"/>
      <c r="CT407" s="18"/>
      <c r="CU407" s="18"/>
    </row>
    <row r="408" spans="1:99">
      <c r="A408" s="19"/>
      <c r="B408" s="19"/>
      <c r="C408" s="19"/>
      <c r="D408" s="19"/>
      <c r="E408" s="19"/>
      <c r="F408" s="19"/>
      <c r="G408" s="19"/>
      <c r="H408" s="19"/>
      <c r="I408" s="19"/>
      <c r="J408" s="19"/>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8"/>
      <c r="BT408" s="18"/>
      <c r="BU408" s="18"/>
      <c r="BV408" s="18"/>
      <c r="BW408" s="18"/>
      <c r="BX408" s="18"/>
      <c r="BY408" s="18"/>
      <c r="BZ408" s="18"/>
      <c r="CA408" s="18"/>
      <c r="CB408" s="18"/>
      <c r="CC408" s="18"/>
      <c r="CD408" s="18"/>
      <c r="CE408" s="18"/>
      <c r="CF408" s="18"/>
      <c r="CG408" s="18"/>
      <c r="CH408" s="18"/>
      <c r="CI408" s="18"/>
      <c r="CJ408" s="18"/>
      <c r="CK408" s="18"/>
      <c r="CL408" s="18"/>
      <c r="CM408" s="18"/>
      <c r="CN408" s="18"/>
      <c r="CO408" s="18"/>
      <c r="CP408" s="18"/>
      <c r="CQ408" s="18"/>
      <c r="CR408" s="18"/>
      <c r="CS408" s="18"/>
      <c r="CT408" s="18"/>
      <c r="CU408" s="18"/>
    </row>
    <row r="409" spans="1:99">
      <c r="A409" s="19"/>
      <c r="B409" s="19"/>
      <c r="C409" s="19"/>
      <c r="D409" s="19"/>
      <c r="E409" s="19"/>
      <c r="F409" s="19"/>
      <c r="G409" s="19"/>
      <c r="H409" s="19"/>
      <c r="I409" s="19"/>
      <c r="J409" s="19"/>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8"/>
      <c r="BT409" s="18"/>
      <c r="BU409" s="18"/>
      <c r="BV409" s="18"/>
      <c r="BW409" s="18"/>
      <c r="BX409" s="18"/>
      <c r="BY409" s="18"/>
      <c r="BZ409" s="18"/>
      <c r="CA409" s="18"/>
      <c r="CB409" s="18"/>
      <c r="CC409" s="18"/>
      <c r="CD409" s="18"/>
      <c r="CE409" s="18"/>
      <c r="CF409" s="18"/>
      <c r="CG409" s="18"/>
      <c r="CH409" s="18"/>
      <c r="CI409" s="18"/>
      <c r="CJ409" s="18"/>
      <c r="CK409" s="18"/>
      <c r="CL409" s="18"/>
      <c r="CM409" s="18"/>
      <c r="CN409" s="18"/>
      <c r="CO409" s="18"/>
      <c r="CP409" s="18"/>
      <c r="CQ409" s="18"/>
      <c r="CR409" s="18"/>
      <c r="CS409" s="18"/>
      <c r="CT409" s="18"/>
      <c r="CU409" s="18"/>
    </row>
    <row r="410" spans="1:99">
      <c r="A410" s="19"/>
      <c r="B410" s="19"/>
      <c r="C410" s="19"/>
      <c r="D410" s="19"/>
      <c r="E410" s="19"/>
      <c r="F410" s="19"/>
      <c r="G410" s="19"/>
      <c r="H410" s="19"/>
      <c r="I410" s="19"/>
      <c r="J410" s="19"/>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8"/>
      <c r="BT410" s="18"/>
      <c r="BU410" s="18"/>
      <c r="BV410" s="18"/>
      <c r="BW410" s="18"/>
      <c r="BX410" s="18"/>
      <c r="BY410" s="18"/>
      <c r="BZ410" s="18"/>
      <c r="CA410" s="18"/>
      <c r="CB410" s="18"/>
      <c r="CC410" s="18"/>
      <c r="CD410" s="18"/>
      <c r="CE410" s="18"/>
      <c r="CF410" s="18"/>
      <c r="CG410" s="18"/>
      <c r="CH410" s="18"/>
      <c r="CI410" s="18"/>
      <c r="CJ410" s="18"/>
      <c r="CK410" s="18"/>
      <c r="CL410" s="18"/>
      <c r="CM410" s="18"/>
      <c r="CN410" s="18"/>
      <c r="CO410" s="18"/>
      <c r="CP410" s="18"/>
      <c r="CQ410" s="18"/>
      <c r="CR410" s="18"/>
      <c r="CS410" s="18"/>
      <c r="CT410" s="18"/>
      <c r="CU410" s="18"/>
    </row>
    <row r="411" spans="1:99">
      <c r="A411" s="19"/>
      <c r="B411" s="19"/>
      <c r="C411" s="19"/>
      <c r="D411" s="19"/>
      <c r="E411" s="19"/>
      <c r="F411" s="19"/>
      <c r="G411" s="19"/>
      <c r="H411" s="19"/>
      <c r="I411" s="19"/>
      <c r="J411" s="19"/>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8"/>
      <c r="BT411" s="18"/>
      <c r="BU411" s="18"/>
      <c r="BV411" s="18"/>
      <c r="BW411" s="18"/>
      <c r="BX411" s="18"/>
      <c r="BY411" s="18"/>
      <c r="BZ411" s="18"/>
      <c r="CA411" s="18"/>
      <c r="CB411" s="18"/>
      <c r="CC411" s="18"/>
      <c r="CD411" s="18"/>
      <c r="CE411" s="18"/>
      <c r="CF411" s="18"/>
      <c r="CG411" s="18"/>
      <c r="CH411" s="18"/>
      <c r="CI411" s="18"/>
      <c r="CJ411" s="18"/>
      <c r="CK411" s="18"/>
      <c r="CL411" s="18"/>
      <c r="CM411" s="18"/>
      <c r="CN411" s="18"/>
      <c r="CO411" s="18"/>
      <c r="CP411" s="18"/>
      <c r="CQ411" s="18"/>
      <c r="CR411" s="18"/>
      <c r="CS411" s="18"/>
      <c r="CT411" s="18"/>
      <c r="CU411" s="18"/>
    </row>
    <row r="412" spans="1:99">
      <c r="A412" s="19"/>
      <c r="B412" s="19"/>
      <c r="C412" s="19"/>
      <c r="D412" s="19"/>
      <c r="E412" s="19"/>
      <c r="F412" s="19"/>
      <c r="G412" s="19"/>
      <c r="H412" s="19"/>
      <c r="I412" s="19"/>
      <c r="J412" s="19"/>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8"/>
      <c r="BT412" s="18"/>
      <c r="BU412" s="18"/>
      <c r="BV412" s="18"/>
      <c r="BW412" s="18"/>
      <c r="BX412" s="18"/>
      <c r="BY412" s="18"/>
      <c r="BZ412" s="18"/>
      <c r="CA412" s="18"/>
      <c r="CB412" s="18"/>
      <c r="CC412" s="18"/>
      <c r="CD412" s="18"/>
      <c r="CE412" s="18"/>
      <c r="CF412" s="18"/>
      <c r="CG412" s="18"/>
      <c r="CH412" s="18"/>
      <c r="CI412" s="18"/>
      <c r="CJ412" s="18"/>
      <c r="CK412" s="18"/>
      <c r="CL412" s="18"/>
      <c r="CM412" s="18"/>
      <c r="CN412" s="18"/>
      <c r="CO412" s="18"/>
      <c r="CP412" s="18"/>
      <c r="CQ412" s="18"/>
      <c r="CR412" s="18"/>
      <c r="CS412" s="18"/>
      <c r="CT412" s="18"/>
      <c r="CU412" s="18"/>
    </row>
    <row r="413" spans="1:99">
      <c r="A413" s="19"/>
      <c r="B413" s="19"/>
      <c r="C413" s="19"/>
      <c r="D413" s="19"/>
      <c r="E413" s="19"/>
      <c r="F413" s="19"/>
      <c r="G413" s="19"/>
      <c r="H413" s="19"/>
      <c r="I413" s="19"/>
      <c r="J413" s="19"/>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8"/>
      <c r="BT413" s="18"/>
      <c r="BU413" s="18"/>
      <c r="BV413" s="18"/>
      <c r="BW413" s="18"/>
      <c r="BX413" s="18"/>
      <c r="BY413" s="18"/>
      <c r="BZ413" s="18"/>
      <c r="CA413" s="18"/>
      <c r="CB413" s="18"/>
      <c r="CC413" s="18"/>
      <c r="CD413" s="18"/>
      <c r="CE413" s="18"/>
      <c r="CF413" s="18"/>
      <c r="CG413" s="18"/>
      <c r="CH413" s="18"/>
      <c r="CI413" s="18"/>
      <c r="CJ413" s="18"/>
      <c r="CK413" s="18"/>
      <c r="CL413" s="18"/>
      <c r="CM413" s="18"/>
      <c r="CN413" s="18"/>
      <c r="CO413" s="18"/>
      <c r="CP413" s="18"/>
      <c r="CQ413" s="18"/>
      <c r="CR413" s="18"/>
      <c r="CS413" s="18"/>
      <c r="CT413" s="18"/>
      <c r="CU413" s="18"/>
    </row>
    <row r="414" spans="1:99">
      <c r="A414" s="19"/>
      <c r="B414" s="19"/>
      <c r="C414" s="19"/>
      <c r="D414" s="19"/>
      <c r="E414" s="19"/>
      <c r="F414" s="19"/>
      <c r="G414" s="19"/>
      <c r="H414" s="19"/>
      <c r="I414" s="19"/>
      <c r="J414" s="19"/>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8"/>
      <c r="BT414" s="18"/>
      <c r="BU414" s="18"/>
      <c r="BV414" s="18"/>
      <c r="BW414" s="18"/>
      <c r="BX414" s="18"/>
      <c r="BY414" s="18"/>
      <c r="BZ414" s="18"/>
      <c r="CA414" s="18"/>
      <c r="CB414" s="18"/>
      <c r="CC414" s="18"/>
      <c r="CD414" s="18"/>
      <c r="CE414" s="18"/>
      <c r="CF414" s="18"/>
      <c r="CG414" s="18"/>
      <c r="CH414" s="18"/>
      <c r="CI414" s="18"/>
      <c r="CJ414" s="18"/>
      <c r="CK414" s="18"/>
      <c r="CL414" s="18"/>
      <c r="CM414" s="18"/>
      <c r="CN414" s="18"/>
      <c r="CO414" s="18"/>
      <c r="CP414" s="18"/>
      <c r="CQ414" s="18"/>
      <c r="CR414" s="18"/>
      <c r="CS414" s="18"/>
      <c r="CT414" s="18"/>
      <c r="CU414" s="18"/>
    </row>
    <row r="415" spans="1:99">
      <c r="A415" s="19"/>
      <c r="B415" s="19"/>
      <c r="C415" s="19"/>
      <c r="D415" s="19"/>
      <c r="E415" s="19"/>
      <c r="F415" s="19"/>
      <c r="G415" s="19"/>
      <c r="H415" s="19"/>
      <c r="I415" s="19"/>
      <c r="J415" s="19"/>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8"/>
      <c r="BT415" s="18"/>
      <c r="BU415" s="18"/>
      <c r="BV415" s="18"/>
      <c r="BW415" s="18"/>
      <c r="BX415" s="18"/>
      <c r="BY415" s="18"/>
      <c r="BZ415" s="18"/>
      <c r="CA415" s="18"/>
      <c r="CB415" s="18"/>
      <c r="CC415" s="18"/>
      <c r="CD415" s="18"/>
      <c r="CE415" s="18"/>
      <c r="CF415" s="18"/>
      <c r="CG415" s="18"/>
      <c r="CH415" s="18"/>
      <c r="CI415" s="18"/>
      <c r="CJ415" s="18"/>
      <c r="CK415" s="18"/>
      <c r="CL415" s="18"/>
      <c r="CM415" s="18"/>
      <c r="CN415" s="18"/>
      <c r="CO415" s="18"/>
      <c r="CP415" s="18"/>
      <c r="CQ415" s="18"/>
      <c r="CR415" s="18"/>
      <c r="CS415" s="18"/>
      <c r="CT415" s="18"/>
      <c r="CU415" s="18"/>
    </row>
    <row r="416" spans="1:99">
      <c r="A416" s="19"/>
      <c r="B416" s="19"/>
      <c r="C416" s="19"/>
      <c r="D416" s="19"/>
      <c r="E416" s="19"/>
      <c r="F416" s="19"/>
      <c r="G416" s="19"/>
      <c r="H416" s="19"/>
      <c r="I416" s="19"/>
      <c r="J416" s="19"/>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8"/>
      <c r="BT416" s="18"/>
      <c r="BU416" s="18"/>
      <c r="BV416" s="18"/>
      <c r="BW416" s="18"/>
      <c r="BX416" s="18"/>
      <c r="BY416" s="18"/>
      <c r="BZ416" s="18"/>
      <c r="CA416" s="18"/>
      <c r="CB416" s="18"/>
      <c r="CC416" s="18"/>
      <c r="CD416" s="18"/>
      <c r="CE416" s="18"/>
      <c r="CF416" s="18"/>
      <c r="CG416" s="18"/>
      <c r="CH416" s="18"/>
      <c r="CI416" s="18"/>
      <c r="CJ416" s="18"/>
      <c r="CK416" s="18"/>
      <c r="CL416" s="18"/>
      <c r="CM416" s="18"/>
      <c r="CN416" s="18"/>
      <c r="CO416" s="18"/>
      <c r="CP416" s="18"/>
      <c r="CQ416" s="18"/>
      <c r="CR416" s="18"/>
      <c r="CS416" s="18"/>
      <c r="CT416" s="18"/>
      <c r="CU416" s="18"/>
    </row>
    <row r="417" spans="1:99">
      <c r="A417" s="19"/>
      <c r="B417" s="19"/>
      <c r="C417" s="19"/>
      <c r="D417" s="19"/>
      <c r="E417" s="19"/>
      <c r="F417" s="19"/>
      <c r="G417" s="19"/>
      <c r="H417" s="19"/>
      <c r="I417" s="19"/>
      <c r="J417" s="19"/>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8"/>
      <c r="BT417" s="18"/>
      <c r="BU417" s="18"/>
      <c r="BV417" s="18"/>
      <c r="BW417" s="18"/>
      <c r="BX417" s="18"/>
      <c r="BY417" s="18"/>
      <c r="BZ417" s="18"/>
      <c r="CA417" s="18"/>
      <c r="CB417" s="18"/>
      <c r="CC417" s="18"/>
      <c r="CD417" s="18"/>
      <c r="CE417" s="18"/>
      <c r="CF417" s="18"/>
      <c r="CG417" s="18"/>
      <c r="CH417" s="18"/>
      <c r="CI417" s="18"/>
      <c r="CJ417" s="18"/>
      <c r="CK417" s="18"/>
      <c r="CL417" s="18"/>
      <c r="CM417" s="18"/>
      <c r="CN417" s="18"/>
      <c r="CO417" s="18"/>
      <c r="CP417" s="18"/>
      <c r="CQ417" s="18"/>
      <c r="CR417" s="18"/>
      <c r="CS417" s="18"/>
      <c r="CT417" s="18"/>
      <c r="CU417" s="18"/>
    </row>
    <row r="418" spans="1:99">
      <c r="A418" s="19"/>
      <c r="B418" s="19"/>
      <c r="C418" s="19"/>
      <c r="D418" s="19"/>
      <c r="E418" s="19"/>
      <c r="F418" s="19"/>
      <c r="G418" s="19"/>
      <c r="H418" s="19"/>
      <c r="I418" s="19"/>
      <c r="J418" s="19"/>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8"/>
      <c r="BT418" s="18"/>
      <c r="BU418" s="18"/>
      <c r="BV418" s="18"/>
      <c r="BW418" s="18"/>
      <c r="BX418" s="18"/>
      <c r="BY418" s="18"/>
      <c r="BZ418" s="18"/>
      <c r="CA418" s="18"/>
      <c r="CB418" s="18"/>
      <c r="CC418" s="18"/>
      <c r="CD418" s="18"/>
      <c r="CE418" s="18"/>
      <c r="CF418" s="18"/>
      <c r="CG418" s="18"/>
      <c r="CH418" s="18"/>
      <c r="CI418" s="18"/>
      <c r="CJ418" s="18"/>
      <c r="CK418" s="18"/>
      <c r="CL418" s="18"/>
      <c r="CM418" s="18"/>
      <c r="CN418" s="18"/>
      <c r="CO418" s="18"/>
      <c r="CP418" s="18"/>
      <c r="CQ418" s="18"/>
      <c r="CR418" s="18"/>
      <c r="CS418" s="18"/>
      <c r="CT418" s="18"/>
      <c r="CU418" s="18"/>
    </row>
    <row r="419" spans="1:99">
      <c r="A419" s="19"/>
      <c r="B419" s="19"/>
      <c r="C419" s="19"/>
      <c r="D419" s="19"/>
      <c r="E419" s="19"/>
      <c r="F419" s="19"/>
      <c r="G419" s="19"/>
      <c r="H419" s="19"/>
      <c r="I419" s="19"/>
      <c r="J419" s="19"/>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8"/>
      <c r="BT419" s="18"/>
      <c r="BU419" s="18"/>
      <c r="BV419" s="18"/>
      <c r="BW419" s="18"/>
      <c r="BX419" s="18"/>
      <c r="BY419" s="18"/>
      <c r="BZ419" s="18"/>
      <c r="CA419" s="18"/>
      <c r="CB419" s="18"/>
      <c r="CC419" s="18"/>
      <c r="CD419" s="18"/>
      <c r="CE419" s="18"/>
      <c r="CF419" s="18"/>
      <c r="CG419" s="18"/>
      <c r="CH419" s="18"/>
      <c r="CI419" s="18"/>
      <c r="CJ419" s="18"/>
      <c r="CK419" s="18"/>
      <c r="CL419" s="18"/>
      <c r="CM419" s="18"/>
      <c r="CN419" s="18"/>
      <c r="CO419" s="18"/>
      <c r="CP419" s="18"/>
      <c r="CQ419" s="18"/>
      <c r="CR419" s="18"/>
      <c r="CS419" s="18"/>
      <c r="CT419" s="18"/>
      <c r="CU419" s="18"/>
    </row>
    <row r="420" spans="1:99">
      <c r="A420" s="19"/>
      <c r="B420" s="19"/>
      <c r="C420" s="19"/>
      <c r="D420" s="19"/>
      <c r="E420" s="19"/>
      <c r="F420" s="19"/>
      <c r="G420" s="19"/>
      <c r="H420" s="19"/>
      <c r="I420" s="19"/>
      <c r="J420" s="19"/>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8"/>
      <c r="BT420" s="18"/>
      <c r="BU420" s="18"/>
      <c r="BV420" s="18"/>
      <c r="BW420" s="18"/>
      <c r="BX420" s="18"/>
      <c r="BY420" s="18"/>
      <c r="BZ420" s="18"/>
      <c r="CA420" s="18"/>
      <c r="CB420" s="18"/>
      <c r="CC420" s="18"/>
      <c r="CD420" s="18"/>
      <c r="CE420" s="18"/>
      <c r="CF420" s="18"/>
      <c r="CG420" s="18"/>
      <c r="CH420" s="18"/>
      <c r="CI420" s="18"/>
      <c r="CJ420" s="18"/>
      <c r="CK420" s="18"/>
      <c r="CL420" s="18"/>
      <c r="CM420" s="18"/>
      <c r="CN420" s="18"/>
      <c r="CO420" s="18"/>
      <c r="CP420" s="18"/>
      <c r="CQ420" s="18"/>
      <c r="CR420" s="18"/>
      <c r="CS420" s="18"/>
      <c r="CT420" s="18"/>
      <c r="CU420" s="18"/>
    </row>
    <row r="421" spans="1:99">
      <c r="A421" s="19"/>
      <c r="B421" s="19"/>
      <c r="C421" s="19"/>
      <c r="D421" s="19"/>
      <c r="E421" s="19"/>
      <c r="F421" s="19"/>
      <c r="G421" s="19"/>
      <c r="H421" s="19"/>
      <c r="I421" s="19"/>
      <c r="J421" s="19"/>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8"/>
      <c r="BT421" s="18"/>
      <c r="BU421" s="18"/>
      <c r="BV421" s="18"/>
      <c r="BW421" s="18"/>
      <c r="BX421" s="18"/>
      <c r="BY421" s="18"/>
      <c r="BZ421" s="18"/>
      <c r="CA421" s="18"/>
      <c r="CB421" s="18"/>
      <c r="CC421" s="18"/>
      <c r="CD421" s="18"/>
      <c r="CE421" s="18"/>
      <c r="CF421" s="18"/>
      <c r="CG421" s="18"/>
      <c r="CH421" s="18"/>
      <c r="CI421" s="18"/>
      <c r="CJ421" s="18"/>
      <c r="CK421" s="18"/>
      <c r="CL421" s="18"/>
      <c r="CM421" s="18"/>
      <c r="CN421" s="18"/>
      <c r="CO421" s="18"/>
      <c r="CP421" s="18"/>
      <c r="CQ421" s="18"/>
      <c r="CR421" s="18"/>
      <c r="CS421" s="18"/>
      <c r="CT421" s="18"/>
      <c r="CU421" s="18"/>
    </row>
    <row r="422" spans="1:99">
      <c r="A422" s="19"/>
      <c r="B422" s="19"/>
      <c r="C422" s="19"/>
      <c r="D422" s="19"/>
      <c r="E422" s="19"/>
      <c r="F422" s="19"/>
      <c r="G422" s="19"/>
      <c r="H422" s="19"/>
      <c r="I422" s="19"/>
      <c r="J422" s="19"/>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8"/>
      <c r="BT422" s="18"/>
      <c r="BU422" s="18"/>
      <c r="BV422" s="18"/>
      <c r="BW422" s="18"/>
      <c r="BX422" s="18"/>
      <c r="BY422" s="18"/>
      <c r="BZ422" s="18"/>
      <c r="CA422" s="18"/>
      <c r="CB422" s="18"/>
      <c r="CC422" s="18"/>
      <c r="CD422" s="18"/>
      <c r="CE422" s="18"/>
      <c r="CF422" s="18"/>
      <c r="CG422" s="18"/>
      <c r="CH422" s="18"/>
      <c r="CI422" s="18"/>
      <c r="CJ422" s="18"/>
      <c r="CK422" s="18"/>
      <c r="CL422" s="18"/>
      <c r="CM422" s="18"/>
      <c r="CN422" s="18"/>
      <c r="CO422" s="18"/>
      <c r="CP422" s="18"/>
      <c r="CQ422" s="18"/>
      <c r="CR422" s="18"/>
      <c r="CS422" s="18"/>
      <c r="CT422" s="18"/>
      <c r="CU422" s="18"/>
    </row>
    <row r="423" spans="1:99">
      <c r="A423" s="19"/>
      <c r="B423" s="19"/>
      <c r="C423" s="19"/>
      <c r="D423" s="19"/>
      <c r="E423" s="19"/>
      <c r="F423" s="19"/>
      <c r="G423" s="19"/>
      <c r="H423" s="19"/>
      <c r="I423" s="19"/>
      <c r="J423" s="19"/>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8"/>
      <c r="BT423" s="18"/>
      <c r="BU423" s="18"/>
      <c r="BV423" s="18"/>
      <c r="BW423" s="18"/>
      <c r="BX423" s="18"/>
      <c r="BY423" s="18"/>
      <c r="BZ423" s="18"/>
      <c r="CA423" s="18"/>
      <c r="CB423" s="18"/>
      <c r="CC423" s="18"/>
      <c r="CD423" s="18"/>
      <c r="CE423" s="18"/>
      <c r="CF423" s="18"/>
      <c r="CG423" s="18"/>
      <c r="CH423" s="18"/>
      <c r="CI423" s="18"/>
      <c r="CJ423" s="18"/>
      <c r="CK423" s="18"/>
      <c r="CL423" s="18"/>
      <c r="CM423" s="18"/>
      <c r="CN423" s="18"/>
      <c r="CO423" s="18"/>
      <c r="CP423" s="18"/>
      <c r="CQ423" s="18"/>
      <c r="CR423" s="18"/>
      <c r="CS423" s="18"/>
      <c r="CT423" s="18"/>
      <c r="CU423" s="18"/>
    </row>
    <row r="424" spans="1:99">
      <c r="A424" s="19"/>
      <c r="B424" s="19"/>
      <c r="C424" s="19"/>
      <c r="D424" s="19"/>
      <c r="E424" s="19"/>
      <c r="F424" s="19"/>
      <c r="G424" s="19"/>
      <c r="H424" s="19"/>
      <c r="I424" s="19"/>
      <c r="J424" s="19"/>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8"/>
      <c r="BT424" s="18"/>
      <c r="BU424" s="18"/>
      <c r="BV424" s="18"/>
      <c r="BW424" s="18"/>
      <c r="BX424" s="18"/>
      <c r="BY424" s="18"/>
      <c r="BZ424" s="18"/>
      <c r="CA424" s="18"/>
      <c r="CB424" s="18"/>
      <c r="CC424" s="18"/>
      <c r="CD424" s="18"/>
      <c r="CE424" s="18"/>
      <c r="CF424" s="18"/>
      <c r="CG424" s="18"/>
      <c r="CH424" s="18"/>
      <c r="CI424" s="18"/>
      <c r="CJ424" s="18"/>
      <c r="CK424" s="18"/>
      <c r="CL424" s="18"/>
      <c r="CM424" s="18"/>
      <c r="CN424" s="18"/>
      <c r="CO424" s="18"/>
      <c r="CP424" s="18"/>
      <c r="CQ424" s="18"/>
      <c r="CR424" s="18"/>
      <c r="CS424" s="18"/>
      <c r="CT424" s="18"/>
      <c r="CU424" s="18"/>
    </row>
    <row r="425" spans="1:99">
      <c r="A425" s="19"/>
      <c r="B425" s="19"/>
      <c r="C425" s="19"/>
      <c r="D425" s="19"/>
      <c r="E425" s="19"/>
      <c r="F425" s="19"/>
      <c r="G425" s="19"/>
      <c r="H425" s="19"/>
      <c r="I425" s="19"/>
      <c r="J425" s="19"/>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8"/>
      <c r="BT425" s="18"/>
      <c r="BU425" s="18"/>
      <c r="BV425" s="18"/>
      <c r="BW425" s="18"/>
      <c r="BX425" s="18"/>
      <c r="BY425" s="18"/>
      <c r="BZ425" s="18"/>
      <c r="CA425" s="18"/>
      <c r="CB425" s="18"/>
      <c r="CC425" s="18"/>
      <c r="CD425" s="18"/>
      <c r="CE425" s="18"/>
      <c r="CF425" s="18"/>
      <c r="CG425" s="18"/>
      <c r="CH425" s="18"/>
      <c r="CI425" s="18"/>
      <c r="CJ425" s="18"/>
      <c r="CK425" s="18"/>
      <c r="CL425" s="18"/>
      <c r="CM425" s="18"/>
      <c r="CN425" s="18"/>
      <c r="CO425" s="18"/>
      <c r="CP425" s="18"/>
      <c r="CQ425" s="18"/>
      <c r="CR425" s="18"/>
      <c r="CS425" s="18"/>
      <c r="CT425" s="18"/>
      <c r="CU425" s="18"/>
    </row>
    <row r="426" spans="1:99">
      <c r="A426" s="19"/>
      <c r="B426" s="19"/>
      <c r="C426" s="19"/>
      <c r="D426" s="19"/>
      <c r="E426" s="19"/>
      <c r="F426" s="19"/>
      <c r="G426" s="19"/>
      <c r="H426" s="19"/>
      <c r="I426" s="19"/>
      <c r="J426" s="19"/>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8"/>
      <c r="BT426" s="18"/>
      <c r="BU426" s="18"/>
      <c r="BV426" s="18"/>
      <c r="BW426" s="18"/>
      <c r="BX426" s="18"/>
      <c r="BY426" s="18"/>
      <c r="BZ426" s="18"/>
      <c r="CA426" s="18"/>
      <c r="CB426" s="18"/>
      <c r="CC426" s="18"/>
      <c r="CD426" s="18"/>
      <c r="CE426" s="18"/>
      <c r="CF426" s="18"/>
      <c r="CG426" s="18"/>
      <c r="CH426" s="18"/>
      <c r="CI426" s="18"/>
      <c r="CJ426" s="18"/>
      <c r="CK426" s="18"/>
      <c r="CL426" s="18"/>
      <c r="CM426" s="18"/>
      <c r="CN426" s="18"/>
      <c r="CO426" s="18"/>
      <c r="CP426" s="18"/>
      <c r="CQ426" s="18"/>
      <c r="CR426" s="18"/>
      <c r="CS426" s="18"/>
      <c r="CT426" s="18"/>
      <c r="CU426" s="18"/>
    </row>
    <row r="427" spans="1:99">
      <c r="A427" s="19"/>
      <c r="B427" s="19"/>
      <c r="C427" s="19"/>
      <c r="D427" s="19"/>
      <c r="E427" s="19"/>
      <c r="F427" s="19"/>
      <c r="G427" s="19"/>
      <c r="H427" s="19"/>
      <c r="I427" s="19"/>
      <c r="J427" s="19"/>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8"/>
      <c r="BT427" s="18"/>
      <c r="BU427" s="18"/>
      <c r="BV427" s="18"/>
      <c r="BW427" s="18"/>
      <c r="BX427" s="18"/>
      <c r="BY427" s="18"/>
      <c r="BZ427" s="18"/>
      <c r="CA427" s="18"/>
      <c r="CB427" s="18"/>
      <c r="CC427" s="18"/>
      <c r="CD427" s="18"/>
      <c r="CE427" s="18"/>
      <c r="CF427" s="18"/>
      <c r="CG427" s="18"/>
      <c r="CH427" s="18"/>
      <c r="CI427" s="18"/>
      <c r="CJ427" s="18"/>
      <c r="CK427" s="18"/>
      <c r="CL427" s="18"/>
      <c r="CM427" s="18"/>
      <c r="CN427" s="18"/>
      <c r="CO427" s="18"/>
      <c r="CP427" s="18"/>
      <c r="CQ427" s="18"/>
      <c r="CR427" s="18"/>
      <c r="CS427" s="18"/>
      <c r="CT427" s="18"/>
      <c r="CU427" s="18"/>
    </row>
    <row r="428" spans="1:99">
      <c r="A428" s="19"/>
      <c r="B428" s="19"/>
      <c r="C428" s="19"/>
      <c r="D428" s="19"/>
      <c r="E428" s="19"/>
      <c r="F428" s="19"/>
      <c r="G428" s="19"/>
      <c r="H428" s="19"/>
      <c r="I428" s="19"/>
      <c r="J428" s="19"/>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8"/>
      <c r="BT428" s="18"/>
      <c r="BU428" s="18"/>
      <c r="BV428" s="18"/>
      <c r="BW428" s="18"/>
      <c r="BX428" s="18"/>
      <c r="BY428" s="18"/>
      <c r="BZ428" s="18"/>
      <c r="CA428" s="18"/>
      <c r="CB428" s="18"/>
      <c r="CC428" s="18"/>
      <c r="CD428" s="18"/>
      <c r="CE428" s="18"/>
      <c r="CF428" s="18"/>
      <c r="CG428" s="18"/>
      <c r="CH428" s="18"/>
      <c r="CI428" s="18"/>
      <c r="CJ428" s="18"/>
      <c r="CK428" s="18"/>
      <c r="CL428" s="18"/>
      <c r="CM428" s="18"/>
      <c r="CN428" s="18"/>
      <c r="CO428" s="18"/>
      <c r="CP428" s="18"/>
      <c r="CQ428" s="18"/>
      <c r="CR428" s="18"/>
      <c r="CS428" s="18"/>
      <c r="CT428" s="18"/>
      <c r="CU428" s="18"/>
    </row>
    <row r="429" spans="1:99">
      <c r="A429" s="19"/>
      <c r="B429" s="19"/>
      <c r="C429" s="19"/>
      <c r="D429" s="19"/>
      <c r="E429" s="19"/>
      <c r="F429" s="19"/>
      <c r="G429" s="19"/>
      <c r="H429" s="19"/>
      <c r="I429" s="19"/>
      <c r="J429" s="19"/>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8"/>
      <c r="BT429" s="18"/>
      <c r="BU429" s="18"/>
      <c r="BV429" s="18"/>
      <c r="BW429" s="18"/>
      <c r="BX429" s="18"/>
      <c r="BY429" s="18"/>
      <c r="BZ429" s="18"/>
      <c r="CA429" s="18"/>
      <c r="CB429" s="18"/>
      <c r="CC429" s="18"/>
      <c r="CD429" s="18"/>
      <c r="CE429" s="18"/>
      <c r="CF429" s="18"/>
      <c r="CG429" s="18"/>
      <c r="CH429" s="18"/>
      <c r="CI429" s="18"/>
      <c r="CJ429" s="18"/>
      <c r="CK429" s="18"/>
      <c r="CL429" s="18"/>
      <c r="CM429" s="18"/>
      <c r="CN429" s="18"/>
      <c r="CO429" s="18"/>
      <c r="CP429" s="18"/>
      <c r="CQ429" s="18"/>
      <c r="CR429" s="18"/>
      <c r="CS429" s="18"/>
      <c r="CT429" s="18"/>
      <c r="CU429" s="18"/>
    </row>
    <row r="430" spans="1:99">
      <c r="A430" s="19"/>
      <c r="B430" s="19"/>
      <c r="C430" s="19"/>
      <c r="D430" s="19"/>
      <c r="E430" s="19"/>
      <c r="F430" s="19"/>
      <c r="G430" s="19"/>
      <c r="H430" s="19"/>
      <c r="I430" s="19"/>
      <c r="J430" s="19"/>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8"/>
      <c r="BT430" s="18"/>
      <c r="BU430" s="18"/>
      <c r="BV430" s="18"/>
      <c r="BW430" s="18"/>
      <c r="BX430" s="18"/>
      <c r="BY430" s="18"/>
      <c r="BZ430" s="18"/>
      <c r="CA430" s="18"/>
      <c r="CB430" s="18"/>
      <c r="CC430" s="18"/>
      <c r="CD430" s="18"/>
      <c r="CE430" s="18"/>
      <c r="CF430" s="18"/>
      <c r="CG430" s="18"/>
      <c r="CH430" s="18"/>
      <c r="CI430" s="18"/>
      <c r="CJ430" s="18"/>
      <c r="CK430" s="18"/>
      <c r="CL430" s="18"/>
      <c r="CM430" s="18"/>
      <c r="CN430" s="18"/>
      <c r="CO430" s="18"/>
      <c r="CP430" s="18"/>
      <c r="CQ430" s="18"/>
      <c r="CR430" s="18"/>
      <c r="CS430" s="18"/>
      <c r="CT430" s="18"/>
      <c r="CU430" s="18"/>
    </row>
    <row r="431" spans="1:99">
      <c r="A431" s="19"/>
      <c r="B431" s="19"/>
      <c r="C431" s="19"/>
      <c r="D431" s="19"/>
      <c r="E431" s="19"/>
      <c r="F431" s="19"/>
      <c r="G431" s="19"/>
      <c r="H431" s="19"/>
      <c r="I431" s="19"/>
      <c r="J431" s="19"/>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8"/>
      <c r="BT431" s="18"/>
      <c r="BU431" s="18"/>
      <c r="BV431" s="18"/>
      <c r="BW431" s="18"/>
      <c r="BX431" s="18"/>
      <c r="BY431" s="18"/>
      <c r="BZ431" s="18"/>
      <c r="CA431" s="18"/>
      <c r="CB431" s="18"/>
      <c r="CC431" s="18"/>
      <c r="CD431" s="18"/>
      <c r="CE431" s="18"/>
      <c r="CF431" s="18"/>
      <c r="CG431" s="18"/>
      <c r="CH431" s="18"/>
      <c r="CI431" s="18"/>
      <c r="CJ431" s="18"/>
      <c r="CK431" s="18"/>
      <c r="CL431" s="18"/>
      <c r="CM431" s="18"/>
      <c r="CN431" s="18"/>
      <c r="CO431" s="18"/>
      <c r="CP431" s="18"/>
      <c r="CQ431" s="18"/>
      <c r="CR431" s="18"/>
      <c r="CS431" s="18"/>
      <c r="CT431" s="18"/>
      <c r="CU431" s="18"/>
    </row>
    <row r="432" spans="1:99">
      <c r="A432" s="19"/>
      <c r="B432" s="19"/>
      <c r="C432" s="19"/>
      <c r="D432" s="19"/>
      <c r="E432" s="19"/>
      <c r="F432" s="19"/>
      <c r="G432" s="19"/>
      <c r="H432" s="19"/>
      <c r="I432" s="19"/>
      <c r="J432" s="19"/>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8"/>
      <c r="BT432" s="18"/>
      <c r="BU432" s="18"/>
      <c r="BV432" s="18"/>
      <c r="BW432" s="18"/>
      <c r="BX432" s="18"/>
      <c r="BY432" s="18"/>
      <c r="BZ432" s="18"/>
      <c r="CA432" s="18"/>
      <c r="CB432" s="18"/>
      <c r="CC432" s="18"/>
      <c r="CD432" s="18"/>
      <c r="CE432" s="18"/>
      <c r="CF432" s="18"/>
      <c r="CG432" s="18"/>
      <c r="CH432" s="18"/>
      <c r="CI432" s="18"/>
      <c r="CJ432" s="18"/>
      <c r="CK432" s="18"/>
      <c r="CL432" s="18"/>
      <c r="CM432" s="18"/>
      <c r="CN432" s="18"/>
      <c r="CO432" s="18"/>
      <c r="CP432" s="18"/>
      <c r="CQ432" s="18"/>
      <c r="CR432" s="18"/>
      <c r="CS432" s="18"/>
      <c r="CT432" s="18"/>
      <c r="CU432" s="18"/>
    </row>
    <row r="433" spans="1:99">
      <c r="A433" s="19"/>
      <c r="B433" s="19"/>
      <c r="C433" s="19"/>
      <c r="D433" s="19"/>
      <c r="E433" s="19"/>
      <c r="F433" s="19"/>
      <c r="G433" s="19"/>
      <c r="H433" s="19"/>
      <c r="I433" s="19"/>
      <c r="J433" s="19"/>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8"/>
      <c r="BT433" s="18"/>
      <c r="BU433" s="18"/>
      <c r="BV433" s="18"/>
      <c r="BW433" s="18"/>
      <c r="BX433" s="18"/>
      <c r="BY433" s="18"/>
      <c r="BZ433" s="18"/>
      <c r="CA433" s="18"/>
      <c r="CB433" s="18"/>
      <c r="CC433" s="18"/>
      <c r="CD433" s="18"/>
      <c r="CE433" s="18"/>
      <c r="CF433" s="18"/>
      <c r="CG433" s="18"/>
      <c r="CH433" s="18"/>
      <c r="CI433" s="18"/>
      <c r="CJ433" s="18"/>
      <c r="CK433" s="18"/>
      <c r="CL433" s="18"/>
      <c r="CM433" s="18"/>
      <c r="CN433" s="18"/>
      <c r="CO433" s="18"/>
      <c r="CP433" s="18"/>
      <c r="CQ433" s="18"/>
      <c r="CR433" s="18"/>
      <c r="CS433" s="18"/>
      <c r="CT433" s="18"/>
      <c r="CU433" s="18"/>
    </row>
    <row r="434" spans="1:99">
      <c r="A434" s="19"/>
      <c r="B434" s="19"/>
      <c r="C434" s="19"/>
      <c r="D434" s="19"/>
      <c r="E434" s="19"/>
      <c r="F434" s="19"/>
      <c r="G434" s="19"/>
      <c r="H434" s="19"/>
      <c r="I434" s="19"/>
      <c r="J434" s="19"/>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c r="BO434" s="18"/>
      <c r="BP434" s="18"/>
      <c r="BQ434" s="18"/>
      <c r="BR434" s="18"/>
      <c r="BS434" s="18"/>
      <c r="BT434" s="18"/>
      <c r="BU434" s="18"/>
      <c r="BV434" s="18"/>
      <c r="BW434" s="18"/>
      <c r="BX434" s="18"/>
      <c r="BY434" s="18"/>
      <c r="BZ434" s="18"/>
      <c r="CA434" s="18"/>
      <c r="CB434" s="18"/>
      <c r="CC434" s="18"/>
      <c r="CD434" s="18"/>
      <c r="CE434" s="18"/>
      <c r="CF434" s="18"/>
      <c r="CG434" s="18"/>
      <c r="CH434" s="18"/>
      <c r="CI434" s="18"/>
      <c r="CJ434" s="18"/>
      <c r="CK434" s="18"/>
      <c r="CL434" s="18"/>
      <c r="CM434" s="18"/>
      <c r="CN434" s="18"/>
      <c r="CO434" s="18"/>
      <c r="CP434" s="18"/>
      <c r="CQ434" s="18"/>
      <c r="CR434" s="18"/>
      <c r="CS434" s="18"/>
      <c r="CT434" s="18"/>
      <c r="CU434" s="18"/>
    </row>
    <row r="435" spans="1:99">
      <c r="A435" s="19"/>
      <c r="B435" s="19"/>
      <c r="C435" s="19"/>
      <c r="D435" s="19"/>
      <c r="E435" s="19"/>
      <c r="F435" s="19"/>
      <c r="G435" s="19"/>
      <c r="H435" s="19"/>
      <c r="I435" s="19"/>
      <c r="J435" s="19"/>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c r="BO435" s="18"/>
      <c r="BP435" s="18"/>
      <c r="BQ435" s="18"/>
      <c r="BR435" s="18"/>
      <c r="BS435" s="18"/>
      <c r="BT435" s="18"/>
      <c r="BU435" s="18"/>
      <c r="BV435" s="18"/>
      <c r="BW435" s="18"/>
      <c r="BX435" s="18"/>
      <c r="BY435" s="18"/>
      <c r="BZ435" s="18"/>
      <c r="CA435" s="18"/>
      <c r="CB435" s="18"/>
      <c r="CC435" s="18"/>
      <c r="CD435" s="18"/>
      <c r="CE435" s="18"/>
      <c r="CF435" s="18"/>
      <c r="CG435" s="18"/>
      <c r="CH435" s="18"/>
      <c r="CI435" s="18"/>
      <c r="CJ435" s="18"/>
      <c r="CK435" s="18"/>
      <c r="CL435" s="18"/>
      <c r="CM435" s="18"/>
      <c r="CN435" s="18"/>
      <c r="CO435" s="18"/>
      <c r="CP435" s="18"/>
      <c r="CQ435" s="18"/>
      <c r="CR435" s="18"/>
      <c r="CS435" s="18"/>
      <c r="CT435" s="18"/>
      <c r="CU435" s="18"/>
    </row>
    <row r="436" spans="1:99">
      <c r="A436" s="19"/>
      <c r="B436" s="19"/>
      <c r="C436" s="19"/>
      <c r="D436" s="19"/>
      <c r="E436" s="19"/>
      <c r="F436" s="19"/>
      <c r="G436" s="19"/>
      <c r="H436" s="19"/>
      <c r="I436" s="19"/>
      <c r="J436" s="19"/>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8"/>
      <c r="BT436" s="18"/>
      <c r="BU436" s="18"/>
      <c r="BV436" s="18"/>
      <c r="BW436" s="18"/>
      <c r="BX436" s="18"/>
      <c r="BY436" s="18"/>
      <c r="BZ436" s="18"/>
      <c r="CA436" s="18"/>
      <c r="CB436" s="18"/>
      <c r="CC436" s="18"/>
      <c r="CD436" s="18"/>
      <c r="CE436" s="18"/>
      <c r="CF436" s="18"/>
      <c r="CG436" s="18"/>
      <c r="CH436" s="18"/>
      <c r="CI436" s="18"/>
      <c r="CJ436" s="18"/>
      <c r="CK436" s="18"/>
      <c r="CL436" s="18"/>
      <c r="CM436" s="18"/>
      <c r="CN436" s="18"/>
      <c r="CO436" s="18"/>
      <c r="CP436" s="18"/>
      <c r="CQ436" s="18"/>
      <c r="CR436" s="18"/>
      <c r="CS436" s="18"/>
      <c r="CT436" s="18"/>
      <c r="CU436" s="18"/>
    </row>
    <row r="437" spans="1:99">
      <c r="A437" s="19"/>
      <c r="B437" s="19"/>
      <c r="C437" s="19"/>
      <c r="D437" s="19"/>
      <c r="E437" s="19"/>
      <c r="F437" s="19"/>
      <c r="G437" s="19"/>
      <c r="H437" s="19"/>
      <c r="I437" s="19"/>
      <c r="J437" s="19"/>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c r="BO437" s="18"/>
      <c r="BP437" s="18"/>
      <c r="BQ437" s="18"/>
      <c r="BR437" s="18"/>
      <c r="BS437" s="18"/>
      <c r="BT437" s="18"/>
      <c r="BU437" s="18"/>
      <c r="BV437" s="18"/>
      <c r="BW437" s="18"/>
      <c r="BX437" s="18"/>
      <c r="BY437" s="18"/>
      <c r="BZ437" s="18"/>
      <c r="CA437" s="18"/>
      <c r="CB437" s="18"/>
      <c r="CC437" s="18"/>
      <c r="CD437" s="18"/>
      <c r="CE437" s="18"/>
      <c r="CF437" s="18"/>
      <c r="CG437" s="18"/>
      <c r="CH437" s="18"/>
      <c r="CI437" s="18"/>
      <c r="CJ437" s="18"/>
      <c r="CK437" s="18"/>
      <c r="CL437" s="18"/>
      <c r="CM437" s="18"/>
      <c r="CN437" s="18"/>
      <c r="CO437" s="18"/>
      <c r="CP437" s="18"/>
      <c r="CQ437" s="18"/>
      <c r="CR437" s="18"/>
      <c r="CS437" s="18"/>
      <c r="CT437" s="18"/>
      <c r="CU437" s="18"/>
    </row>
    <row r="438" spans="1:99">
      <c r="A438" s="19"/>
      <c r="B438" s="19"/>
      <c r="C438" s="19"/>
      <c r="D438" s="19"/>
      <c r="E438" s="19"/>
      <c r="F438" s="19"/>
      <c r="G438" s="19"/>
      <c r="H438" s="19"/>
      <c r="I438" s="19"/>
      <c r="J438" s="19"/>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c r="BO438" s="18"/>
      <c r="BP438" s="18"/>
      <c r="BQ438" s="18"/>
      <c r="BR438" s="18"/>
      <c r="BS438" s="18"/>
      <c r="BT438" s="18"/>
      <c r="BU438" s="18"/>
      <c r="BV438" s="18"/>
      <c r="BW438" s="18"/>
      <c r="BX438" s="18"/>
      <c r="BY438" s="18"/>
      <c r="BZ438" s="18"/>
      <c r="CA438" s="18"/>
      <c r="CB438" s="18"/>
      <c r="CC438" s="18"/>
      <c r="CD438" s="18"/>
      <c r="CE438" s="18"/>
      <c r="CF438" s="18"/>
      <c r="CG438" s="18"/>
      <c r="CH438" s="18"/>
      <c r="CI438" s="18"/>
      <c r="CJ438" s="18"/>
      <c r="CK438" s="18"/>
      <c r="CL438" s="18"/>
      <c r="CM438" s="18"/>
      <c r="CN438" s="18"/>
      <c r="CO438" s="18"/>
      <c r="CP438" s="18"/>
      <c r="CQ438" s="18"/>
      <c r="CR438" s="18"/>
      <c r="CS438" s="18"/>
      <c r="CT438" s="18"/>
      <c r="CU438" s="18"/>
    </row>
    <row r="439" spans="1:99">
      <c r="A439" s="19"/>
      <c r="B439" s="19"/>
      <c r="C439" s="19"/>
      <c r="D439" s="19"/>
      <c r="E439" s="19"/>
      <c r="F439" s="19"/>
      <c r="G439" s="19"/>
      <c r="H439" s="19"/>
      <c r="I439" s="19"/>
      <c r="J439" s="19"/>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c r="BO439" s="18"/>
      <c r="BP439" s="18"/>
      <c r="BQ439" s="18"/>
      <c r="BR439" s="18"/>
      <c r="BS439" s="18"/>
      <c r="BT439" s="18"/>
      <c r="BU439" s="18"/>
      <c r="BV439" s="18"/>
      <c r="BW439" s="18"/>
      <c r="BX439" s="18"/>
      <c r="BY439" s="18"/>
      <c r="BZ439" s="18"/>
      <c r="CA439" s="18"/>
      <c r="CB439" s="18"/>
      <c r="CC439" s="18"/>
      <c r="CD439" s="18"/>
      <c r="CE439" s="18"/>
      <c r="CF439" s="18"/>
      <c r="CG439" s="18"/>
      <c r="CH439" s="18"/>
      <c r="CI439" s="18"/>
      <c r="CJ439" s="18"/>
      <c r="CK439" s="18"/>
      <c r="CL439" s="18"/>
      <c r="CM439" s="18"/>
      <c r="CN439" s="18"/>
      <c r="CO439" s="18"/>
      <c r="CP439" s="18"/>
      <c r="CQ439" s="18"/>
      <c r="CR439" s="18"/>
      <c r="CS439" s="18"/>
      <c r="CT439" s="18"/>
      <c r="CU439" s="18"/>
    </row>
    <row r="440" spans="1:99">
      <c r="A440" s="19"/>
      <c r="B440" s="19"/>
      <c r="C440" s="19"/>
      <c r="D440" s="19"/>
      <c r="E440" s="19"/>
      <c r="F440" s="19"/>
      <c r="G440" s="19"/>
      <c r="H440" s="19"/>
      <c r="I440" s="19"/>
      <c r="J440" s="19"/>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c r="BO440" s="18"/>
      <c r="BP440" s="18"/>
      <c r="BQ440" s="18"/>
      <c r="BR440" s="18"/>
      <c r="BS440" s="18"/>
      <c r="BT440" s="18"/>
      <c r="BU440" s="18"/>
      <c r="BV440" s="18"/>
      <c r="BW440" s="18"/>
      <c r="BX440" s="18"/>
      <c r="BY440" s="18"/>
      <c r="BZ440" s="18"/>
      <c r="CA440" s="18"/>
      <c r="CB440" s="18"/>
      <c r="CC440" s="18"/>
      <c r="CD440" s="18"/>
      <c r="CE440" s="18"/>
      <c r="CF440" s="18"/>
      <c r="CG440" s="18"/>
      <c r="CH440" s="18"/>
      <c r="CI440" s="18"/>
      <c r="CJ440" s="18"/>
      <c r="CK440" s="18"/>
      <c r="CL440" s="18"/>
      <c r="CM440" s="18"/>
      <c r="CN440" s="18"/>
      <c r="CO440" s="18"/>
      <c r="CP440" s="18"/>
      <c r="CQ440" s="18"/>
      <c r="CR440" s="18"/>
      <c r="CS440" s="18"/>
      <c r="CT440" s="18"/>
      <c r="CU440" s="18"/>
    </row>
    <row r="441" spans="1:99">
      <c r="A441" s="19"/>
      <c r="B441" s="19"/>
      <c r="C441" s="19"/>
      <c r="D441" s="19"/>
      <c r="E441" s="19"/>
      <c r="F441" s="19"/>
      <c r="G441" s="19"/>
      <c r="H441" s="19"/>
      <c r="I441" s="19"/>
      <c r="J441" s="19"/>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c r="BO441" s="18"/>
      <c r="BP441" s="18"/>
      <c r="BQ441" s="18"/>
      <c r="BR441" s="18"/>
      <c r="BS441" s="18"/>
      <c r="BT441" s="18"/>
      <c r="BU441" s="18"/>
      <c r="BV441" s="18"/>
      <c r="BW441" s="18"/>
      <c r="BX441" s="18"/>
      <c r="BY441" s="18"/>
      <c r="BZ441" s="18"/>
      <c r="CA441" s="18"/>
      <c r="CB441" s="18"/>
      <c r="CC441" s="18"/>
      <c r="CD441" s="18"/>
      <c r="CE441" s="18"/>
      <c r="CF441" s="18"/>
      <c r="CG441" s="18"/>
      <c r="CH441" s="18"/>
      <c r="CI441" s="18"/>
      <c r="CJ441" s="18"/>
      <c r="CK441" s="18"/>
      <c r="CL441" s="18"/>
      <c r="CM441" s="18"/>
      <c r="CN441" s="18"/>
      <c r="CO441" s="18"/>
      <c r="CP441" s="18"/>
      <c r="CQ441" s="18"/>
      <c r="CR441" s="18"/>
      <c r="CS441" s="18"/>
      <c r="CT441" s="18"/>
      <c r="CU441" s="18"/>
    </row>
    <row r="442" spans="1:99">
      <c r="A442" s="19"/>
      <c r="B442" s="19"/>
      <c r="C442" s="19"/>
      <c r="D442" s="19"/>
      <c r="E442" s="19"/>
      <c r="F442" s="19"/>
      <c r="G442" s="19"/>
      <c r="H442" s="19"/>
      <c r="I442" s="19"/>
      <c r="J442" s="19"/>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c r="BO442" s="18"/>
      <c r="BP442" s="18"/>
      <c r="BQ442" s="18"/>
      <c r="BR442" s="18"/>
      <c r="BS442" s="18"/>
      <c r="BT442" s="18"/>
      <c r="BU442" s="18"/>
      <c r="BV442" s="18"/>
      <c r="BW442" s="18"/>
      <c r="BX442" s="18"/>
      <c r="BY442" s="18"/>
      <c r="BZ442" s="18"/>
      <c r="CA442" s="18"/>
      <c r="CB442" s="18"/>
      <c r="CC442" s="18"/>
      <c r="CD442" s="18"/>
      <c r="CE442" s="18"/>
      <c r="CF442" s="18"/>
      <c r="CG442" s="18"/>
      <c r="CH442" s="18"/>
      <c r="CI442" s="18"/>
      <c r="CJ442" s="18"/>
      <c r="CK442" s="18"/>
      <c r="CL442" s="18"/>
      <c r="CM442" s="18"/>
      <c r="CN442" s="18"/>
      <c r="CO442" s="18"/>
      <c r="CP442" s="18"/>
      <c r="CQ442" s="18"/>
      <c r="CR442" s="18"/>
      <c r="CS442" s="18"/>
      <c r="CT442" s="18"/>
      <c r="CU442" s="18"/>
    </row>
    <row r="443" spans="1:99">
      <c r="A443" s="19"/>
      <c r="B443" s="19"/>
      <c r="C443" s="19"/>
      <c r="D443" s="19"/>
      <c r="E443" s="19"/>
      <c r="F443" s="19"/>
      <c r="G443" s="19"/>
      <c r="H443" s="19"/>
      <c r="I443" s="19"/>
      <c r="J443" s="19"/>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c r="BO443" s="18"/>
      <c r="BP443" s="18"/>
      <c r="BQ443" s="18"/>
      <c r="BR443" s="18"/>
      <c r="BS443" s="18"/>
      <c r="BT443" s="18"/>
      <c r="BU443" s="18"/>
      <c r="BV443" s="18"/>
      <c r="BW443" s="18"/>
      <c r="BX443" s="18"/>
      <c r="BY443" s="18"/>
      <c r="BZ443" s="18"/>
      <c r="CA443" s="18"/>
      <c r="CB443" s="18"/>
      <c r="CC443" s="18"/>
      <c r="CD443" s="18"/>
      <c r="CE443" s="18"/>
      <c r="CF443" s="18"/>
      <c r="CG443" s="18"/>
      <c r="CH443" s="18"/>
      <c r="CI443" s="18"/>
      <c r="CJ443" s="18"/>
      <c r="CK443" s="18"/>
      <c r="CL443" s="18"/>
      <c r="CM443" s="18"/>
      <c r="CN443" s="18"/>
      <c r="CO443" s="18"/>
      <c r="CP443" s="18"/>
      <c r="CQ443" s="18"/>
      <c r="CR443" s="18"/>
      <c r="CS443" s="18"/>
      <c r="CT443" s="18"/>
      <c r="CU443" s="18"/>
    </row>
    <row r="444" spans="1:99">
      <c r="A444" s="19"/>
      <c r="B444" s="19"/>
      <c r="C444" s="19"/>
      <c r="D444" s="19"/>
      <c r="E444" s="19"/>
      <c r="F444" s="19"/>
      <c r="G444" s="19"/>
      <c r="H444" s="19"/>
      <c r="I444" s="19"/>
      <c r="J444" s="19"/>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c r="BO444" s="18"/>
      <c r="BP444" s="18"/>
      <c r="BQ444" s="18"/>
      <c r="BR444" s="18"/>
      <c r="BS444" s="18"/>
      <c r="BT444" s="18"/>
      <c r="BU444" s="18"/>
      <c r="BV444" s="18"/>
      <c r="BW444" s="18"/>
      <c r="BX444" s="18"/>
      <c r="BY444" s="18"/>
      <c r="BZ444" s="18"/>
      <c r="CA444" s="18"/>
      <c r="CB444" s="18"/>
      <c r="CC444" s="18"/>
      <c r="CD444" s="18"/>
      <c r="CE444" s="18"/>
      <c r="CF444" s="18"/>
      <c r="CG444" s="18"/>
      <c r="CH444" s="18"/>
      <c r="CI444" s="18"/>
      <c r="CJ444" s="18"/>
      <c r="CK444" s="18"/>
      <c r="CL444" s="18"/>
      <c r="CM444" s="18"/>
      <c r="CN444" s="18"/>
      <c r="CO444" s="18"/>
      <c r="CP444" s="18"/>
      <c r="CQ444" s="18"/>
      <c r="CR444" s="18"/>
      <c r="CS444" s="18"/>
      <c r="CT444" s="18"/>
      <c r="CU444" s="18"/>
    </row>
    <row r="445" spans="1:99">
      <c r="A445" s="19"/>
      <c r="B445" s="19"/>
      <c r="C445" s="19"/>
      <c r="D445" s="19"/>
      <c r="E445" s="19"/>
      <c r="F445" s="19"/>
      <c r="G445" s="19"/>
      <c r="H445" s="19"/>
      <c r="I445" s="19"/>
      <c r="J445" s="19"/>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c r="BO445" s="18"/>
      <c r="BP445" s="18"/>
      <c r="BQ445" s="18"/>
      <c r="BR445" s="18"/>
      <c r="BS445" s="18"/>
      <c r="BT445" s="18"/>
      <c r="BU445" s="18"/>
      <c r="BV445" s="18"/>
      <c r="BW445" s="18"/>
      <c r="BX445" s="18"/>
      <c r="BY445" s="18"/>
      <c r="BZ445" s="18"/>
      <c r="CA445" s="18"/>
      <c r="CB445" s="18"/>
      <c r="CC445" s="18"/>
      <c r="CD445" s="18"/>
      <c r="CE445" s="18"/>
      <c r="CF445" s="18"/>
      <c r="CG445" s="18"/>
      <c r="CH445" s="18"/>
      <c r="CI445" s="18"/>
      <c r="CJ445" s="18"/>
      <c r="CK445" s="18"/>
      <c r="CL445" s="18"/>
      <c r="CM445" s="18"/>
      <c r="CN445" s="18"/>
      <c r="CO445" s="18"/>
      <c r="CP445" s="18"/>
      <c r="CQ445" s="18"/>
      <c r="CR445" s="18"/>
      <c r="CS445" s="18"/>
      <c r="CT445" s="18"/>
      <c r="CU445" s="18"/>
    </row>
    <row r="446" spans="1:99">
      <c r="A446" s="19"/>
      <c r="B446" s="19"/>
      <c r="C446" s="19"/>
      <c r="D446" s="19"/>
      <c r="E446" s="19"/>
      <c r="F446" s="19"/>
      <c r="G446" s="19"/>
      <c r="H446" s="19"/>
      <c r="I446" s="19"/>
      <c r="J446" s="19"/>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c r="BO446" s="18"/>
      <c r="BP446" s="18"/>
      <c r="BQ446" s="18"/>
      <c r="BR446" s="18"/>
      <c r="BS446" s="18"/>
      <c r="BT446" s="18"/>
      <c r="BU446" s="18"/>
      <c r="BV446" s="18"/>
      <c r="BW446" s="18"/>
      <c r="BX446" s="18"/>
      <c r="BY446" s="18"/>
      <c r="BZ446" s="18"/>
      <c r="CA446" s="18"/>
      <c r="CB446" s="18"/>
      <c r="CC446" s="18"/>
      <c r="CD446" s="18"/>
      <c r="CE446" s="18"/>
      <c r="CF446" s="18"/>
      <c r="CG446" s="18"/>
      <c r="CH446" s="18"/>
      <c r="CI446" s="18"/>
      <c r="CJ446" s="18"/>
      <c r="CK446" s="18"/>
      <c r="CL446" s="18"/>
      <c r="CM446" s="18"/>
      <c r="CN446" s="18"/>
      <c r="CO446" s="18"/>
      <c r="CP446" s="18"/>
      <c r="CQ446" s="18"/>
      <c r="CR446" s="18"/>
      <c r="CS446" s="18"/>
      <c r="CT446" s="18"/>
      <c r="CU446" s="18"/>
    </row>
    <row r="447" spans="1:99">
      <c r="A447" s="19"/>
      <c r="B447" s="19"/>
      <c r="C447" s="19"/>
      <c r="D447" s="19"/>
      <c r="E447" s="19"/>
      <c r="F447" s="19"/>
      <c r="G447" s="19"/>
      <c r="H447" s="19"/>
      <c r="I447" s="19"/>
      <c r="J447" s="19"/>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c r="BO447" s="18"/>
      <c r="BP447" s="18"/>
      <c r="BQ447" s="18"/>
      <c r="BR447" s="18"/>
      <c r="BS447" s="18"/>
      <c r="BT447" s="18"/>
      <c r="BU447" s="18"/>
      <c r="BV447" s="18"/>
      <c r="BW447" s="18"/>
      <c r="BX447" s="18"/>
      <c r="BY447" s="18"/>
      <c r="BZ447" s="18"/>
      <c r="CA447" s="18"/>
      <c r="CB447" s="18"/>
      <c r="CC447" s="18"/>
      <c r="CD447" s="18"/>
      <c r="CE447" s="18"/>
      <c r="CF447" s="18"/>
      <c r="CG447" s="18"/>
      <c r="CH447" s="18"/>
      <c r="CI447" s="18"/>
      <c r="CJ447" s="18"/>
      <c r="CK447" s="18"/>
      <c r="CL447" s="18"/>
      <c r="CM447" s="18"/>
      <c r="CN447" s="18"/>
      <c r="CO447" s="18"/>
      <c r="CP447" s="18"/>
      <c r="CQ447" s="18"/>
      <c r="CR447" s="18"/>
      <c r="CS447" s="18"/>
      <c r="CT447" s="18"/>
      <c r="CU447" s="18"/>
    </row>
    <row r="448" spans="1:99">
      <c r="A448" s="19"/>
      <c r="B448" s="19"/>
      <c r="C448" s="19"/>
      <c r="D448" s="19"/>
      <c r="E448" s="19"/>
      <c r="F448" s="19"/>
      <c r="G448" s="19"/>
      <c r="H448" s="19"/>
      <c r="I448" s="19"/>
      <c r="J448" s="19"/>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c r="BO448" s="18"/>
      <c r="BP448" s="18"/>
      <c r="BQ448" s="18"/>
      <c r="BR448" s="18"/>
      <c r="BS448" s="18"/>
      <c r="BT448" s="18"/>
      <c r="BU448" s="18"/>
      <c r="BV448" s="18"/>
      <c r="BW448" s="18"/>
      <c r="BX448" s="18"/>
      <c r="BY448" s="18"/>
      <c r="BZ448" s="18"/>
      <c r="CA448" s="18"/>
      <c r="CB448" s="18"/>
      <c r="CC448" s="18"/>
      <c r="CD448" s="18"/>
      <c r="CE448" s="18"/>
      <c r="CF448" s="18"/>
      <c r="CG448" s="18"/>
      <c r="CH448" s="18"/>
      <c r="CI448" s="18"/>
      <c r="CJ448" s="18"/>
      <c r="CK448" s="18"/>
      <c r="CL448" s="18"/>
      <c r="CM448" s="18"/>
      <c r="CN448" s="18"/>
      <c r="CO448" s="18"/>
      <c r="CP448" s="18"/>
      <c r="CQ448" s="18"/>
      <c r="CR448" s="18"/>
      <c r="CS448" s="18"/>
      <c r="CT448" s="18"/>
      <c r="CU448" s="18"/>
    </row>
    <row r="449" spans="1:99">
      <c r="A449" s="19"/>
      <c r="B449" s="19"/>
      <c r="C449" s="19"/>
      <c r="D449" s="19"/>
      <c r="E449" s="19"/>
      <c r="F449" s="19"/>
      <c r="G449" s="19"/>
      <c r="H449" s="19"/>
      <c r="I449" s="19"/>
      <c r="J449" s="19"/>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c r="BO449" s="18"/>
      <c r="BP449" s="18"/>
      <c r="BQ449" s="18"/>
      <c r="BR449" s="18"/>
      <c r="BS449" s="18"/>
      <c r="BT449" s="18"/>
      <c r="BU449" s="18"/>
      <c r="BV449" s="18"/>
      <c r="BW449" s="18"/>
      <c r="BX449" s="18"/>
      <c r="BY449" s="18"/>
      <c r="BZ449" s="18"/>
      <c r="CA449" s="18"/>
      <c r="CB449" s="18"/>
      <c r="CC449" s="18"/>
      <c r="CD449" s="18"/>
      <c r="CE449" s="18"/>
      <c r="CF449" s="18"/>
      <c r="CG449" s="18"/>
      <c r="CH449" s="18"/>
      <c r="CI449" s="18"/>
      <c r="CJ449" s="18"/>
      <c r="CK449" s="18"/>
      <c r="CL449" s="18"/>
      <c r="CM449" s="18"/>
      <c r="CN449" s="18"/>
      <c r="CO449" s="18"/>
      <c r="CP449" s="18"/>
      <c r="CQ449" s="18"/>
      <c r="CR449" s="18"/>
      <c r="CS449" s="18"/>
      <c r="CT449" s="18"/>
      <c r="CU449" s="18"/>
    </row>
    <row r="450" spans="1:99">
      <c r="A450" s="19"/>
      <c r="B450" s="19"/>
      <c r="C450" s="19"/>
      <c r="D450" s="19"/>
      <c r="E450" s="19"/>
      <c r="F450" s="19"/>
      <c r="G450" s="19"/>
      <c r="H450" s="19"/>
      <c r="I450" s="19"/>
      <c r="J450" s="19"/>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c r="BO450" s="18"/>
      <c r="BP450" s="18"/>
      <c r="BQ450" s="18"/>
      <c r="BR450" s="18"/>
      <c r="BS450" s="18"/>
      <c r="BT450" s="18"/>
      <c r="BU450" s="18"/>
      <c r="BV450" s="18"/>
      <c r="BW450" s="18"/>
      <c r="BX450" s="18"/>
      <c r="BY450" s="18"/>
      <c r="BZ450" s="18"/>
      <c r="CA450" s="18"/>
      <c r="CB450" s="18"/>
      <c r="CC450" s="18"/>
      <c r="CD450" s="18"/>
      <c r="CE450" s="18"/>
      <c r="CF450" s="18"/>
      <c r="CG450" s="18"/>
      <c r="CH450" s="18"/>
      <c r="CI450" s="18"/>
      <c r="CJ450" s="18"/>
      <c r="CK450" s="18"/>
      <c r="CL450" s="18"/>
      <c r="CM450" s="18"/>
      <c r="CN450" s="18"/>
      <c r="CO450" s="18"/>
      <c r="CP450" s="18"/>
      <c r="CQ450" s="18"/>
      <c r="CR450" s="18"/>
      <c r="CS450" s="18"/>
      <c r="CT450" s="18"/>
      <c r="CU450" s="18"/>
    </row>
    <row r="451" spans="1:99">
      <c r="A451" s="19"/>
      <c r="B451" s="19"/>
      <c r="C451" s="19"/>
      <c r="D451" s="19"/>
      <c r="E451" s="19"/>
      <c r="F451" s="19"/>
      <c r="G451" s="19"/>
      <c r="H451" s="19"/>
      <c r="I451" s="19"/>
      <c r="J451" s="19"/>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c r="BO451" s="18"/>
      <c r="BP451" s="18"/>
      <c r="BQ451" s="18"/>
      <c r="BR451" s="18"/>
      <c r="BS451" s="18"/>
      <c r="BT451" s="18"/>
      <c r="BU451" s="18"/>
      <c r="BV451" s="18"/>
      <c r="BW451" s="18"/>
      <c r="BX451" s="18"/>
      <c r="BY451" s="18"/>
      <c r="BZ451" s="18"/>
      <c r="CA451" s="18"/>
      <c r="CB451" s="18"/>
      <c r="CC451" s="18"/>
      <c r="CD451" s="18"/>
      <c r="CE451" s="18"/>
      <c r="CF451" s="18"/>
      <c r="CG451" s="18"/>
      <c r="CH451" s="18"/>
      <c r="CI451" s="18"/>
      <c r="CJ451" s="18"/>
      <c r="CK451" s="18"/>
      <c r="CL451" s="18"/>
      <c r="CM451" s="18"/>
      <c r="CN451" s="18"/>
      <c r="CO451" s="18"/>
      <c r="CP451" s="18"/>
      <c r="CQ451" s="18"/>
      <c r="CR451" s="18"/>
      <c r="CS451" s="18"/>
      <c r="CT451" s="18"/>
      <c r="CU451" s="18"/>
    </row>
    <row r="452" spans="1:99">
      <c r="A452" s="19"/>
      <c r="B452" s="19"/>
      <c r="C452" s="19"/>
      <c r="D452" s="19"/>
      <c r="E452" s="19"/>
      <c r="F452" s="19"/>
      <c r="G452" s="19"/>
      <c r="H452" s="19"/>
      <c r="I452" s="19"/>
      <c r="J452" s="19"/>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8"/>
      <c r="BT452" s="18"/>
      <c r="BU452" s="18"/>
      <c r="BV452" s="18"/>
      <c r="BW452" s="18"/>
      <c r="BX452" s="18"/>
      <c r="BY452" s="18"/>
      <c r="BZ452" s="18"/>
      <c r="CA452" s="18"/>
      <c r="CB452" s="18"/>
      <c r="CC452" s="18"/>
      <c r="CD452" s="18"/>
      <c r="CE452" s="18"/>
      <c r="CF452" s="18"/>
      <c r="CG452" s="18"/>
      <c r="CH452" s="18"/>
      <c r="CI452" s="18"/>
      <c r="CJ452" s="18"/>
      <c r="CK452" s="18"/>
      <c r="CL452" s="18"/>
      <c r="CM452" s="18"/>
      <c r="CN452" s="18"/>
      <c r="CO452" s="18"/>
      <c r="CP452" s="18"/>
      <c r="CQ452" s="18"/>
      <c r="CR452" s="18"/>
      <c r="CS452" s="18"/>
      <c r="CT452" s="18"/>
      <c r="CU452" s="18"/>
    </row>
    <row r="453" spans="1:99">
      <c r="A453" s="19"/>
      <c r="B453" s="19"/>
      <c r="C453" s="19"/>
      <c r="D453" s="19"/>
      <c r="E453" s="19"/>
      <c r="F453" s="19"/>
      <c r="G453" s="19"/>
      <c r="H453" s="19"/>
      <c r="I453" s="19"/>
      <c r="J453" s="19"/>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c r="BO453" s="18"/>
      <c r="BP453" s="18"/>
      <c r="BQ453" s="18"/>
      <c r="BR453" s="18"/>
      <c r="BS453" s="18"/>
      <c r="BT453" s="18"/>
      <c r="BU453" s="18"/>
      <c r="BV453" s="18"/>
      <c r="BW453" s="18"/>
      <c r="BX453" s="18"/>
      <c r="BY453" s="18"/>
      <c r="BZ453" s="18"/>
      <c r="CA453" s="18"/>
      <c r="CB453" s="18"/>
      <c r="CC453" s="18"/>
      <c r="CD453" s="18"/>
      <c r="CE453" s="18"/>
      <c r="CF453" s="18"/>
      <c r="CG453" s="18"/>
      <c r="CH453" s="18"/>
      <c r="CI453" s="18"/>
      <c r="CJ453" s="18"/>
      <c r="CK453" s="18"/>
      <c r="CL453" s="18"/>
      <c r="CM453" s="18"/>
      <c r="CN453" s="18"/>
      <c r="CO453" s="18"/>
      <c r="CP453" s="18"/>
      <c r="CQ453" s="18"/>
      <c r="CR453" s="18"/>
      <c r="CS453" s="18"/>
      <c r="CT453" s="18"/>
      <c r="CU453" s="18"/>
    </row>
    <row r="454" spans="1:99">
      <c r="A454" s="19"/>
      <c r="B454" s="19"/>
      <c r="C454" s="19"/>
      <c r="D454" s="19"/>
      <c r="E454" s="19"/>
      <c r="F454" s="19"/>
      <c r="G454" s="19"/>
      <c r="H454" s="19"/>
      <c r="I454" s="19"/>
      <c r="J454" s="19"/>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c r="BO454" s="18"/>
      <c r="BP454" s="18"/>
      <c r="BQ454" s="18"/>
      <c r="BR454" s="18"/>
      <c r="BS454" s="18"/>
      <c r="BT454" s="18"/>
      <c r="BU454" s="18"/>
      <c r="BV454" s="18"/>
      <c r="BW454" s="18"/>
      <c r="BX454" s="18"/>
      <c r="BY454" s="18"/>
      <c r="BZ454" s="18"/>
      <c r="CA454" s="18"/>
      <c r="CB454" s="18"/>
      <c r="CC454" s="18"/>
      <c r="CD454" s="18"/>
      <c r="CE454" s="18"/>
      <c r="CF454" s="18"/>
      <c r="CG454" s="18"/>
      <c r="CH454" s="18"/>
      <c r="CI454" s="18"/>
      <c r="CJ454" s="18"/>
      <c r="CK454" s="18"/>
      <c r="CL454" s="18"/>
      <c r="CM454" s="18"/>
      <c r="CN454" s="18"/>
      <c r="CO454" s="18"/>
      <c r="CP454" s="18"/>
      <c r="CQ454" s="18"/>
      <c r="CR454" s="18"/>
      <c r="CS454" s="18"/>
      <c r="CT454" s="18"/>
      <c r="CU454" s="18"/>
    </row>
    <row r="455" spans="1:99">
      <c r="A455" s="19"/>
      <c r="B455" s="19"/>
      <c r="C455" s="19"/>
      <c r="D455" s="19"/>
      <c r="E455" s="19"/>
      <c r="F455" s="19"/>
      <c r="G455" s="19"/>
      <c r="H455" s="19"/>
      <c r="I455" s="19"/>
      <c r="J455" s="19"/>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c r="BO455" s="18"/>
      <c r="BP455" s="18"/>
      <c r="BQ455" s="18"/>
      <c r="BR455" s="18"/>
      <c r="BS455" s="18"/>
      <c r="BT455" s="18"/>
      <c r="BU455" s="18"/>
      <c r="BV455" s="18"/>
      <c r="BW455" s="18"/>
      <c r="BX455" s="18"/>
      <c r="BY455" s="18"/>
      <c r="BZ455" s="18"/>
      <c r="CA455" s="18"/>
      <c r="CB455" s="18"/>
      <c r="CC455" s="18"/>
      <c r="CD455" s="18"/>
      <c r="CE455" s="18"/>
      <c r="CF455" s="18"/>
      <c r="CG455" s="18"/>
      <c r="CH455" s="18"/>
      <c r="CI455" s="18"/>
      <c r="CJ455" s="18"/>
      <c r="CK455" s="18"/>
      <c r="CL455" s="18"/>
      <c r="CM455" s="18"/>
      <c r="CN455" s="18"/>
      <c r="CO455" s="18"/>
      <c r="CP455" s="18"/>
      <c r="CQ455" s="18"/>
      <c r="CR455" s="18"/>
      <c r="CS455" s="18"/>
      <c r="CT455" s="18"/>
      <c r="CU455" s="18"/>
    </row>
    <row r="456" spans="1:99">
      <c r="A456" s="19"/>
      <c r="B456" s="19"/>
      <c r="C456" s="19"/>
      <c r="D456" s="19"/>
      <c r="E456" s="19"/>
      <c r="F456" s="19"/>
      <c r="G456" s="19"/>
      <c r="H456" s="19"/>
      <c r="I456" s="19"/>
      <c r="J456" s="19"/>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c r="BO456" s="18"/>
      <c r="BP456" s="18"/>
      <c r="BQ456" s="18"/>
      <c r="BR456" s="18"/>
      <c r="BS456" s="18"/>
      <c r="BT456" s="18"/>
      <c r="BU456" s="18"/>
      <c r="BV456" s="18"/>
      <c r="BW456" s="18"/>
      <c r="BX456" s="18"/>
      <c r="BY456" s="18"/>
      <c r="BZ456" s="18"/>
      <c r="CA456" s="18"/>
      <c r="CB456" s="18"/>
      <c r="CC456" s="18"/>
      <c r="CD456" s="18"/>
      <c r="CE456" s="18"/>
      <c r="CF456" s="18"/>
      <c r="CG456" s="18"/>
      <c r="CH456" s="18"/>
      <c r="CI456" s="18"/>
      <c r="CJ456" s="18"/>
      <c r="CK456" s="18"/>
      <c r="CL456" s="18"/>
      <c r="CM456" s="18"/>
      <c r="CN456" s="18"/>
      <c r="CO456" s="18"/>
      <c r="CP456" s="18"/>
      <c r="CQ456" s="18"/>
      <c r="CR456" s="18"/>
      <c r="CS456" s="18"/>
      <c r="CT456" s="18"/>
      <c r="CU456" s="18"/>
    </row>
    <row r="457" spans="1:99">
      <c r="A457" s="19"/>
      <c r="B457" s="19"/>
      <c r="C457" s="19"/>
      <c r="D457" s="19"/>
      <c r="E457" s="19"/>
      <c r="F457" s="19"/>
      <c r="G457" s="19"/>
      <c r="H457" s="19"/>
      <c r="I457" s="19"/>
      <c r="J457" s="19"/>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c r="BO457" s="18"/>
      <c r="BP457" s="18"/>
      <c r="BQ457" s="18"/>
      <c r="BR457" s="18"/>
      <c r="BS457" s="18"/>
      <c r="BT457" s="18"/>
      <c r="BU457" s="18"/>
      <c r="BV457" s="18"/>
      <c r="BW457" s="18"/>
      <c r="BX457" s="18"/>
      <c r="BY457" s="18"/>
      <c r="BZ457" s="18"/>
      <c r="CA457" s="18"/>
      <c r="CB457" s="18"/>
      <c r="CC457" s="18"/>
      <c r="CD457" s="18"/>
      <c r="CE457" s="18"/>
      <c r="CF457" s="18"/>
      <c r="CG457" s="18"/>
      <c r="CH457" s="18"/>
      <c r="CI457" s="18"/>
      <c r="CJ457" s="18"/>
      <c r="CK457" s="18"/>
      <c r="CL457" s="18"/>
      <c r="CM457" s="18"/>
      <c r="CN457" s="18"/>
      <c r="CO457" s="18"/>
      <c r="CP457" s="18"/>
      <c r="CQ457" s="18"/>
      <c r="CR457" s="18"/>
      <c r="CS457" s="18"/>
      <c r="CT457" s="18"/>
      <c r="CU457" s="18"/>
    </row>
    <row r="458" spans="1:99">
      <c r="A458" s="19"/>
      <c r="B458" s="19"/>
      <c r="C458" s="19"/>
      <c r="D458" s="19"/>
      <c r="E458" s="19"/>
      <c r="F458" s="19"/>
      <c r="G458" s="19"/>
      <c r="H458" s="19"/>
      <c r="I458" s="19"/>
      <c r="J458" s="19"/>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c r="BO458" s="18"/>
      <c r="BP458" s="18"/>
      <c r="BQ458" s="18"/>
      <c r="BR458" s="18"/>
      <c r="BS458" s="18"/>
      <c r="BT458" s="18"/>
      <c r="BU458" s="18"/>
      <c r="BV458" s="18"/>
      <c r="BW458" s="18"/>
      <c r="BX458" s="18"/>
      <c r="BY458" s="18"/>
      <c r="BZ458" s="18"/>
      <c r="CA458" s="18"/>
      <c r="CB458" s="18"/>
      <c r="CC458" s="18"/>
      <c r="CD458" s="18"/>
      <c r="CE458" s="18"/>
      <c r="CF458" s="18"/>
      <c r="CG458" s="18"/>
      <c r="CH458" s="18"/>
      <c r="CI458" s="18"/>
      <c r="CJ458" s="18"/>
      <c r="CK458" s="18"/>
      <c r="CL458" s="18"/>
      <c r="CM458" s="18"/>
      <c r="CN458" s="18"/>
      <c r="CO458" s="18"/>
      <c r="CP458" s="18"/>
      <c r="CQ458" s="18"/>
      <c r="CR458" s="18"/>
      <c r="CS458" s="18"/>
      <c r="CT458" s="18"/>
      <c r="CU458" s="18"/>
    </row>
    <row r="459" spans="1:99">
      <c r="A459" s="19"/>
      <c r="B459" s="19"/>
      <c r="C459" s="19"/>
      <c r="D459" s="19"/>
      <c r="E459" s="19"/>
      <c r="F459" s="19"/>
      <c r="G459" s="19"/>
      <c r="H459" s="19"/>
      <c r="I459" s="19"/>
      <c r="J459" s="19"/>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c r="BO459" s="18"/>
      <c r="BP459" s="18"/>
      <c r="BQ459" s="18"/>
      <c r="BR459" s="18"/>
      <c r="BS459" s="18"/>
      <c r="BT459" s="18"/>
      <c r="BU459" s="18"/>
      <c r="BV459" s="18"/>
      <c r="BW459" s="18"/>
      <c r="BX459" s="18"/>
      <c r="BY459" s="18"/>
      <c r="BZ459" s="18"/>
      <c r="CA459" s="18"/>
      <c r="CB459" s="18"/>
      <c r="CC459" s="18"/>
      <c r="CD459" s="18"/>
      <c r="CE459" s="18"/>
      <c r="CF459" s="18"/>
      <c r="CG459" s="18"/>
      <c r="CH459" s="18"/>
      <c r="CI459" s="18"/>
      <c r="CJ459" s="18"/>
      <c r="CK459" s="18"/>
      <c r="CL459" s="18"/>
      <c r="CM459" s="18"/>
      <c r="CN459" s="18"/>
      <c r="CO459" s="18"/>
      <c r="CP459" s="18"/>
      <c r="CQ459" s="18"/>
      <c r="CR459" s="18"/>
      <c r="CS459" s="18"/>
      <c r="CT459" s="18"/>
      <c r="CU459" s="18"/>
    </row>
    <row r="460" spans="1:99">
      <c r="A460" s="19"/>
      <c r="B460" s="19"/>
      <c r="C460" s="19"/>
      <c r="D460" s="19"/>
      <c r="E460" s="19"/>
      <c r="F460" s="19"/>
      <c r="G460" s="19"/>
      <c r="H460" s="19"/>
      <c r="I460" s="19"/>
      <c r="J460" s="19"/>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c r="BO460" s="18"/>
      <c r="BP460" s="18"/>
      <c r="BQ460" s="18"/>
      <c r="BR460" s="18"/>
      <c r="BS460" s="18"/>
      <c r="BT460" s="18"/>
      <c r="BU460" s="18"/>
      <c r="BV460" s="18"/>
      <c r="BW460" s="18"/>
      <c r="BX460" s="18"/>
      <c r="BY460" s="18"/>
      <c r="BZ460" s="18"/>
      <c r="CA460" s="18"/>
      <c r="CB460" s="18"/>
      <c r="CC460" s="18"/>
      <c r="CD460" s="18"/>
      <c r="CE460" s="18"/>
      <c r="CF460" s="18"/>
      <c r="CG460" s="18"/>
      <c r="CH460" s="18"/>
      <c r="CI460" s="18"/>
      <c r="CJ460" s="18"/>
      <c r="CK460" s="18"/>
      <c r="CL460" s="18"/>
      <c r="CM460" s="18"/>
      <c r="CN460" s="18"/>
      <c r="CO460" s="18"/>
      <c r="CP460" s="18"/>
      <c r="CQ460" s="18"/>
      <c r="CR460" s="18"/>
      <c r="CS460" s="18"/>
      <c r="CT460" s="18"/>
      <c r="CU460" s="18"/>
    </row>
    <row r="461" spans="1:99">
      <c r="A461" s="19"/>
      <c r="B461" s="19"/>
      <c r="C461" s="19"/>
      <c r="D461" s="19"/>
      <c r="E461" s="19"/>
      <c r="F461" s="19"/>
      <c r="G461" s="19"/>
      <c r="H461" s="19"/>
      <c r="I461" s="19"/>
      <c r="J461" s="19"/>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c r="BO461" s="18"/>
      <c r="BP461" s="18"/>
      <c r="BQ461" s="18"/>
      <c r="BR461" s="18"/>
      <c r="BS461" s="18"/>
      <c r="BT461" s="18"/>
      <c r="BU461" s="18"/>
      <c r="BV461" s="18"/>
      <c r="BW461" s="18"/>
      <c r="BX461" s="18"/>
      <c r="BY461" s="18"/>
      <c r="BZ461" s="18"/>
      <c r="CA461" s="18"/>
      <c r="CB461" s="18"/>
      <c r="CC461" s="18"/>
      <c r="CD461" s="18"/>
      <c r="CE461" s="18"/>
      <c r="CF461" s="18"/>
      <c r="CG461" s="18"/>
      <c r="CH461" s="18"/>
      <c r="CI461" s="18"/>
      <c r="CJ461" s="18"/>
      <c r="CK461" s="18"/>
      <c r="CL461" s="18"/>
      <c r="CM461" s="18"/>
      <c r="CN461" s="18"/>
      <c r="CO461" s="18"/>
      <c r="CP461" s="18"/>
      <c r="CQ461" s="18"/>
      <c r="CR461" s="18"/>
      <c r="CS461" s="18"/>
      <c r="CT461" s="18"/>
      <c r="CU461" s="18"/>
    </row>
    <row r="462" spans="1:99">
      <c r="A462" s="19"/>
      <c r="B462" s="19"/>
      <c r="C462" s="19"/>
      <c r="D462" s="19"/>
      <c r="E462" s="19"/>
      <c r="F462" s="19"/>
      <c r="G462" s="19"/>
      <c r="H462" s="19"/>
      <c r="I462" s="19"/>
      <c r="J462" s="19"/>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c r="BO462" s="18"/>
      <c r="BP462" s="18"/>
      <c r="BQ462" s="18"/>
      <c r="BR462" s="18"/>
      <c r="BS462" s="18"/>
      <c r="BT462" s="18"/>
      <c r="BU462" s="18"/>
      <c r="BV462" s="18"/>
      <c r="BW462" s="18"/>
      <c r="BX462" s="18"/>
      <c r="BY462" s="18"/>
      <c r="BZ462" s="18"/>
      <c r="CA462" s="18"/>
      <c r="CB462" s="18"/>
      <c r="CC462" s="18"/>
      <c r="CD462" s="18"/>
      <c r="CE462" s="18"/>
      <c r="CF462" s="18"/>
      <c r="CG462" s="18"/>
      <c r="CH462" s="18"/>
      <c r="CI462" s="18"/>
      <c r="CJ462" s="18"/>
      <c r="CK462" s="18"/>
      <c r="CL462" s="18"/>
      <c r="CM462" s="18"/>
      <c r="CN462" s="18"/>
      <c r="CO462" s="18"/>
      <c r="CP462" s="18"/>
      <c r="CQ462" s="18"/>
      <c r="CR462" s="18"/>
      <c r="CS462" s="18"/>
      <c r="CT462" s="18"/>
      <c r="CU462" s="18"/>
    </row>
    <row r="463" spans="1:99">
      <c r="A463" s="19"/>
      <c r="B463" s="19"/>
      <c r="C463" s="19"/>
      <c r="D463" s="19"/>
      <c r="E463" s="19"/>
      <c r="F463" s="19"/>
      <c r="G463" s="19"/>
      <c r="H463" s="19"/>
      <c r="I463" s="19"/>
      <c r="J463" s="19"/>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c r="BO463" s="18"/>
      <c r="BP463" s="18"/>
      <c r="BQ463" s="18"/>
      <c r="BR463" s="18"/>
      <c r="BS463" s="18"/>
      <c r="BT463" s="18"/>
      <c r="BU463" s="18"/>
      <c r="BV463" s="18"/>
      <c r="BW463" s="18"/>
      <c r="BX463" s="18"/>
      <c r="BY463" s="18"/>
      <c r="BZ463" s="18"/>
      <c r="CA463" s="18"/>
      <c r="CB463" s="18"/>
      <c r="CC463" s="18"/>
      <c r="CD463" s="18"/>
      <c r="CE463" s="18"/>
      <c r="CF463" s="18"/>
      <c r="CG463" s="18"/>
      <c r="CH463" s="18"/>
      <c r="CI463" s="18"/>
      <c r="CJ463" s="18"/>
      <c r="CK463" s="18"/>
      <c r="CL463" s="18"/>
      <c r="CM463" s="18"/>
      <c r="CN463" s="18"/>
      <c r="CO463" s="18"/>
      <c r="CP463" s="18"/>
      <c r="CQ463" s="18"/>
      <c r="CR463" s="18"/>
      <c r="CS463" s="18"/>
      <c r="CT463" s="18"/>
      <c r="CU463" s="18"/>
    </row>
    <row r="464" spans="1:99">
      <c r="A464" s="19"/>
      <c r="B464" s="19"/>
      <c r="C464" s="19"/>
      <c r="D464" s="19"/>
      <c r="E464" s="19"/>
      <c r="F464" s="19"/>
      <c r="G464" s="19"/>
      <c r="H464" s="19"/>
      <c r="I464" s="19"/>
      <c r="J464" s="19"/>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c r="BO464" s="18"/>
      <c r="BP464" s="18"/>
      <c r="BQ464" s="18"/>
      <c r="BR464" s="18"/>
      <c r="BS464" s="18"/>
      <c r="BT464" s="18"/>
      <c r="BU464" s="18"/>
      <c r="BV464" s="18"/>
      <c r="BW464" s="18"/>
      <c r="BX464" s="18"/>
      <c r="BY464" s="18"/>
      <c r="BZ464" s="18"/>
      <c r="CA464" s="18"/>
      <c r="CB464" s="18"/>
      <c r="CC464" s="18"/>
      <c r="CD464" s="18"/>
      <c r="CE464" s="18"/>
      <c r="CF464" s="18"/>
      <c r="CG464" s="18"/>
      <c r="CH464" s="18"/>
      <c r="CI464" s="18"/>
      <c r="CJ464" s="18"/>
      <c r="CK464" s="18"/>
      <c r="CL464" s="18"/>
      <c r="CM464" s="18"/>
      <c r="CN464" s="18"/>
      <c r="CO464" s="18"/>
      <c r="CP464" s="18"/>
      <c r="CQ464" s="18"/>
      <c r="CR464" s="18"/>
      <c r="CS464" s="18"/>
      <c r="CT464" s="18"/>
      <c r="CU464" s="18"/>
    </row>
    <row r="465" spans="1:99">
      <c r="A465" s="19"/>
      <c r="B465" s="19"/>
      <c r="C465" s="19"/>
      <c r="D465" s="19"/>
      <c r="E465" s="19"/>
      <c r="F465" s="19"/>
      <c r="G465" s="19"/>
      <c r="H465" s="19"/>
      <c r="I465" s="19"/>
      <c r="J465" s="19"/>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c r="BO465" s="18"/>
      <c r="BP465" s="18"/>
      <c r="BQ465" s="18"/>
      <c r="BR465" s="18"/>
      <c r="BS465" s="18"/>
      <c r="BT465" s="18"/>
      <c r="BU465" s="18"/>
      <c r="BV465" s="18"/>
      <c r="BW465" s="18"/>
      <c r="BX465" s="18"/>
      <c r="BY465" s="18"/>
      <c r="BZ465" s="18"/>
      <c r="CA465" s="18"/>
      <c r="CB465" s="18"/>
      <c r="CC465" s="18"/>
      <c r="CD465" s="18"/>
      <c r="CE465" s="18"/>
      <c r="CF465" s="18"/>
      <c r="CG465" s="18"/>
      <c r="CH465" s="18"/>
      <c r="CI465" s="18"/>
      <c r="CJ465" s="18"/>
      <c r="CK465" s="18"/>
      <c r="CL465" s="18"/>
      <c r="CM465" s="18"/>
      <c r="CN465" s="18"/>
      <c r="CO465" s="18"/>
      <c r="CP465" s="18"/>
      <c r="CQ465" s="18"/>
      <c r="CR465" s="18"/>
      <c r="CS465" s="18"/>
      <c r="CT465" s="18"/>
      <c r="CU465" s="18"/>
    </row>
    <row r="466" spans="1:99">
      <c r="A466" s="19"/>
      <c r="B466" s="19"/>
      <c r="C466" s="19"/>
      <c r="D466" s="19"/>
      <c r="E466" s="19"/>
      <c r="F466" s="19"/>
      <c r="G466" s="19"/>
      <c r="H466" s="19"/>
      <c r="I466" s="19"/>
      <c r="J466" s="19"/>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c r="BO466" s="18"/>
      <c r="BP466" s="18"/>
      <c r="BQ466" s="18"/>
      <c r="BR466" s="18"/>
      <c r="BS466" s="18"/>
      <c r="BT466" s="18"/>
      <c r="BU466" s="18"/>
      <c r="BV466" s="18"/>
      <c r="BW466" s="18"/>
      <c r="BX466" s="18"/>
      <c r="BY466" s="18"/>
      <c r="BZ466" s="18"/>
      <c r="CA466" s="18"/>
      <c r="CB466" s="18"/>
      <c r="CC466" s="18"/>
      <c r="CD466" s="18"/>
      <c r="CE466" s="18"/>
      <c r="CF466" s="18"/>
      <c r="CG466" s="18"/>
      <c r="CH466" s="18"/>
      <c r="CI466" s="18"/>
      <c r="CJ466" s="18"/>
      <c r="CK466" s="18"/>
      <c r="CL466" s="18"/>
      <c r="CM466" s="18"/>
      <c r="CN466" s="18"/>
      <c r="CO466" s="18"/>
      <c r="CP466" s="18"/>
      <c r="CQ466" s="18"/>
      <c r="CR466" s="18"/>
      <c r="CS466" s="18"/>
      <c r="CT466" s="18"/>
      <c r="CU466" s="18"/>
    </row>
    <row r="467" spans="1:99">
      <c r="A467" s="19"/>
      <c r="B467" s="19"/>
      <c r="C467" s="19"/>
      <c r="D467" s="19"/>
      <c r="E467" s="19"/>
      <c r="F467" s="19"/>
      <c r="G467" s="19"/>
      <c r="H467" s="19"/>
      <c r="I467" s="19"/>
      <c r="J467" s="19"/>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c r="BO467" s="18"/>
      <c r="BP467" s="18"/>
      <c r="BQ467" s="18"/>
      <c r="BR467" s="18"/>
      <c r="BS467" s="18"/>
      <c r="BT467" s="18"/>
      <c r="BU467" s="18"/>
      <c r="BV467" s="18"/>
      <c r="BW467" s="18"/>
      <c r="BX467" s="18"/>
      <c r="BY467" s="18"/>
      <c r="BZ467" s="18"/>
      <c r="CA467" s="18"/>
      <c r="CB467" s="18"/>
      <c r="CC467" s="18"/>
      <c r="CD467" s="18"/>
      <c r="CE467" s="18"/>
      <c r="CF467" s="18"/>
      <c r="CG467" s="18"/>
      <c r="CH467" s="18"/>
      <c r="CI467" s="18"/>
      <c r="CJ467" s="18"/>
      <c r="CK467" s="18"/>
      <c r="CL467" s="18"/>
      <c r="CM467" s="18"/>
      <c r="CN467" s="18"/>
      <c r="CO467" s="18"/>
      <c r="CP467" s="18"/>
      <c r="CQ467" s="18"/>
      <c r="CR467" s="18"/>
      <c r="CS467" s="18"/>
      <c r="CT467" s="18"/>
      <c r="CU467" s="18"/>
    </row>
    <row r="468" spans="1:99">
      <c r="A468" s="19"/>
      <c r="B468" s="19"/>
      <c r="C468" s="19"/>
      <c r="D468" s="19"/>
      <c r="E468" s="19"/>
      <c r="F468" s="19"/>
      <c r="G468" s="19"/>
      <c r="H468" s="19"/>
      <c r="I468" s="19"/>
      <c r="J468" s="19"/>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c r="BO468" s="18"/>
      <c r="BP468" s="18"/>
      <c r="BQ468" s="18"/>
      <c r="BR468" s="18"/>
      <c r="BS468" s="18"/>
      <c r="BT468" s="18"/>
      <c r="BU468" s="18"/>
      <c r="BV468" s="18"/>
      <c r="BW468" s="18"/>
      <c r="BX468" s="18"/>
      <c r="BY468" s="18"/>
      <c r="BZ468" s="18"/>
      <c r="CA468" s="18"/>
      <c r="CB468" s="18"/>
      <c r="CC468" s="18"/>
      <c r="CD468" s="18"/>
      <c r="CE468" s="18"/>
      <c r="CF468" s="18"/>
      <c r="CG468" s="18"/>
      <c r="CH468" s="18"/>
      <c r="CI468" s="18"/>
      <c r="CJ468" s="18"/>
      <c r="CK468" s="18"/>
      <c r="CL468" s="18"/>
      <c r="CM468" s="18"/>
      <c r="CN468" s="18"/>
      <c r="CO468" s="18"/>
      <c r="CP468" s="18"/>
      <c r="CQ468" s="18"/>
      <c r="CR468" s="18"/>
      <c r="CS468" s="18"/>
      <c r="CT468" s="18"/>
      <c r="CU468" s="18"/>
    </row>
    <row r="469" spans="1:99">
      <c r="A469" s="19"/>
      <c r="B469" s="19"/>
      <c r="C469" s="19"/>
      <c r="D469" s="19"/>
      <c r="E469" s="19"/>
      <c r="F469" s="19"/>
      <c r="G469" s="19"/>
      <c r="H469" s="19"/>
      <c r="I469" s="19"/>
      <c r="J469" s="19"/>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c r="BO469" s="18"/>
      <c r="BP469" s="18"/>
      <c r="BQ469" s="18"/>
      <c r="BR469" s="18"/>
      <c r="BS469" s="18"/>
      <c r="BT469" s="18"/>
      <c r="BU469" s="18"/>
      <c r="BV469" s="18"/>
      <c r="BW469" s="18"/>
      <c r="BX469" s="18"/>
      <c r="BY469" s="18"/>
      <c r="BZ469" s="18"/>
      <c r="CA469" s="18"/>
      <c r="CB469" s="18"/>
      <c r="CC469" s="18"/>
      <c r="CD469" s="18"/>
      <c r="CE469" s="18"/>
      <c r="CF469" s="18"/>
      <c r="CG469" s="18"/>
      <c r="CH469" s="18"/>
      <c r="CI469" s="18"/>
      <c r="CJ469" s="18"/>
      <c r="CK469" s="18"/>
      <c r="CL469" s="18"/>
      <c r="CM469" s="18"/>
      <c r="CN469" s="18"/>
      <c r="CO469" s="18"/>
      <c r="CP469" s="18"/>
      <c r="CQ469" s="18"/>
      <c r="CR469" s="18"/>
      <c r="CS469" s="18"/>
      <c r="CT469" s="18"/>
      <c r="CU469" s="18"/>
    </row>
    <row r="470" spans="1:99">
      <c r="A470" s="19"/>
      <c r="B470" s="19"/>
      <c r="C470" s="19"/>
      <c r="D470" s="19"/>
      <c r="E470" s="19"/>
      <c r="F470" s="19"/>
      <c r="G470" s="19"/>
      <c r="H470" s="19"/>
      <c r="I470" s="19"/>
      <c r="J470" s="19"/>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c r="BO470" s="18"/>
      <c r="BP470" s="18"/>
      <c r="BQ470" s="18"/>
      <c r="BR470" s="18"/>
      <c r="BS470" s="18"/>
      <c r="BT470" s="18"/>
      <c r="BU470" s="18"/>
      <c r="BV470" s="18"/>
      <c r="BW470" s="18"/>
      <c r="BX470" s="18"/>
      <c r="BY470" s="18"/>
      <c r="BZ470" s="18"/>
      <c r="CA470" s="18"/>
      <c r="CB470" s="18"/>
      <c r="CC470" s="18"/>
      <c r="CD470" s="18"/>
      <c r="CE470" s="18"/>
      <c r="CF470" s="18"/>
      <c r="CG470" s="18"/>
      <c r="CH470" s="18"/>
      <c r="CI470" s="18"/>
      <c r="CJ470" s="18"/>
      <c r="CK470" s="18"/>
      <c r="CL470" s="18"/>
      <c r="CM470" s="18"/>
      <c r="CN470" s="18"/>
      <c r="CO470" s="18"/>
      <c r="CP470" s="18"/>
      <c r="CQ470" s="18"/>
      <c r="CR470" s="18"/>
      <c r="CS470" s="18"/>
      <c r="CT470" s="18"/>
      <c r="CU470" s="18"/>
    </row>
    <row r="471" spans="1:99">
      <c r="A471" s="19"/>
      <c r="B471" s="19"/>
      <c r="C471" s="19"/>
      <c r="D471" s="19"/>
      <c r="E471" s="19"/>
      <c r="F471" s="19"/>
      <c r="G471" s="19"/>
      <c r="H471" s="19"/>
      <c r="I471" s="19"/>
      <c r="J471" s="19"/>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c r="BO471" s="18"/>
      <c r="BP471" s="18"/>
      <c r="BQ471" s="18"/>
      <c r="BR471" s="18"/>
      <c r="BS471" s="18"/>
      <c r="BT471" s="18"/>
      <c r="BU471" s="18"/>
      <c r="BV471" s="18"/>
      <c r="BW471" s="18"/>
      <c r="BX471" s="18"/>
      <c r="BY471" s="18"/>
      <c r="BZ471" s="18"/>
      <c r="CA471" s="18"/>
      <c r="CB471" s="18"/>
      <c r="CC471" s="18"/>
      <c r="CD471" s="18"/>
      <c r="CE471" s="18"/>
      <c r="CF471" s="18"/>
      <c r="CG471" s="18"/>
      <c r="CH471" s="18"/>
      <c r="CI471" s="18"/>
      <c r="CJ471" s="18"/>
      <c r="CK471" s="18"/>
      <c r="CL471" s="18"/>
      <c r="CM471" s="18"/>
      <c r="CN471" s="18"/>
      <c r="CO471" s="18"/>
      <c r="CP471" s="18"/>
      <c r="CQ471" s="18"/>
      <c r="CR471" s="18"/>
      <c r="CS471" s="18"/>
      <c r="CT471" s="18"/>
      <c r="CU471" s="18"/>
    </row>
    <row r="472" spans="1:99">
      <c r="A472" s="19"/>
      <c r="B472" s="19"/>
      <c r="C472" s="19"/>
      <c r="D472" s="19"/>
      <c r="E472" s="19"/>
      <c r="F472" s="19"/>
      <c r="G472" s="19"/>
      <c r="H472" s="19"/>
      <c r="I472" s="19"/>
      <c r="J472" s="19"/>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c r="BO472" s="18"/>
      <c r="BP472" s="18"/>
      <c r="BQ472" s="18"/>
      <c r="BR472" s="18"/>
      <c r="BS472" s="18"/>
      <c r="BT472" s="18"/>
      <c r="BU472" s="18"/>
      <c r="BV472" s="18"/>
      <c r="BW472" s="18"/>
      <c r="BX472" s="18"/>
      <c r="BY472" s="18"/>
      <c r="BZ472" s="18"/>
      <c r="CA472" s="18"/>
      <c r="CB472" s="18"/>
      <c r="CC472" s="18"/>
      <c r="CD472" s="18"/>
      <c r="CE472" s="18"/>
      <c r="CF472" s="18"/>
      <c r="CG472" s="18"/>
      <c r="CH472" s="18"/>
      <c r="CI472" s="18"/>
      <c r="CJ472" s="18"/>
      <c r="CK472" s="18"/>
      <c r="CL472" s="18"/>
      <c r="CM472" s="18"/>
      <c r="CN472" s="18"/>
      <c r="CO472" s="18"/>
      <c r="CP472" s="18"/>
      <c r="CQ472" s="18"/>
      <c r="CR472" s="18"/>
      <c r="CS472" s="18"/>
      <c r="CT472" s="18"/>
      <c r="CU472" s="18"/>
    </row>
    <row r="473" spans="1:99">
      <c r="A473" s="19"/>
      <c r="B473" s="19"/>
      <c r="C473" s="19"/>
      <c r="D473" s="19"/>
      <c r="E473" s="19"/>
      <c r="F473" s="19"/>
      <c r="G473" s="19"/>
      <c r="H473" s="19"/>
      <c r="I473" s="19"/>
      <c r="J473" s="19"/>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c r="BO473" s="18"/>
      <c r="BP473" s="18"/>
      <c r="BQ473" s="18"/>
      <c r="BR473" s="18"/>
      <c r="BS473" s="18"/>
      <c r="BT473" s="18"/>
      <c r="BU473" s="18"/>
      <c r="BV473" s="18"/>
      <c r="BW473" s="18"/>
      <c r="BX473" s="18"/>
      <c r="BY473" s="18"/>
      <c r="BZ473" s="18"/>
      <c r="CA473" s="18"/>
      <c r="CB473" s="18"/>
      <c r="CC473" s="18"/>
      <c r="CD473" s="18"/>
      <c r="CE473" s="18"/>
      <c r="CF473" s="18"/>
      <c r="CG473" s="18"/>
      <c r="CH473" s="18"/>
      <c r="CI473" s="18"/>
      <c r="CJ473" s="18"/>
      <c r="CK473" s="18"/>
      <c r="CL473" s="18"/>
      <c r="CM473" s="18"/>
      <c r="CN473" s="18"/>
      <c r="CO473" s="18"/>
      <c r="CP473" s="18"/>
      <c r="CQ473" s="18"/>
      <c r="CR473" s="18"/>
      <c r="CS473" s="18"/>
      <c r="CT473" s="18"/>
      <c r="CU473" s="18"/>
    </row>
    <row r="474" spans="1:99">
      <c r="A474" s="19"/>
      <c r="B474" s="19"/>
      <c r="C474" s="19"/>
      <c r="D474" s="19"/>
      <c r="E474" s="19"/>
      <c r="F474" s="19"/>
      <c r="G474" s="19"/>
      <c r="H474" s="19"/>
      <c r="I474" s="19"/>
      <c r="J474" s="19"/>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c r="BO474" s="18"/>
      <c r="BP474" s="18"/>
      <c r="BQ474" s="18"/>
      <c r="BR474" s="18"/>
      <c r="BS474" s="18"/>
      <c r="BT474" s="18"/>
      <c r="BU474" s="18"/>
      <c r="BV474" s="18"/>
      <c r="BW474" s="18"/>
      <c r="BX474" s="18"/>
      <c r="BY474" s="18"/>
      <c r="BZ474" s="18"/>
      <c r="CA474" s="18"/>
      <c r="CB474" s="18"/>
      <c r="CC474" s="18"/>
      <c r="CD474" s="18"/>
      <c r="CE474" s="18"/>
      <c r="CF474" s="18"/>
      <c r="CG474" s="18"/>
      <c r="CH474" s="18"/>
      <c r="CI474" s="18"/>
      <c r="CJ474" s="18"/>
      <c r="CK474" s="18"/>
      <c r="CL474" s="18"/>
      <c r="CM474" s="18"/>
      <c r="CN474" s="18"/>
      <c r="CO474" s="18"/>
      <c r="CP474" s="18"/>
      <c r="CQ474" s="18"/>
      <c r="CR474" s="18"/>
      <c r="CS474" s="18"/>
      <c r="CT474" s="18"/>
      <c r="CU474" s="18"/>
    </row>
    <row r="475" spans="1:99">
      <c r="A475" s="19"/>
      <c r="B475" s="19"/>
      <c r="C475" s="19"/>
      <c r="D475" s="19"/>
      <c r="E475" s="19"/>
      <c r="F475" s="19"/>
      <c r="G475" s="19"/>
      <c r="H475" s="19"/>
      <c r="I475" s="19"/>
      <c r="J475" s="19"/>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c r="BO475" s="18"/>
      <c r="BP475" s="18"/>
      <c r="BQ475" s="18"/>
      <c r="BR475" s="18"/>
      <c r="BS475" s="18"/>
      <c r="BT475" s="18"/>
      <c r="BU475" s="18"/>
      <c r="BV475" s="18"/>
      <c r="BW475" s="18"/>
      <c r="BX475" s="18"/>
      <c r="BY475" s="18"/>
      <c r="BZ475" s="18"/>
      <c r="CA475" s="18"/>
      <c r="CB475" s="18"/>
      <c r="CC475" s="18"/>
      <c r="CD475" s="18"/>
      <c r="CE475" s="18"/>
      <c r="CF475" s="18"/>
      <c r="CG475" s="18"/>
      <c r="CH475" s="18"/>
      <c r="CI475" s="18"/>
      <c r="CJ475" s="18"/>
      <c r="CK475" s="18"/>
      <c r="CL475" s="18"/>
      <c r="CM475" s="18"/>
      <c r="CN475" s="18"/>
      <c r="CO475" s="18"/>
      <c r="CP475" s="18"/>
      <c r="CQ475" s="18"/>
      <c r="CR475" s="18"/>
      <c r="CS475" s="18"/>
      <c r="CT475" s="18"/>
      <c r="CU475" s="18"/>
    </row>
    <row r="476" spans="1:99">
      <c r="A476" s="19"/>
      <c r="B476" s="19"/>
      <c r="C476" s="19"/>
      <c r="D476" s="19"/>
      <c r="E476" s="19"/>
      <c r="F476" s="19"/>
      <c r="G476" s="19"/>
      <c r="H476" s="19"/>
      <c r="I476" s="19"/>
      <c r="J476" s="19"/>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8"/>
      <c r="BT476" s="18"/>
      <c r="BU476" s="18"/>
      <c r="BV476" s="18"/>
      <c r="BW476" s="18"/>
      <c r="BX476" s="18"/>
      <c r="BY476" s="18"/>
      <c r="BZ476" s="18"/>
      <c r="CA476" s="18"/>
      <c r="CB476" s="18"/>
      <c r="CC476" s="18"/>
      <c r="CD476" s="18"/>
      <c r="CE476" s="18"/>
      <c r="CF476" s="18"/>
      <c r="CG476" s="18"/>
      <c r="CH476" s="18"/>
      <c r="CI476" s="18"/>
      <c r="CJ476" s="18"/>
      <c r="CK476" s="18"/>
      <c r="CL476" s="18"/>
      <c r="CM476" s="18"/>
      <c r="CN476" s="18"/>
      <c r="CO476" s="18"/>
      <c r="CP476" s="18"/>
      <c r="CQ476" s="18"/>
      <c r="CR476" s="18"/>
      <c r="CS476" s="18"/>
      <c r="CT476" s="18"/>
      <c r="CU476" s="18"/>
    </row>
    <row r="477" spans="1:99">
      <c r="A477" s="19"/>
      <c r="B477" s="19"/>
      <c r="C477" s="19"/>
      <c r="D477" s="19"/>
      <c r="E477" s="19"/>
      <c r="F477" s="19"/>
      <c r="G477" s="19"/>
      <c r="H477" s="19"/>
      <c r="I477" s="19"/>
      <c r="J477" s="19"/>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c r="BO477" s="18"/>
      <c r="BP477" s="18"/>
      <c r="BQ477" s="18"/>
      <c r="BR477" s="18"/>
      <c r="BS477" s="18"/>
      <c r="BT477" s="18"/>
      <c r="BU477" s="18"/>
      <c r="BV477" s="18"/>
      <c r="BW477" s="18"/>
      <c r="BX477" s="18"/>
      <c r="BY477" s="18"/>
      <c r="BZ477" s="18"/>
      <c r="CA477" s="18"/>
      <c r="CB477" s="18"/>
      <c r="CC477" s="18"/>
      <c r="CD477" s="18"/>
      <c r="CE477" s="18"/>
      <c r="CF477" s="18"/>
      <c r="CG477" s="18"/>
      <c r="CH477" s="18"/>
      <c r="CI477" s="18"/>
      <c r="CJ477" s="18"/>
      <c r="CK477" s="18"/>
      <c r="CL477" s="18"/>
      <c r="CM477" s="18"/>
      <c r="CN477" s="18"/>
      <c r="CO477" s="18"/>
      <c r="CP477" s="18"/>
      <c r="CQ477" s="18"/>
      <c r="CR477" s="18"/>
      <c r="CS477" s="18"/>
      <c r="CT477" s="18"/>
      <c r="CU477" s="18"/>
    </row>
    <row r="478" spans="1:99">
      <c r="A478" s="19"/>
      <c r="B478" s="19"/>
      <c r="C478" s="19"/>
      <c r="D478" s="19"/>
      <c r="E478" s="19"/>
      <c r="F478" s="19"/>
      <c r="G478" s="19"/>
      <c r="H478" s="19"/>
      <c r="I478" s="19"/>
      <c r="J478" s="19"/>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c r="BO478" s="18"/>
      <c r="BP478" s="18"/>
      <c r="BQ478" s="18"/>
      <c r="BR478" s="18"/>
      <c r="BS478" s="18"/>
      <c r="BT478" s="18"/>
      <c r="BU478" s="18"/>
      <c r="BV478" s="18"/>
      <c r="BW478" s="18"/>
      <c r="BX478" s="18"/>
      <c r="BY478" s="18"/>
      <c r="BZ478" s="18"/>
      <c r="CA478" s="18"/>
      <c r="CB478" s="18"/>
      <c r="CC478" s="18"/>
      <c r="CD478" s="18"/>
      <c r="CE478" s="18"/>
      <c r="CF478" s="18"/>
      <c r="CG478" s="18"/>
      <c r="CH478" s="18"/>
      <c r="CI478" s="18"/>
      <c r="CJ478" s="18"/>
      <c r="CK478" s="18"/>
      <c r="CL478" s="18"/>
      <c r="CM478" s="18"/>
      <c r="CN478" s="18"/>
      <c r="CO478" s="18"/>
      <c r="CP478" s="18"/>
      <c r="CQ478" s="18"/>
      <c r="CR478" s="18"/>
      <c r="CS478" s="18"/>
      <c r="CT478" s="18"/>
      <c r="CU478" s="18"/>
    </row>
    <row r="479" spans="1:99">
      <c r="A479" s="19"/>
      <c r="B479" s="19"/>
      <c r="C479" s="19"/>
      <c r="D479" s="19"/>
      <c r="E479" s="19"/>
      <c r="F479" s="19"/>
      <c r="G479" s="19"/>
      <c r="H479" s="19"/>
      <c r="I479" s="19"/>
      <c r="J479" s="19"/>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c r="BO479" s="18"/>
      <c r="BP479" s="18"/>
      <c r="BQ479" s="18"/>
      <c r="BR479" s="18"/>
      <c r="BS479" s="18"/>
      <c r="BT479" s="18"/>
      <c r="BU479" s="18"/>
      <c r="BV479" s="18"/>
      <c r="BW479" s="18"/>
      <c r="BX479" s="18"/>
      <c r="BY479" s="18"/>
      <c r="BZ479" s="18"/>
      <c r="CA479" s="18"/>
      <c r="CB479" s="18"/>
      <c r="CC479" s="18"/>
      <c r="CD479" s="18"/>
      <c r="CE479" s="18"/>
      <c r="CF479" s="18"/>
      <c r="CG479" s="18"/>
      <c r="CH479" s="18"/>
      <c r="CI479" s="18"/>
      <c r="CJ479" s="18"/>
      <c r="CK479" s="18"/>
      <c r="CL479" s="18"/>
      <c r="CM479" s="18"/>
      <c r="CN479" s="18"/>
      <c r="CO479" s="18"/>
      <c r="CP479" s="18"/>
      <c r="CQ479" s="18"/>
      <c r="CR479" s="18"/>
      <c r="CS479" s="18"/>
      <c r="CT479" s="18"/>
      <c r="CU479" s="18"/>
    </row>
    <row r="480" spans="1:99">
      <c r="A480" s="19"/>
      <c r="B480" s="19"/>
      <c r="C480" s="19"/>
      <c r="D480" s="19"/>
      <c r="E480" s="19"/>
      <c r="F480" s="19"/>
      <c r="G480" s="19"/>
      <c r="H480" s="19"/>
      <c r="I480" s="19"/>
      <c r="J480" s="19"/>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c r="BO480" s="18"/>
      <c r="BP480" s="18"/>
      <c r="BQ480" s="18"/>
      <c r="BR480" s="18"/>
      <c r="BS480" s="18"/>
      <c r="BT480" s="18"/>
      <c r="BU480" s="18"/>
      <c r="BV480" s="18"/>
      <c r="BW480" s="18"/>
      <c r="BX480" s="18"/>
      <c r="BY480" s="18"/>
      <c r="BZ480" s="18"/>
      <c r="CA480" s="18"/>
      <c r="CB480" s="18"/>
      <c r="CC480" s="18"/>
      <c r="CD480" s="18"/>
      <c r="CE480" s="18"/>
      <c r="CF480" s="18"/>
      <c r="CG480" s="18"/>
      <c r="CH480" s="18"/>
      <c r="CI480" s="18"/>
      <c r="CJ480" s="18"/>
      <c r="CK480" s="18"/>
      <c r="CL480" s="18"/>
      <c r="CM480" s="18"/>
      <c r="CN480" s="18"/>
      <c r="CO480" s="18"/>
      <c r="CP480" s="18"/>
      <c r="CQ480" s="18"/>
      <c r="CR480" s="18"/>
      <c r="CS480" s="18"/>
      <c r="CT480" s="18"/>
      <c r="CU480" s="18"/>
    </row>
    <row r="481" spans="1:99">
      <c r="A481" s="19"/>
      <c r="B481" s="19"/>
      <c r="C481" s="19"/>
      <c r="D481" s="19"/>
      <c r="E481" s="19"/>
      <c r="F481" s="19"/>
      <c r="G481" s="19"/>
      <c r="H481" s="19"/>
      <c r="I481" s="19"/>
      <c r="J481" s="19"/>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c r="BO481" s="18"/>
      <c r="BP481" s="18"/>
      <c r="BQ481" s="18"/>
      <c r="BR481" s="18"/>
      <c r="BS481" s="18"/>
      <c r="BT481" s="18"/>
      <c r="BU481" s="18"/>
      <c r="BV481" s="18"/>
      <c r="BW481" s="18"/>
      <c r="BX481" s="18"/>
      <c r="BY481" s="18"/>
      <c r="BZ481" s="18"/>
      <c r="CA481" s="18"/>
      <c r="CB481" s="18"/>
      <c r="CC481" s="18"/>
      <c r="CD481" s="18"/>
      <c r="CE481" s="18"/>
      <c r="CF481" s="18"/>
      <c r="CG481" s="18"/>
      <c r="CH481" s="18"/>
      <c r="CI481" s="18"/>
      <c r="CJ481" s="18"/>
      <c r="CK481" s="18"/>
      <c r="CL481" s="18"/>
      <c r="CM481" s="18"/>
      <c r="CN481" s="18"/>
      <c r="CO481" s="18"/>
      <c r="CP481" s="18"/>
      <c r="CQ481" s="18"/>
      <c r="CR481" s="18"/>
      <c r="CS481" s="18"/>
      <c r="CT481" s="18"/>
      <c r="CU481" s="18"/>
    </row>
    <row r="482" spans="1:99">
      <c r="A482" s="19"/>
      <c r="B482" s="19"/>
      <c r="C482" s="19"/>
      <c r="D482" s="19"/>
      <c r="E482" s="19"/>
      <c r="F482" s="19"/>
      <c r="G482" s="19"/>
      <c r="H482" s="19"/>
      <c r="I482" s="19"/>
      <c r="J482" s="19"/>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c r="BO482" s="18"/>
      <c r="BP482" s="18"/>
      <c r="BQ482" s="18"/>
      <c r="BR482" s="18"/>
      <c r="BS482" s="18"/>
      <c r="BT482" s="18"/>
      <c r="BU482" s="18"/>
      <c r="BV482" s="18"/>
      <c r="BW482" s="18"/>
      <c r="BX482" s="18"/>
      <c r="BY482" s="18"/>
      <c r="BZ482" s="18"/>
      <c r="CA482" s="18"/>
      <c r="CB482" s="18"/>
      <c r="CC482" s="18"/>
      <c r="CD482" s="18"/>
      <c r="CE482" s="18"/>
      <c r="CF482" s="18"/>
      <c r="CG482" s="18"/>
      <c r="CH482" s="18"/>
      <c r="CI482" s="18"/>
      <c r="CJ482" s="18"/>
      <c r="CK482" s="18"/>
      <c r="CL482" s="18"/>
      <c r="CM482" s="18"/>
      <c r="CN482" s="18"/>
      <c r="CO482" s="18"/>
      <c r="CP482" s="18"/>
      <c r="CQ482" s="18"/>
      <c r="CR482" s="18"/>
      <c r="CS482" s="18"/>
      <c r="CT482" s="18"/>
      <c r="CU482" s="18"/>
    </row>
    <row r="483" spans="1:99">
      <c r="A483" s="19"/>
      <c r="B483" s="19"/>
      <c r="C483" s="19"/>
      <c r="D483" s="19"/>
      <c r="E483" s="19"/>
      <c r="F483" s="19"/>
      <c r="G483" s="19"/>
      <c r="H483" s="19"/>
      <c r="I483" s="19"/>
      <c r="J483" s="19"/>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c r="BO483" s="18"/>
      <c r="BP483" s="18"/>
      <c r="BQ483" s="18"/>
      <c r="BR483" s="18"/>
      <c r="BS483" s="18"/>
      <c r="BT483" s="18"/>
      <c r="BU483" s="18"/>
      <c r="BV483" s="18"/>
      <c r="BW483" s="18"/>
      <c r="BX483" s="18"/>
      <c r="BY483" s="18"/>
      <c r="BZ483" s="18"/>
      <c r="CA483" s="18"/>
      <c r="CB483" s="18"/>
      <c r="CC483" s="18"/>
      <c r="CD483" s="18"/>
      <c r="CE483" s="18"/>
      <c r="CF483" s="18"/>
      <c r="CG483" s="18"/>
      <c r="CH483" s="18"/>
      <c r="CI483" s="18"/>
      <c r="CJ483" s="18"/>
      <c r="CK483" s="18"/>
      <c r="CL483" s="18"/>
      <c r="CM483" s="18"/>
      <c r="CN483" s="18"/>
      <c r="CO483" s="18"/>
      <c r="CP483" s="18"/>
      <c r="CQ483" s="18"/>
      <c r="CR483" s="18"/>
      <c r="CS483" s="18"/>
      <c r="CT483" s="18"/>
      <c r="CU483" s="18"/>
    </row>
    <row r="484" spans="1:99">
      <c r="A484" s="19"/>
      <c r="B484" s="19"/>
      <c r="C484" s="19"/>
      <c r="D484" s="19"/>
      <c r="E484" s="19"/>
      <c r="F484" s="19"/>
      <c r="G484" s="19"/>
      <c r="H484" s="19"/>
      <c r="I484" s="19"/>
      <c r="J484" s="19"/>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c r="BI484" s="18"/>
      <c r="BJ484" s="18"/>
      <c r="BK484" s="18"/>
      <c r="BL484" s="18"/>
      <c r="BM484" s="18"/>
      <c r="BN484" s="18"/>
      <c r="BO484" s="18"/>
      <c r="BP484" s="18"/>
      <c r="BQ484" s="18"/>
      <c r="BR484" s="18"/>
      <c r="BS484" s="18"/>
      <c r="BT484" s="18"/>
      <c r="BU484" s="18"/>
      <c r="BV484" s="18"/>
      <c r="BW484" s="18"/>
      <c r="BX484" s="18"/>
      <c r="BY484" s="18"/>
      <c r="BZ484" s="18"/>
      <c r="CA484" s="18"/>
      <c r="CB484" s="18"/>
      <c r="CC484" s="18"/>
      <c r="CD484" s="18"/>
      <c r="CE484" s="18"/>
      <c r="CF484" s="18"/>
      <c r="CG484" s="18"/>
      <c r="CH484" s="18"/>
      <c r="CI484" s="18"/>
      <c r="CJ484" s="18"/>
      <c r="CK484" s="18"/>
      <c r="CL484" s="18"/>
      <c r="CM484" s="18"/>
      <c r="CN484" s="18"/>
      <c r="CO484" s="18"/>
      <c r="CP484" s="18"/>
      <c r="CQ484" s="18"/>
      <c r="CR484" s="18"/>
      <c r="CS484" s="18"/>
      <c r="CT484" s="18"/>
      <c r="CU484" s="18"/>
    </row>
    <row r="485" spans="1:99">
      <c r="A485" s="19"/>
      <c r="B485" s="19"/>
      <c r="C485" s="19"/>
      <c r="D485" s="19"/>
      <c r="E485" s="19"/>
      <c r="F485" s="19"/>
      <c r="G485" s="19"/>
      <c r="H485" s="19"/>
      <c r="I485" s="19"/>
      <c r="J485" s="19"/>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c r="BI485" s="18"/>
      <c r="BJ485" s="18"/>
      <c r="BK485" s="18"/>
      <c r="BL485" s="18"/>
      <c r="BM485" s="18"/>
      <c r="BN485" s="18"/>
      <c r="BO485" s="18"/>
      <c r="BP485" s="18"/>
      <c r="BQ485" s="18"/>
      <c r="BR485" s="18"/>
      <c r="BS485" s="18"/>
      <c r="BT485" s="18"/>
      <c r="BU485" s="18"/>
      <c r="BV485" s="18"/>
      <c r="BW485" s="18"/>
      <c r="BX485" s="18"/>
      <c r="BY485" s="18"/>
      <c r="BZ485" s="18"/>
      <c r="CA485" s="18"/>
      <c r="CB485" s="18"/>
      <c r="CC485" s="18"/>
      <c r="CD485" s="18"/>
      <c r="CE485" s="18"/>
      <c r="CF485" s="18"/>
      <c r="CG485" s="18"/>
      <c r="CH485" s="18"/>
      <c r="CI485" s="18"/>
      <c r="CJ485" s="18"/>
      <c r="CK485" s="18"/>
      <c r="CL485" s="18"/>
      <c r="CM485" s="18"/>
      <c r="CN485" s="18"/>
      <c r="CO485" s="18"/>
      <c r="CP485" s="18"/>
      <c r="CQ485" s="18"/>
      <c r="CR485" s="18"/>
      <c r="CS485" s="18"/>
      <c r="CT485" s="18"/>
      <c r="CU485" s="18"/>
    </row>
    <row r="486" spans="1:99">
      <c r="A486" s="19"/>
      <c r="B486" s="19"/>
      <c r="C486" s="19"/>
      <c r="D486" s="19"/>
      <c r="E486" s="19"/>
      <c r="F486" s="19"/>
      <c r="G486" s="19"/>
      <c r="H486" s="19"/>
      <c r="I486" s="19"/>
      <c r="J486" s="19"/>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c r="BI486" s="18"/>
      <c r="BJ486" s="18"/>
      <c r="BK486" s="18"/>
      <c r="BL486" s="18"/>
      <c r="BM486" s="18"/>
      <c r="BN486" s="18"/>
      <c r="BO486" s="18"/>
      <c r="BP486" s="18"/>
      <c r="BQ486" s="18"/>
      <c r="BR486" s="18"/>
      <c r="BS486" s="18"/>
      <c r="BT486" s="18"/>
      <c r="BU486" s="18"/>
      <c r="BV486" s="18"/>
      <c r="BW486" s="18"/>
      <c r="BX486" s="18"/>
      <c r="BY486" s="18"/>
      <c r="BZ486" s="18"/>
      <c r="CA486" s="18"/>
      <c r="CB486" s="18"/>
      <c r="CC486" s="18"/>
      <c r="CD486" s="18"/>
      <c r="CE486" s="18"/>
      <c r="CF486" s="18"/>
      <c r="CG486" s="18"/>
      <c r="CH486" s="18"/>
      <c r="CI486" s="18"/>
      <c r="CJ486" s="18"/>
      <c r="CK486" s="18"/>
      <c r="CL486" s="18"/>
      <c r="CM486" s="18"/>
      <c r="CN486" s="18"/>
      <c r="CO486" s="18"/>
      <c r="CP486" s="18"/>
      <c r="CQ486" s="18"/>
      <c r="CR486" s="18"/>
      <c r="CS486" s="18"/>
      <c r="CT486" s="18"/>
      <c r="CU486" s="18"/>
    </row>
    <row r="487" spans="1:99">
      <c r="A487" s="19"/>
      <c r="B487" s="19"/>
      <c r="C487" s="19"/>
      <c r="D487" s="19"/>
      <c r="E487" s="19"/>
      <c r="F487" s="19"/>
      <c r="G487" s="19"/>
      <c r="H487" s="19"/>
      <c r="I487" s="19"/>
      <c r="J487" s="19"/>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c r="BI487" s="18"/>
      <c r="BJ487" s="18"/>
      <c r="BK487" s="18"/>
      <c r="BL487" s="18"/>
      <c r="BM487" s="18"/>
      <c r="BN487" s="18"/>
      <c r="BO487" s="18"/>
      <c r="BP487" s="18"/>
      <c r="BQ487" s="18"/>
      <c r="BR487" s="18"/>
      <c r="BS487" s="18"/>
      <c r="BT487" s="18"/>
      <c r="BU487" s="18"/>
      <c r="BV487" s="18"/>
      <c r="BW487" s="18"/>
      <c r="BX487" s="18"/>
      <c r="BY487" s="18"/>
      <c r="BZ487" s="18"/>
      <c r="CA487" s="18"/>
      <c r="CB487" s="18"/>
      <c r="CC487" s="18"/>
      <c r="CD487" s="18"/>
      <c r="CE487" s="18"/>
      <c r="CF487" s="18"/>
      <c r="CG487" s="18"/>
      <c r="CH487" s="18"/>
      <c r="CI487" s="18"/>
      <c r="CJ487" s="18"/>
      <c r="CK487" s="18"/>
      <c r="CL487" s="18"/>
      <c r="CM487" s="18"/>
      <c r="CN487" s="18"/>
      <c r="CO487" s="18"/>
      <c r="CP487" s="18"/>
      <c r="CQ487" s="18"/>
      <c r="CR487" s="18"/>
      <c r="CS487" s="18"/>
      <c r="CT487" s="18"/>
      <c r="CU487" s="18"/>
    </row>
    <row r="488" spans="1:99">
      <c r="A488" s="19"/>
      <c r="B488" s="19"/>
      <c r="C488" s="19"/>
      <c r="D488" s="19"/>
      <c r="E488" s="19"/>
      <c r="F488" s="19"/>
      <c r="G488" s="19"/>
      <c r="H488" s="19"/>
      <c r="I488" s="19"/>
      <c r="J488" s="19"/>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c r="BI488" s="18"/>
      <c r="BJ488" s="18"/>
      <c r="BK488" s="18"/>
      <c r="BL488" s="18"/>
      <c r="BM488" s="18"/>
      <c r="BN488" s="18"/>
      <c r="BO488" s="18"/>
      <c r="BP488" s="18"/>
      <c r="BQ488" s="18"/>
      <c r="BR488" s="18"/>
      <c r="BS488" s="18"/>
      <c r="BT488" s="18"/>
      <c r="BU488" s="18"/>
      <c r="BV488" s="18"/>
      <c r="BW488" s="18"/>
      <c r="BX488" s="18"/>
      <c r="BY488" s="18"/>
      <c r="BZ488" s="18"/>
      <c r="CA488" s="18"/>
      <c r="CB488" s="18"/>
      <c r="CC488" s="18"/>
      <c r="CD488" s="18"/>
      <c r="CE488" s="18"/>
      <c r="CF488" s="18"/>
      <c r="CG488" s="18"/>
      <c r="CH488" s="18"/>
      <c r="CI488" s="18"/>
      <c r="CJ488" s="18"/>
      <c r="CK488" s="18"/>
      <c r="CL488" s="18"/>
      <c r="CM488" s="18"/>
      <c r="CN488" s="18"/>
      <c r="CO488" s="18"/>
      <c r="CP488" s="18"/>
      <c r="CQ488" s="18"/>
      <c r="CR488" s="18"/>
      <c r="CS488" s="18"/>
      <c r="CT488" s="18"/>
      <c r="CU488" s="18"/>
    </row>
    <row r="489" spans="1:99">
      <c r="A489" s="19"/>
      <c r="B489" s="19"/>
      <c r="C489" s="19"/>
      <c r="D489" s="19"/>
      <c r="E489" s="19"/>
      <c r="F489" s="19"/>
      <c r="G489" s="19"/>
      <c r="H489" s="19"/>
      <c r="I489" s="19"/>
      <c r="J489" s="19"/>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c r="BI489" s="18"/>
      <c r="BJ489" s="18"/>
      <c r="BK489" s="18"/>
      <c r="BL489" s="18"/>
      <c r="BM489" s="18"/>
      <c r="BN489" s="18"/>
      <c r="BO489" s="18"/>
      <c r="BP489" s="18"/>
      <c r="BQ489" s="18"/>
      <c r="BR489" s="18"/>
      <c r="BS489" s="18"/>
      <c r="BT489" s="18"/>
      <c r="BU489" s="18"/>
      <c r="BV489" s="18"/>
      <c r="BW489" s="18"/>
      <c r="BX489" s="18"/>
      <c r="BY489" s="18"/>
      <c r="BZ489" s="18"/>
      <c r="CA489" s="18"/>
      <c r="CB489" s="18"/>
      <c r="CC489" s="18"/>
      <c r="CD489" s="18"/>
      <c r="CE489" s="18"/>
      <c r="CF489" s="18"/>
      <c r="CG489" s="18"/>
      <c r="CH489" s="18"/>
      <c r="CI489" s="18"/>
      <c r="CJ489" s="18"/>
      <c r="CK489" s="18"/>
      <c r="CL489" s="18"/>
      <c r="CM489" s="18"/>
      <c r="CN489" s="18"/>
      <c r="CO489" s="18"/>
      <c r="CP489" s="18"/>
      <c r="CQ489" s="18"/>
      <c r="CR489" s="18"/>
      <c r="CS489" s="18"/>
      <c r="CT489" s="18"/>
      <c r="CU489" s="18"/>
    </row>
    <row r="490" spans="1:99">
      <c r="A490" s="19"/>
      <c r="B490" s="19"/>
      <c r="C490" s="19"/>
      <c r="D490" s="19"/>
      <c r="E490" s="19"/>
      <c r="F490" s="19"/>
      <c r="G490" s="19"/>
      <c r="H490" s="19"/>
      <c r="I490" s="19"/>
      <c r="J490" s="19"/>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c r="BI490" s="18"/>
      <c r="BJ490" s="18"/>
      <c r="BK490" s="18"/>
      <c r="BL490" s="18"/>
      <c r="BM490" s="18"/>
      <c r="BN490" s="18"/>
      <c r="BO490" s="18"/>
      <c r="BP490" s="18"/>
      <c r="BQ490" s="18"/>
      <c r="BR490" s="18"/>
      <c r="BS490" s="18"/>
      <c r="BT490" s="18"/>
      <c r="BU490" s="18"/>
      <c r="BV490" s="18"/>
      <c r="BW490" s="18"/>
      <c r="BX490" s="18"/>
      <c r="BY490" s="18"/>
      <c r="BZ490" s="18"/>
      <c r="CA490" s="18"/>
      <c r="CB490" s="18"/>
      <c r="CC490" s="18"/>
      <c r="CD490" s="18"/>
      <c r="CE490" s="18"/>
      <c r="CF490" s="18"/>
      <c r="CG490" s="18"/>
      <c r="CH490" s="18"/>
      <c r="CI490" s="18"/>
      <c r="CJ490" s="18"/>
      <c r="CK490" s="18"/>
      <c r="CL490" s="18"/>
      <c r="CM490" s="18"/>
      <c r="CN490" s="18"/>
      <c r="CO490" s="18"/>
      <c r="CP490" s="18"/>
      <c r="CQ490" s="18"/>
      <c r="CR490" s="18"/>
      <c r="CS490" s="18"/>
      <c r="CT490" s="18"/>
      <c r="CU490" s="18"/>
    </row>
    <row r="491" spans="1:99">
      <c r="A491" s="19"/>
      <c r="B491" s="19"/>
      <c r="C491" s="19"/>
      <c r="D491" s="19"/>
      <c r="E491" s="19"/>
      <c r="F491" s="19"/>
      <c r="G491" s="19"/>
      <c r="H491" s="19"/>
      <c r="I491" s="19"/>
      <c r="J491" s="19"/>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c r="BI491" s="18"/>
      <c r="BJ491" s="18"/>
      <c r="BK491" s="18"/>
      <c r="BL491" s="18"/>
      <c r="BM491" s="18"/>
      <c r="BN491" s="18"/>
      <c r="BO491" s="18"/>
      <c r="BP491" s="18"/>
      <c r="BQ491" s="18"/>
      <c r="BR491" s="18"/>
      <c r="BS491" s="18"/>
      <c r="BT491" s="18"/>
      <c r="BU491" s="18"/>
      <c r="BV491" s="18"/>
      <c r="BW491" s="18"/>
      <c r="BX491" s="18"/>
      <c r="BY491" s="18"/>
      <c r="BZ491" s="18"/>
      <c r="CA491" s="18"/>
      <c r="CB491" s="18"/>
      <c r="CC491" s="18"/>
      <c r="CD491" s="18"/>
      <c r="CE491" s="18"/>
      <c r="CF491" s="18"/>
      <c r="CG491" s="18"/>
      <c r="CH491" s="18"/>
      <c r="CI491" s="18"/>
      <c r="CJ491" s="18"/>
      <c r="CK491" s="18"/>
      <c r="CL491" s="18"/>
      <c r="CM491" s="18"/>
      <c r="CN491" s="18"/>
      <c r="CO491" s="18"/>
      <c r="CP491" s="18"/>
      <c r="CQ491" s="18"/>
      <c r="CR491" s="18"/>
      <c r="CS491" s="18"/>
      <c r="CT491" s="18"/>
      <c r="CU491" s="18"/>
    </row>
    <row r="492" spans="1:99">
      <c r="A492" s="19"/>
      <c r="B492" s="19"/>
      <c r="C492" s="19"/>
      <c r="D492" s="19"/>
      <c r="E492" s="19"/>
      <c r="F492" s="19"/>
      <c r="G492" s="19"/>
      <c r="H492" s="19"/>
      <c r="I492" s="19"/>
      <c r="J492" s="19"/>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c r="BI492" s="18"/>
      <c r="BJ492" s="18"/>
      <c r="BK492" s="18"/>
      <c r="BL492" s="18"/>
      <c r="BM492" s="18"/>
      <c r="BN492" s="18"/>
      <c r="BO492" s="18"/>
      <c r="BP492" s="18"/>
      <c r="BQ492" s="18"/>
      <c r="BR492" s="18"/>
      <c r="BS492" s="18"/>
      <c r="BT492" s="18"/>
      <c r="BU492" s="18"/>
      <c r="BV492" s="18"/>
      <c r="BW492" s="18"/>
      <c r="BX492" s="18"/>
      <c r="BY492" s="18"/>
      <c r="BZ492" s="18"/>
      <c r="CA492" s="18"/>
      <c r="CB492" s="18"/>
      <c r="CC492" s="18"/>
      <c r="CD492" s="18"/>
      <c r="CE492" s="18"/>
      <c r="CF492" s="18"/>
      <c r="CG492" s="18"/>
      <c r="CH492" s="18"/>
      <c r="CI492" s="18"/>
      <c r="CJ492" s="18"/>
      <c r="CK492" s="18"/>
      <c r="CL492" s="18"/>
      <c r="CM492" s="18"/>
      <c r="CN492" s="18"/>
      <c r="CO492" s="18"/>
      <c r="CP492" s="18"/>
      <c r="CQ492" s="18"/>
      <c r="CR492" s="18"/>
      <c r="CS492" s="18"/>
      <c r="CT492" s="18"/>
      <c r="CU492" s="18"/>
    </row>
    <row r="493" spans="1:99">
      <c r="A493" s="19"/>
      <c r="B493" s="19"/>
      <c r="C493" s="19"/>
      <c r="D493" s="19"/>
      <c r="E493" s="19"/>
      <c r="F493" s="19"/>
      <c r="G493" s="19"/>
      <c r="H493" s="19"/>
      <c r="I493" s="19"/>
      <c r="J493" s="19"/>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c r="BI493" s="18"/>
      <c r="BJ493" s="18"/>
      <c r="BK493" s="18"/>
      <c r="BL493" s="18"/>
      <c r="BM493" s="18"/>
      <c r="BN493" s="18"/>
      <c r="BO493" s="18"/>
      <c r="BP493" s="18"/>
      <c r="BQ493" s="18"/>
      <c r="BR493" s="18"/>
      <c r="BS493" s="18"/>
      <c r="BT493" s="18"/>
      <c r="BU493" s="18"/>
      <c r="BV493" s="18"/>
      <c r="BW493" s="18"/>
      <c r="BX493" s="18"/>
      <c r="BY493" s="18"/>
      <c r="BZ493" s="18"/>
      <c r="CA493" s="18"/>
      <c r="CB493" s="18"/>
      <c r="CC493" s="18"/>
      <c r="CD493" s="18"/>
      <c r="CE493" s="18"/>
      <c r="CF493" s="18"/>
      <c r="CG493" s="18"/>
      <c r="CH493" s="18"/>
      <c r="CI493" s="18"/>
      <c r="CJ493" s="18"/>
      <c r="CK493" s="18"/>
      <c r="CL493" s="18"/>
      <c r="CM493" s="18"/>
      <c r="CN493" s="18"/>
      <c r="CO493" s="18"/>
      <c r="CP493" s="18"/>
      <c r="CQ493" s="18"/>
      <c r="CR493" s="18"/>
      <c r="CS493" s="18"/>
      <c r="CT493" s="18"/>
      <c r="CU493" s="18"/>
    </row>
    <row r="494" spans="1:99">
      <c r="A494" s="19"/>
      <c r="B494" s="19"/>
      <c r="C494" s="19"/>
      <c r="D494" s="19"/>
      <c r="E494" s="19"/>
      <c r="F494" s="19"/>
      <c r="G494" s="19"/>
      <c r="H494" s="19"/>
      <c r="I494" s="19"/>
      <c r="J494" s="19"/>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c r="BI494" s="18"/>
      <c r="BJ494" s="18"/>
      <c r="BK494" s="18"/>
      <c r="BL494" s="18"/>
      <c r="BM494" s="18"/>
      <c r="BN494" s="18"/>
      <c r="BO494" s="18"/>
      <c r="BP494" s="18"/>
      <c r="BQ494" s="18"/>
      <c r="BR494" s="18"/>
      <c r="BS494" s="18"/>
      <c r="BT494" s="18"/>
      <c r="BU494" s="18"/>
      <c r="BV494" s="18"/>
      <c r="BW494" s="18"/>
      <c r="BX494" s="18"/>
      <c r="BY494" s="18"/>
      <c r="BZ494" s="18"/>
      <c r="CA494" s="18"/>
      <c r="CB494" s="18"/>
      <c r="CC494" s="18"/>
      <c r="CD494" s="18"/>
      <c r="CE494" s="18"/>
      <c r="CF494" s="18"/>
      <c r="CG494" s="18"/>
      <c r="CH494" s="18"/>
      <c r="CI494" s="18"/>
      <c r="CJ494" s="18"/>
      <c r="CK494" s="18"/>
      <c r="CL494" s="18"/>
      <c r="CM494" s="18"/>
      <c r="CN494" s="18"/>
      <c r="CO494" s="18"/>
      <c r="CP494" s="18"/>
      <c r="CQ494" s="18"/>
      <c r="CR494" s="18"/>
      <c r="CS494" s="18"/>
      <c r="CT494" s="18"/>
      <c r="CU494" s="18"/>
    </row>
    <row r="495" spans="1:99">
      <c r="A495" s="19"/>
      <c r="B495" s="19"/>
      <c r="C495" s="19"/>
      <c r="D495" s="19"/>
      <c r="E495" s="19"/>
      <c r="F495" s="19"/>
      <c r="G495" s="19"/>
      <c r="H495" s="19"/>
      <c r="I495" s="19"/>
      <c r="J495" s="19"/>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c r="BI495" s="18"/>
      <c r="BJ495" s="18"/>
      <c r="BK495" s="18"/>
      <c r="BL495" s="18"/>
      <c r="BM495" s="18"/>
      <c r="BN495" s="18"/>
      <c r="BO495" s="18"/>
      <c r="BP495" s="18"/>
      <c r="BQ495" s="18"/>
      <c r="BR495" s="18"/>
      <c r="BS495" s="18"/>
      <c r="BT495" s="18"/>
      <c r="BU495" s="18"/>
      <c r="BV495" s="18"/>
      <c r="BW495" s="18"/>
      <c r="BX495" s="18"/>
      <c r="BY495" s="18"/>
      <c r="BZ495" s="18"/>
      <c r="CA495" s="18"/>
      <c r="CB495" s="18"/>
      <c r="CC495" s="18"/>
      <c r="CD495" s="18"/>
      <c r="CE495" s="18"/>
      <c r="CF495" s="18"/>
      <c r="CG495" s="18"/>
      <c r="CH495" s="18"/>
      <c r="CI495" s="18"/>
      <c r="CJ495" s="18"/>
      <c r="CK495" s="18"/>
      <c r="CL495" s="18"/>
      <c r="CM495" s="18"/>
      <c r="CN495" s="18"/>
      <c r="CO495" s="18"/>
      <c r="CP495" s="18"/>
      <c r="CQ495" s="18"/>
      <c r="CR495" s="18"/>
      <c r="CS495" s="18"/>
      <c r="CT495" s="18"/>
      <c r="CU495" s="18"/>
    </row>
    <row r="496" spans="1:99">
      <c r="A496" s="19"/>
      <c r="B496" s="19"/>
      <c r="C496" s="19"/>
      <c r="D496" s="19"/>
      <c r="E496" s="19"/>
      <c r="F496" s="19"/>
      <c r="G496" s="19"/>
      <c r="H496" s="19"/>
      <c r="I496" s="19"/>
      <c r="J496" s="19"/>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c r="BI496" s="18"/>
      <c r="BJ496" s="18"/>
      <c r="BK496" s="18"/>
      <c r="BL496" s="18"/>
      <c r="BM496" s="18"/>
      <c r="BN496" s="18"/>
      <c r="BO496" s="18"/>
      <c r="BP496" s="18"/>
      <c r="BQ496" s="18"/>
      <c r="BR496" s="18"/>
      <c r="BS496" s="18"/>
      <c r="BT496" s="18"/>
      <c r="BU496" s="18"/>
      <c r="BV496" s="18"/>
      <c r="BW496" s="18"/>
      <c r="BX496" s="18"/>
      <c r="BY496" s="18"/>
      <c r="BZ496" s="18"/>
      <c r="CA496" s="18"/>
      <c r="CB496" s="18"/>
      <c r="CC496" s="18"/>
      <c r="CD496" s="18"/>
      <c r="CE496" s="18"/>
      <c r="CF496" s="18"/>
      <c r="CG496" s="18"/>
      <c r="CH496" s="18"/>
      <c r="CI496" s="18"/>
      <c r="CJ496" s="18"/>
      <c r="CK496" s="18"/>
      <c r="CL496" s="18"/>
      <c r="CM496" s="18"/>
      <c r="CN496" s="18"/>
      <c r="CO496" s="18"/>
      <c r="CP496" s="18"/>
      <c r="CQ496" s="18"/>
      <c r="CR496" s="18"/>
      <c r="CS496" s="18"/>
      <c r="CT496" s="18"/>
      <c r="CU496" s="18"/>
    </row>
    <row r="497" spans="1:99">
      <c r="A497" s="19"/>
      <c r="B497" s="19"/>
      <c r="C497" s="19"/>
      <c r="D497" s="19"/>
      <c r="E497" s="19"/>
      <c r="F497" s="19"/>
      <c r="G497" s="19"/>
      <c r="H497" s="19"/>
      <c r="I497" s="19"/>
      <c r="J497" s="19"/>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c r="BI497" s="18"/>
      <c r="BJ497" s="18"/>
      <c r="BK497" s="18"/>
      <c r="BL497" s="18"/>
      <c r="BM497" s="18"/>
      <c r="BN497" s="18"/>
      <c r="BO497" s="18"/>
      <c r="BP497" s="18"/>
      <c r="BQ497" s="18"/>
      <c r="BR497" s="18"/>
      <c r="BS497" s="18"/>
      <c r="BT497" s="18"/>
      <c r="BU497" s="18"/>
      <c r="BV497" s="18"/>
      <c r="BW497" s="18"/>
      <c r="BX497" s="18"/>
      <c r="BY497" s="18"/>
      <c r="BZ497" s="18"/>
      <c r="CA497" s="18"/>
      <c r="CB497" s="18"/>
      <c r="CC497" s="18"/>
      <c r="CD497" s="18"/>
      <c r="CE497" s="18"/>
      <c r="CF497" s="18"/>
      <c r="CG497" s="18"/>
      <c r="CH497" s="18"/>
      <c r="CI497" s="18"/>
      <c r="CJ497" s="18"/>
      <c r="CK497" s="18"/>
      <c r="CL497" s="18"/>
      <c r="CM497" s="18"/>
      <c r="CN497" s="18"/>
      <c r="CO497" s="18"/>
      <c r="CP497" s="18"/>
      <c r="CQ497" s="18"/>
      <c r="CR497" s="18"/>
      <c r="CS497" s="18"/>
      <c r="CT497" s="18"/>
      <c r="CU497" s="18"/>
    </row>
    <row r="498" spans="1:99">
      <c r="A498" s="19"/>
      <c r="B498" s="19"/>
      <c r="C498" s="19"/>
      <c r="D498" s="19"/>
      <c r="E498" s="19"/>
      <c r="F498" s="19"/>
      <c r="G498" s="19"/>
      <c r="H498" s="19"/>
      <c r="I498" s="19"/>
      <c r="J498" s="19"/>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c r="BI498" s="18"/>
      <c r="BJ498" s="18"/>
      <c r="BK498" s="18"/>
      <c r="BL498" s="18"/>
      <c r="BM498" s="18"/>
      <c r="BN498" s="18"/>
      <c r="BO498" s="18"/>
      <c r="BP498" s="18"/>
      <c r="BQ498" s="18"/>
      <c r="BR498" s="18"/>
      <c r="BS498" s="18"/>
      <c r="BT498" s="18"/>
      <c r="BU498" s="18"/>
      <c r="BV498" s="18"/>
      <c r="BW498" s="18"/>
      <c r="BX498" s="18"/>
      <c r="BY498" s="18"/>
      <c r="BZ498" s="18"/>
      <c r="CA498" s="18"/>
      <c r="CB498" s="18"/>
      <c r="CC498" s="18"/>
      <c r="CD498" s="18"/>
      <c r="CE498" s="18"/>
      <c r="CF498" s="18"/>
      <c r="CG498" s="18"/>
      <c r="CH498" s="18"/>
      <c r="CI498" s="18"/>
      <c r="CJ498" s="18"/>
      <c r="CK498" s="18"/>
      <c r="CL498" s="18"/>
      <c r="CM498" s="18"/>
      <c r="CN498" s="18"/>
      <c r="CO498" s="18"/>
      <c r="CP498" s="18"/>
      <c r="CQ498" s="18"/>
      <c r="CR498" s="18"/>
      <c r="CS498" s="18"/>
      <c r="CT498" s="18"/>
      <c r="CU498" s="18"/>
    </row>
    <row r="499" spans="1:99">
      <c r="A499" s="19"/>
      <c r="B499" s="19"/>
      <c r="C499" s="19"/>
      <c r="D499" s="19"/>
      <c r="E499" s="19"/>
      <c r="F499" s="19"/>
      <c r="G499" s="19"/>
      <c r="H499" s="19"/>
      <c r="I499" s="19"/>
      <c r="J499" s="19"/>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c r="BI499" s="18"/>
      <c r="BJ499" s="18"/>
      <c r="BK499" s="18"/>
      <c r="BL499" s="18"/>
      <c r="BM499" s="18"/>
      <c r="BN499" s="18"/>
      <c r="BO499" s="18"/>
      <c r="BP499" s="18"/>
      <c r="BQ499" s="18"/>
      <c r="BR499" s="18"/>
      <c r="BS499" s="18"/>
      <c r="BT499" s="18"/>
      <c r="BU499" s="18"/>
      <c r="BV499" s="18"/>
      <c r="BW499" s="18"/>
      <c r="BX499" s="18"/>
      <c r="BY499" s="18"/>
      <c r="BZ499" s="18"/>
      <c r="CA499" s="18"/>
      <c r="CB499" s="18"/>
      <c r="CC499" s="18"/>
      <c r="CD499" s="18"/>
      <c r="CE499" s="18"/>
      <c r="CF499" s="18"/>
      <c r="CG499" s="18"/>
      <c r="CH499" s="18"/>
      <c r="CI499" s="18"/>
      <c r="CJ499" s="18"/>
      <c r="CK499" s="18"/>
      <c r="CL499" s="18"/>
      <c r="CM499" s="18"/>
      <c r="CN499" s="18"/>
      <c r="CO499" s="18"/>
      <c r="CP499" s="18"/>
      <c r="CQ499" s="18"/>
      <c r="CR499" s="18"/>
      <c r="CS499" s="18"/>
      <c r="CT499" s="18"/>
      <c r="CU499" s="18"/>
    </row>
    <row r="500" spans="1:99">
      <c r="A500" s="19"/>
      <c r="B500" s="19"/>
      <c r="C500" s="19"/>
      <c r="D500" s="19"/>
      <c r="E500" s="19"/>
      <c r="F500" s="19"/>
      <c r="G500" s="19"/>
      <c r="H500" s="19"/>
      <c r="I500" s="19"/>
      <c r="J500" s="19"/>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c r="BI500" s="18"/>
      <c r="BJ500" s="18"/>
      <c r="BK500" s="18"/>
      <c r="BL500" s="18"/>
      <c r="BM500" s="18"/>
      <c r="BN500" s="18"/>
      <c r="BO500" s="18"/>
      <c r="BP500" s="18"/>
      <c r="BQ500" s="18"/>
      <c r="BR500" s="18"/>
      <c r="BS500" s="18"/>
      <c r="BT500" s="18"/>
      <c r="BU500" s="18"/>
      <c r="BV500" s="18"/>
      <c r="BW500" s="18"/>
      <c r="BX500" s="18"/>
      <c r="BY500" s="18"/>
      <c r="BZ500" s="18"/>
      <c r="CA500" s="18"/>
      <c r="CB500" s="18"/>
      <c r="CC500" s="18"/>
      <c r="CD500" s="18"/>
      <c r="CE500" s="18"/>
      <c r="CF500" s="18"/>
      <c r="CG500" s="18"/>
      <c r="CH500" s="18"/>
      <c r="CI500" s="18"/>
      <c r="CJ500" s="18"/>
      <c r="CK500" s="18"/>
      <c r="CL500" s="18"/>
      <c r="CM500" s="18"/>
      <c r="CN500" s="18"/>
      <c r="CO500" s="18"/>
      <c r="CP500" s="18"/>
      <c r="CQ500" s="18"/>
      <c r="CR500" s="18"/>
      <c r="CS500" s="18"/>
      <c r="CT500" s="18"/>
      <c r="CU500" s="18"/>
    </row>
    <row r="501" spans="1:99">
      <c r="A501" s="19"/>
      <c r="B501" s="19"/>
      <c r="C501" s="19"/>
      <c r="D501" s="19"/>
      <c r="E501" s="19"/>
      <c r="F501" s="19"/>
      <c r="G501" s="19"/>
      <c r="H501" s="19"/>
      <c r="I501" s="19"/>
      <c r="J501" s="19"/>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c r="AN501" s="18"/>
      <c r="AO501" s="18"/>
      <c r="AP501" s="18"/>
      <c r="AQ501" s="18"/>
      <c r="AR501" s="18"/>
      <c r="AS501" s="18"/>
      <c r="AT501" s="18"/>
      <c r="AU501" s="18"/>
      <c r="AV501" s="18"/>
      <c r="AW501" s="18"/>
      <c r="AX501" s="18"/>
      <c r="AY501" s="18"/>
      <c r="AZ501" s="18"/>
      <c r="BA501" s="18"/>
      <c r="BB501" s="18"/>
      <c r="BC501" s="18"/>
      <c r="BD501" s="18"/>
      <c r="BE501" s="18"/>
      <c r="BF501" s="18"/>
      <c r="BG501" s="18"/>
      <c r="BH501" s="18"/>
      <c r="BI501" s="18"/>
      <c r="BJ501" s="18"/>
      <c r="BK501" s="18"/>
      <c r="BL501" s="18"/>
      <c r="BM501" s="18"/>
      <c r="BN501" s="18"/>
      <c r="BO501" s="18"/>
      <c r="BP501" s="18"/>
      <c r="BQ501" s="18"/>
      <c r="BR501" s="18"/>
      <c r="BS501" s="18"/>
      <c r="BT501" s="18"/>
      <c r="BU501" s="18"/>
      <c r="BV501" s="18"/>
      <c r="BW501" s="18"/>
      <c r="BX501" s="18"/>
      <c r="BY501" s="18"/>
      <c r="BZ501" s="18"/>
      <c r="CA501" s="18"/>
      <c r="CB501" s="18"/>
      <c r="CC501" s="18"/>
      <c r="CD501" s="18"/>
      <c r="CE501" s="18"/>
      <c r="CF501" s="18"/>
      <c r="CG501" s="18"/>
      <c r="CH501" s="18"/>
      <c r="CI501" s="18"/>
      <c r="CJ501" s="18"/>
      <c r="CK501" s="18"/>
      <c r="CL501" s="18"/>
      <c r="CM501" s="18"/>
      <c r="CN501" s="18"/>
      <c r="CO501" s="18"/>
      <c r="CP501" s="18"/>
      <c r="CQ501" s="18"/>
      <c r="CR501" s="18"/>
      <c r="CS501" s="18"/>
      <c r="CT501" s="18"/>
      <c r="CU501" s="18"/>
    </row>
    <row r="502" spans="1:99">
      <c r="A502" s="19"/>
      <c r="B502" s="19"/>
      <c r="C502" s="19"/>
      <c r="D502" s="19"/>
      <c r="E502" s="19"/>
      <c r="F502" s="19"/>
      <c r="G502" s="19"/>
      <c r="H502" s="19"/>
      <c r="I502" s="19"/>
      <c r="J502" s="19"/>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c r="BC502" s="18"/>
      <c r="BD502" s="18"/>
      <c r="BE502" s="18"/>
      <c r="BF502" s="18"/>
      <c r="BG502" s="18"/>
      <c r="BH502" s="18"/>
      <c r="BI502" s="18"/>
      <c r="BJ502" s="18"/>
      <c r="BK502" s="18"/>
      <c r="BL502" s="18"/>
      <c r="BM502" s="18"/>
      <c r="BN502" s="18"/>
      <c r="BO502" s="18"/>
      <c r="BP502" s="18"/>
      <c r="BQ502" s="18"/>
      <c r="BR502" s="18"/>
      <c r="BS502" s="18"/>
      <c r="BT502" s="18"/>
      <c r="BU502" s="18"/>
      <c r="BV502" s="18"/>
      <c r="BW502" s="18"/>
      <c r="BX502" s="18"/>
      <c r="BY502" s="18"/>
      <c r="BZ502" s="18"/>
      <c r="CA502" s="18"/>
      <c r="CB502" s="18"/>
      <c r="CC502" s="18"/>
      <c r="CD502" s="18"/>
      <c r="CE502" s="18"/>
      <c r="CF502" s="18"/>
      <c r="CG502" s="18"/>
      <c r="CH502" s="18"/>
      <c r="CI502" s="18"/>
      <c r="CJ502" s="18"/>
      <c r="CK502" s="18"/>
      <c r="CL502" s="18"/>
      <c r="CM502" s="18"/>
      <c r="CN502" s="18"/>
      <c r="CO502" s="18"/>
      <c r="CP502" s="18"/>
      <c r="CQ502" s="18"/>
      <c r="CR502" s="18"/>
      <c r="CS502" s="18"/>
      <c r="CT502" s="18"/>
      <c r="CU502" s="18"/>
    </row>
    <row r="503" spans="1:99">
      <c r="A503" s="19"/>
      <c r="B503" s="19"/>
      <c r="C503" s="19"/>
      <c r="D503" s="19"/>
      <c r="E503" s="19"/>
      <c r="F503" s="19"/>
      <c r="G503" s="19"/>
      <c r="H503" s="19"/>
      <c r="I503" s="19"/>
      <c r="J503" s="19"/>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c r="AN503" s="18"/>
      <c r="AO503" s="18"/>
      <c r="AP503" s="18"/>
      <c r="AQ503" s="18"/>
      <c r="AR503" s="18"/>
      <c r="AS503" s="18"/>
      <c r="AT503" s="18"/>
      <c r="AU503" s="18"/>
      <c r="AV503" s="18"/>
      <c r="AW503" s="18"/>
      <c r="AX503" s="18"/>
      <c r="AY503" s="18"/>
      <c r="AZ503" s="18"/>
      <c r="BA503" s="18"/>
      <c r="BB503" s="18"/>
      <c r="BC503" s="18"/>
      <c r="BD503" s="18"/>
      <c r="BE503" s="18"/>
      <c r="BF503" s="18"/>
      <c r="BG503" s="18"/>
      <c r="BH503" s="18"/>
      <c r="BI503" s="18"/>
      <c r="BJ503" s="18"/>
      <c r="BK503" s="18"/>
      <c r="BL503" s="18"/>
      <c r="BM503" s="18"/>
      <c r="BN503" s="18"/>
      <c r="BO503" s="18"/>
      <c r="BP503" s="18"/>
      <c r="BQ503" s="18"/>
      <c r="BR503" s="18"/>
      <c r="BS503" s="18"/>
      <c r="BT503" s="18"/>
      <c r="BU503" s="18"/>
      <c r="BV503" s="18"/>
      <c r="BW503" s="18"/>
      <c r="BX503" s="18"/>
      <c r="BY503" s="18"/>
      <c r="BZ503" s="18"/>
      <c r="CA503" s="18"/>
      <c r="CB503" s="18"/>
      <c r="CC503" s="18"/>
      <c r="CD503" s="18"/>
      <c r="CE503" s="18"/>
      <c r="CF503" s="18"/>
      <c r="CG503" s="18"/>
      <c r="CH503" s="18"/>
      <c r="CI503" s="18"/>
      <c r="CJ503" s="18"/>
      <c r="CK503" s="18"/>
      <c r="CL503" s="18"/>
      <c r="CM503" s="18"/>
      <c r="CN503" s="18"/>
      <c r="CO503" s="18"/>
      <c r="CP503" s="18"/>
      <c r="CQ503" s="18"/>
      <c r="CR503" s="18"/>
      <c r="CS503" s="18"/>
      <c r="CT503" s="18"/>
      <c r="CU503" s="18"/>
    </row>
    <row r="504" spans="1:99">
      <c r="A504" s="19"/>
      <c r="B504" s="19"/>
      <c r="C504" s="19"/>
      <c r="D504" s="19"/>
      <c r="E504" s="19"/>
      <c r="F504" s="19"/>
      <c r="G504" s="19"/>
      <c r="H504" s="19"/>
      <c r="I504" s="19"/>
      <c r="J504" s="19"/>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c r="BC504" s="18"/>
      <c r="BD504" s="18"/>
      <c r="BE504" s="18"/>
      <c r="BF504" s="18"/>
      <c r="BG504" s="18"/>
      <c r="BH504" s="18"/>
      <c r="BI504" s="18"/>
      <c r="BJ504" s="18"/>
      <c r="BK504" s="18"/>
      <c r="BL504" s="18"/>
      <c r="BM504" s="18"/>
      <c r="BN504" s="18"/>
      <c r="BO504" s="18"/>
      <c r="BP504" s="18"/>
      <c r="BQ504" s="18"/>
      <c r="BR504" s="18"/>
      <c r="BS504" s="18"/>
      <c r="BT504" s="18"/>
      <c r="BU504" s="18"/>
      <c r="BV504" s="18"/>
      <c r="BW504" s="18"/>
      <c r="BX504" s="18"/>
      <c r="BY504" s="18"/>
      <c r="BZ504" s="18"/>
      <c r="CA504" s="18"/>
      <c r="CB504" s="18"/>
      <c r="CC504" s="18"/>
      <c r="CD504" s="18"/>
      <c r="CE504" s="18"/>
      <c r="CF504" s="18"/>
      <c r="CG504" s="18"/>
      <c r="CH504" s="18"/>
      <c r="CI504" s="18"/>
      <c r="CJ504" s="18"/>
      <c r="CK504" s="18"/>
      <c r="CL504" s="18"/>
      <c r="CM504" s="18"/>
      <c r="CN504" s="18"/>
      <c r="CO504" s="18"/>
      <c r="CP504" s="18"/>
      <c r="CQ504" s="18"/>
      <c r="CR504" s="18"/>
      <c r="CS504" s="18"/>
      <c r="CT504" s="18"/>
      <c r="CU504" s="18"/>
    </row>
    <row r="505" spans="1:99">
      <c r="A505" s="19"/>
      <c r="B505" s="19"/>
      <c r="C505" s="19"/>
      <c r="D505" s="19"/>
      <c r="E505" s="19"/>
      <c r="F505" s="19"/>
      <c r="G505" s="19"/>
      <c r="H505" s="19"/>
      <c r="I505" s="19"/>
      <c r="J505" s="19"/>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c r="AN505" s="18"/>
      <c r="AO505" s="18"/>
      <c r="AP505" s="18"/>
      <c r="AQ505" s="18"/>
      <c r="AR505" s="18"/>
      <c r="AS505" s="18"/>
      <c r="AT505" s="18"/>
      <c r="AU505" s="18"/>
      <c r="AV505" s="18"/>
      <c r="AW505" s="18"/>
      <c r="AX505" s="18"/>
      <c r="AY505" s="18"/>
      <c r="AZ505" s="18"/>
      <c r="BA505" s="18"/>
      <c r="BB505" s="18"/>
      <c r="BC505" s="18"/>
      <c r="BD505" s="18"/>
      <c r="BE505" s="18"/>
      <c r="BF505" s="18"/>
      <c r="BG505" s="18"/>
      <c r="BH505" s="18"/>
      <c r="BI505" s="18"/>
      <c r="BJ505" s="18"/>
      <c r="BK505" s="18"/>
      <c r="BL505" s="18"/>
      <c r="BM505" s="18"/>
      <c r="BN505" s="18"/>
      <c r="BO505" s="18"/>
      <c r="BP505" s="18"/>
      <c r="BQ505" s="18"/>
      <c r="BR505" s="18"/>
      <c r="BS505" s="18"/>
      <c r="BT505" s="18"/>
      <c r="BU505" s="18"/>
      <c r="BV505" s="18"/>
      <c r="BW505" s="18"/>
      <c r="BX505" s="18"/>
      <c r="BY505" s="18"/>
      <c r="BZ505" s="18"/>
      <c r="CA505" s="18"/>
      <c r="CB505" s="18"/>
      <c r="CC505" s="18"/>
      <c r="CD505" s="18"/>
      <c r="CE505" s="18"/>
      <c r="CF505" s="18"/>
      <c r="CG505" s="18"/>
      <c r="CH505" s="18"/>
      <c r="CI505" s="18"/>
      <c r="CJ505" s="18"/>
      <c r="CK505" s="18"/>
      <c r="CL505" s="18"/>
      <c r="CM505" s="18"/>
      <c r="CN505" s="18"/>
      <c r="CO505" s="18"/>
      <c r="CP505" s="18"/>
      <c r="CQ505" s="18"/>
      <c r="CR505" s="18"/>
      <c r="CS505" s="18"/>
      <c r="CT505" s="18"/>
      <c r="CU505" s="18"/>
    </row>
    <row r="506" spans="1:99">
      <c r="A506" s="19"/>
      <c r="B506" s="19"/>
      <c r="C506" s="19"/>
      <c r="D506" s="19"/>
      <c r="E506" s="19"/>
      <c r="F506" s="19"/>
      <c r="G506" s="19"/>
      <c r="H506" s="19"/>
      <c r="I506" s="19"/>
      <c r="J506" s="19"/>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c r="BC506" s="18"/>
      <c r="BD506" s="18"/>
      <c r="BE506" s="18"/>
      <c r="BF506" s="18"/>
      <c r="BG506" s="18"/>
      <c r="BH506" s="18"/>
      <c r="BI506" s="18"/>
      <c r="BJ506" s="18"/>
      <c r="BK506" s="18"/>
      <c r="BL506" s="18"/>
      <c r="BM506" s="18"/>
      <c r="BN506" s="18"/>
      <c r="BO506" s="18"/>
      <c r="BP506" s="18"/>
      <c r="BQ506" s="18"/>
      <c r="BR506" s="18"/>
      <c r="BS506" s="18"/>
      <c r="BT506" s="18"/>
      <c r="BU506" s="18"/>
      <c r="BV506" s="18"/>
      <c r="BW506" s="18"/>
      <c r="BX506" s="18"/>
      <c r="BY506" s="18"/>
      <c r="BZ506" s="18"/>
      <c r="CA506" s="18"/>
      <c r="CB506" s="18"/>
      <c r="CC506" s="18"/>
      <c r="CD506" s="18"/>
      <c r="CE506" s="18"/>
      <c r="CF506" s="18"/>
      <c r="CG506" s="18"/>
      <c r="CH506" s="18"/>
      <c r="CI506" s="18"/>
      <c r="CJ506" s="18"/>
      <c r="CK506" s="18"/>
      <c r="CL506" s="18"/>
      <c r="CM506" s="18"/>
      <c r="CN506" s="18"/>
      <c r="CO506" s="18"/>
      <c r="CP506" s="18"/>
      <c r="CQ506" s="18"/>
      <c r="CR506" s="18"/>
      <c r="CS506" s="18"/>
      <c r="CT506" s="18"/>
      <c r="CU506" s="18"/>
    </row>
    <row r="507" spans="1:99">
      <c r="A507" s="19"/>
      <c r="B507" s="19"/>
      <c r="C507" s="19"/>
      <c r="D507" s="19"/>
      <c r="E507" s="19"/>
      <c r="F507" s="19"/>
      <c r="G507" s="19"/>
      <c r="H507" s="19"/>
      <c r="I507" s="19"/>
      <c r="J507" s="19"/>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c r="AN507" s="18"/>
      <c r="AO507" s="18"/>
      <c r="AP507" s="18"/>
      <c r="AQ507" s="18"/>
      <c r="AR507" s="18"/>
      <c r="AS507" s="18"/>
      <c r="AT507" s="18"/>
      <c r="AU507" s="18"/>
      <c r="AV507" s="18"/>
      <c r="AW507" s="18"/>
      <c r="AX507" s="18"/>
      <c r="AY507" s="18"/>
      <c r="AZ507" s="18"/>
      <c r="BA507" s="18"/>
      <c r="BB507" s="18"/>
      <c r="BC507" s="18"/>
      <c r="BD507" s="18"/>
      <c r="BE507" s="18"/>
      <c r="BF507" s="18"/>
      <c r="BG507" s="18"/>
      <c r="BH507" s="18"/>
      <c r="BI507" s="18"/>
      <c r="BJ507" s="18"/>
      <c r="BK507" s="18"/>
      <c r="BL507" s="18"/>
      <c r="BM507" s="18"/>
      <c r="BN507" s="18"/>
      <c r="BO507" s="18"/>
      <c r="BP507" s="18"/>
      <c r="BQ507" s="18"/>
      <c r="BR507" s="18"/>
      <c r="BS507" s="18"/>
      <c r="BT507" s="18"/>
      <c r="BU507" s="18"/>
      <c r="BV507" s="18"/>
      <c r="BW507" s="18"/>
      <c r="BX507" s="18"/>
      <c r="BY507" s="18"/>
      <c r="BZ507" s="18"/>
      <c r="CA507" s="18"/>
      <c r="CB507" s="18"/>
      <c r="CC507" s="18"/>
      <c r="CD507" s="18"/>
      <c r="CE507" s="18"/>
      <c r="CF507" s="18"/>
      <c r="CG507" s="18"/>
      <c r="CH507" s="18"/>
      <c r="CI507" s="18"/>
      <c r="CJ507" s="18"/>
      <c r="CK507" s="18"/>
      <c r="CL507" s="18"/>
      <c r="CM507" s="18"/>
      <c r="CN507" s="18"/>
      <c r="CO507" s="18"/>
      <c r="CP507" s="18"/>
      <c r="CQ507" s="18"/>
      <c r="CR507" s="18"/>
      <c r="CS507" s="18"/>
      <c r="CT507" s="18"/>
      <c r="CU507" s="18"/>
    </row>
    <row r="508" spans="1:99">
      <c r="A508" s="19"/>
      <c r="B508" s="19"/>
      <c r="C508" s="19"/>
      <c r="D508" s="19"/>
      <c r="E508" s="19"/>
      <c r="F508" s="19"/>
      <c r="G508" s="19"/>
      <c r="H508" s="19"/>
      <c r="I508" s="19"/>
      <c r="J508" s="19"/>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c r="BC508" s="18"/>
      <c r="BD508" s="18"/>
      <c r="BE508" s="18"/>
      <c r="BF508" s="18"/>
      <c r="BG508" s="18"/>
      <c r="BH508" s="18"/>
      <c r="BI508" s="18"/>
      <c r="BJ508" s="18"/>
      <c r="BK508" s="18"/>
      <c r="BL508" s="18"/>
      <c r="BM508" s="18"/>
      <c r="BN508" s="18"/>
      <c r="BO508" s="18"/>
      <c r="BP508" s="18"/>
      <c r="BQ508" s="18"/>
      <c r="BR508" s="18"/>
      <c r="BS508" s="18"/>
      <c r="BT508" s="18"/>
      <c r="BU508" s="18"/>
      <c r="BV508" s="18"/>
      <c r="BW508" s="18"/>
      <c r="BX508" s="18"/>
      <c r="BY508" s="18"/>
      <c r="BZ508" s="18"/>
      <c r="CA508" s="18"/>
      <c r="CB508" s="18"/>
      <c r="CC508" s="18"/>
      <c r="CD508" s="18"/>
      <c r="CE508" s="18"/>
      <c r="CF508" s="18"/>
      <c r="CG508" s="18"/>
      <c r="CH508" s="18"/>
      <c r="CI508" s="18"/>
      <c r="CJ508" s="18"/>
      <c r="CK508" s="18"/>
      <c r="CL508" s="18"/>
      <c r="CM508" s="18"/>
      <c r="CN508" s="18"/>
      <c r="CO508" s="18"/>
      <c r="CP508" s="18"/>
      <c r="CQ508" s="18"/>
      <c r="CR508" s="18"/>
      <c r="CS508" s="18"/>
      <c r="CT508" s="18"/>
      <c r="CU508" s="18"/>
    </row>
    <row r="509" spans="1:99">
      <c r="A509" s="19"/>
      <c r="B509" s="19"/>
      <c r="C509" s="19"/>
      <c r="D509" s="19"/>
      <c r="E509" s="19"/>
      <c r="F509" s="19"/>
      <c r="G509" s="19"/>
      <c r="H509" s="19"/>
      <c r="I509" s="19"/>
      <c r="J509" s="19"/>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c r="AN509" s="18"/>
      <c r="AO509" s="18"/>
      <c r="AP509" s="18"/>
      <c r="AQ509" s="18"/>
      <c r="AR509" s="18"/>
      <c r="AS509" s="18"/>
      <c r="AT509" s="18"/>
      <c r="AU509" s="18"/>
      <c r="AV509" s="18"/>
      <c r="AW509" s="18"/>
      <c r="AX509" s="18"/>
      <c r="AY509" s="18"/>
      <c r="AZ509" s="18"/>
      <c r="BA509" s="18"/>
      <c r="BB509" s="18"/>
      <c r="BC509" s="18"/>
      <c r="BD509" s="18"/>
      <c r="BE509" s="18"/>
      <c r="BF509" s="18"/>
      <c r="BG509" s="18"/>
      <c r="BH509" s="18"/>
      <c r="BI509" s="18"/>
      <c r="BJ509" s="18"/>
      <c r="BK509" s="18"/>
      <c r="BL509" s="18"/>
      <c r="BM509" s="18"/>
      <c r="BN509" s="18"/>
      <c r="BO509" s="18"/>
      <c r="BP509" s="18"/>
      <c r="BQ509" s="18"/>
      <c r="BR509" s="18"/>
      <c r="BS509" s="18"/>
      <c r="BT509" s="18"/>
      <c r="BU509" s="18"/>
      <c r="BV509" s="18"/>
      <c r="BW509" s="18"/>
      <c r="BX509" s="18"/>
      <c r="BY509" s="18"/>
      <c r="BZ509" s="18"/>
      <c r="CA509" s="18"/>
      <c r="CB509" s="18"/>
      <c r="CC509" s="18"/>
      <c r="CD509" s="18"/>
      <c r="CE509" s="18"/>
      <c r="CF509" s="18"/>
      <c r="CG509" s="18"/>
      <c r="CH509" s="18"/>
      <c r="CI509" s="18"/>
      <c r="CJ509" s="18"/>
      <c r="CK509" s="18"/>
      <c r="CL509" s="18"/>
      <c r="CM509" s="18"/>
      <c r="CN509" s="18"/>
      <c r="CO509" s="18"/>
      <c r="CP509" s="18"/>
      <c r="CQ509" s="18"/>
      <c r="CR509" s="18"/>
      <c r="CS509" s="18"/>
      <c r="CT509" s="18"/>
      <c r="CU509" s="18"/>
    </row>
    <row r="510" spans="1:99">
      <c r="A510" s="19"/>
      <c r="B510" s="19"/>
      <c r="C510" s="19"/>
      <c r="D510" s="19"/>
      <c r="E510" s="19"/>
      <c r="F510" s="19"/>
      <c r="G510" s="19"/>
      <c r="H510" s="19"/>
      <c r="I510" s="19"/>
      <c r="J510" s="19"/>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c r="BC510" s="18"/>
      <c r="BD510" s="18"/>
      <c r="BE510" s="18"/>
      <c r="BF510" s="18"/>
      <c r="BG510" s="18"/>
      <c r="BH510" s="18"/>
      <c r="BI510" s="18"/>
      <c r="BJ510" s="18"/>
      <c r="BK510" s="18"/>
      <c r="BL510" s="18"/>
      <c r="BM510" s="18"/>
      <c r="BN510" s="18"/>
      <c r="BO510" s="18"/>
      <c r="BP510" s="18"/>
      <c r="BQ510" s="18"/>
      <c r="BR510" s="18"/>
      <c r="BS510" s="18"/>
      <c r="BT510" s="18"/>
      <c r="BU510" s="18"/>
      <c r="BV510" s="18"/>
      <c r="BW510" s="18"/>
      <c r="BX510" s="18"/>
      <c r="BY510" s="18"/>
      <c r="BZ510" s="18"/>
      <c r="CA510" s="18"/>
      <c r="CB510" s="18"/>
      <c r="CC510" s="18"/>
      <c r="CD510" s="18"/>
      <c r="CE510" s="18"/>
      <c r="CF510" s="18"/>
      <c r="CG510" s="18"/>
      <c r="CH510" s="18"/>
      <c r="CI510" s="18"/>
      <c r="CJ510" s="18"/>
      <c r="CK510" s="18"/>
      <c r="CL510" s="18"/>
      <c r="CM510" s="18"/>
      <c r="CN510" s="18"/>
      <c r="CO510" s="18"/>
      <c r="CP510" s="18"/>
      <c r="CQ510" s="18"/>
      <c r="CR510" s="18"/>
      <c r="CS510" s="18"/>
      <c r="CT510" s="18"/>
      <c r="CU510" s="18"/>
    </row>
    <row r="511" spans="1:99">
      <c r="A511" s="19"/>
      <c r="B511" s="19"/>
      <c r="C511" s="19"/>
      <c r="D511" s="19"/>
      <c r="E511" s="19"/>
      <c r="F511" s="19"/>
      <c r="G511" s="19"/>
      <c r="H511" s="19"/>
      <c r="I511" s="19"/>
      <c r="J511" s="19"/>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c r="AN511" s="18"/>
      <c r="AO511" s="18"/>
      <c r="AP511" s="18"/>
      <c r="AQ511" s="18"/>
      <c r="AR511" s="18"/>
      <c r="AS511" s="18"/>
      <c r="AT511" s="18"/>
      <c r="AU511" s="18"/>
      <c r="AV511" s="18"/>
      <c r="AW511" s="18"/>
      <c r="AX511" s="18"/>
      <c r="AY511" s="18"/>
      <c r="AZ511" s="18"/>
      <c r="BA511" s="18"/>
      <c r="BB511" s="18"/>
      <c r="BC511" s="18"/>
      <c r="BD511" s="18"/>
      <c r="BE511" s="18"/>
      <c r="BF511" s="18"/>
      <c r="BG511" s="18"/>
      <c r="BH511" s="18"/>
      <c r="BI511" s="18"/>
      <c r="BJ511" s="18"/>
      <c r="BK511" s="18"/>
      <c r="BL511" s="18"/>
      <c r="BM511" s="18"/>
      <c r="BN511" s="18"/>
      <c r="BO511" s="18"/>
      <c r="BP511" s="18"/>
      <c r="BQ511" s="18"/>
      <c r="BR511" s="18"/>
      <c r="BS511" s="18"/>
      <c r="BT511" s="18"/>
      <c r="BU511" s="18"/>
      <c r="BV511" s="18"/>
      <c r="BW511" s="18"/>
      <c r="BX511" s="18"/>
      <c r="BY511" s="18"/>
      <c r="BZ511" s="18"/>
      <c r="CA511" s="18"/>
      <c r="CB511" s="18"/>
      <c r="CC511" s="18"/>
      <c r="CD511" s="18"/>
      <c r="CE511" s="18"/>
      <c r="CF511" s="18"/>
      <c r="CG511" s="18"/>
      <c r="CH511" s="18"/>
      <c r="CI511" s="18"/>
      <c r="CJ511" s="18"/>
      <c r="CK511" s="18"/>
      <c r="CL511" s="18"/>
      <c r="CM511" s="18"/>
      <c r="CN511" s="18"/>
      <c r="CO511" s="18"/>
      <c r="CP511" s="18"/>
      <c r="CQ511" s="18"/>
      <c r="CR511" s="18"/>
      <c r="CS511" s="18"/>
      <c r="CT511" s="18"/>
      <c r="CU511" s="18"/>
    </row>
    <row r="512" spans="1:99">
      <c r="A512" s="19"/>
      <c r="B512" s="19"/>
      <c r="C512" s="19"/>
      <c r="D512" s="19"/>
      <c r="E512" s="19"/>
      <c r="F512" s="19"/>
      <c r="G512" s="19"/>
      <c r="H512" s="19"/>
      <c r="I512" s="19"/>
      <c r="J512" s="19"/>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c r="BC512" s="18"/>
      <c r="BD512" s="18"/>
      <c r="BE512" s="18"/>
      <c r="BF512" s="18"/>
      <c r="BG512" s="18"/>
      <c r="BH512" s="18"/>
      <c r="BI512" s="18"/>
      <c r="BJ512" s="18"/>
      <c r="BK512" s="18"/>
      <c r="BL512" s="18"/>
      <c r="BM512" s="18"/>
      <c r="BN512" s="18"/>
      <c r="BO512" s="18"/>
      <c r="BP512" s="18"/>
      <c r="BQ512" s="18"/>
      <c r="BR512" s="18"/>
      <c r="BS512" s="18"/>
      <c r="BT512" s="18"/>
      <c r="BU512" s="18"/>
      <c r="BV512" s="18"/>
      <c r="BW512" s="18"/>
      <c r="BX512" s="18"/>
      <c r="BY512" s="18"/>
      <c r="BZ512" s="18"/>
      <c r="CA512" s="18"/>
      <c r="CB512" s="18"/>
      <c r="CC512" s="18"/>
      <c r="CD512" s="18"/>
      <c r="CE512" s="18"/>
      <c r="CF512" s="18"/>
      <c r="CG512" s="18"/>
      <c r="CH512" s="18"/>
      <c r="CI512" s="18"/>
      <c r="CJ512" s="18"/>
      <c r="CK512" s="18"/>
      <c r="CL512" s="18"/>
      <c r="CM512" s="18"/>
      <c r="CN512" s="18"/>
      <c r="CO512" s="18"/>
      <c r="CP512" s="18"/>
      <c r="CQ512" s="18"/>
      <c r="CR512" s="18"/>
      <c r="CS512" s="18"/>
      <c r="CT512" s="18"/>
      <c r="CU512" s="18"/>
    </row>
    <row r="513" spans="1:99">
      <c r="A513" s="19"/>
      <c r="B513" s="19"/>
      <c r="C513" s="19"/>
      <c r="D513" s="19"/>
      <c r="E513" s="19"/>
      <c r="F513" s="19"/>
      <c r="G513" s="19"/>
      <c r="H513" s="19"/>
      <c r="I513" s="19"/>
      <c r="J513" s="19"/>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c r="AN513" s="18"/>
      <c r="AO513" s="18"/>
      <c r="AP513" s="18"/>
      <c r="AQ513" s="18"/>
      <c r="AR513" s="18"/>
      <c r="AS513" s="18"/>
      <c r="AT513" s="18"/>
      <c r="AU513" s="18"/>
      <c r="AV513" s="18"/>
      <c r="AW513" s="18"/>
      <c r="AX513" s="18"/>
      <c r="AY513" s="18"/>
      <c r="AZ513" s="18"/>
      <c r="BA513" s="18"/>
      <c r="BB513" s="18"/>
      <c r="BC513" s="18"/>
      <c r="BD513" s="18"/>
      <c r="BE513" s="18"/>
      <c r="BF513" s="18"/>
      <c r="BG513" s="18"/>
      <c r="BH513" s="18"/>
      <c r="BI513" s="18"/>
      <c r="BJ513" s="18"/>
      <c r="BK513" s="18"/>
      <c r="BL513" s="18"/>
      <c r="BM513" s="18"/>
      <c r="BN513" s="18"/>
      <c r="BO513" s="18"/>
      <c r="BP513" s="18"/>
      <c r="BQ513" s="18"/>
      <c r="BR513" s="18"/>
      <c r="BS513" s="18"/>
      <c r="BT513" s="18"/>
      <c r="BU513" s="18"/>
      <c r="BV513" s="18"/>
      <c r="BW513" s="18"/>
      <c r="BX513" s="18"/>
      <c r="BY513" s="18"/>
      <c r="BZ513" s="18"/>
      <c r="CA513" s="18"/>
      <c r="CB513" s="18"/>
      <c r="CC513" s="18"/>
      <c r="CD513" s="18"/>
      <c r="CE513" s="18"/>
      <c r="CF513" s="18"/>
      <c r="CG513" s="18"/>
      <c r="CH513" s="18"/>
      <c r="CI513" s="18"/>
      <c r="CJ513" s="18"/>
      <c r="CK513" s="18"/>
      <c r="CL513" s="18"/>
      <c r="CM513" s="18"/>
      <c r="CN513" s="18"/>
      <c r="CO513" s="18"/>
      <c r="CP513" s="18"/>
      <c r="CQ513" s="18"/>
      <c r="CR513" s="18"/>
      <c r="CS513" s="18"/>
      <c r="CT513" s="18"/>
      <c r="CU513" s="18"/>
    </row>
    <row r="514" spans="1:99">
      <c r="A514" s="19"/>
      <c r="B514" s="19"/>
      <c r="C514" s="19"/>
      <c r="D514" s="19"/>
      <c r="E514" s="19"/>
      <c r="F514" s="19"/>
      <c r="G514" s="19"/>
      <c r="H514" s="19"/>
      <c r="I514" s="19"/>
      <c r="J514" s="19"/>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c r="BC514" s="18"/>
      <c r="BD514" s="18"/>
      <c r="BE514" s="18"/>
      <c r="BF514" s="18"/>
      <c r="BG514" s="18"/>
      <c r="BH514" s="18"/>
      <c r="BI514" s="18"/>
      <c r="BJ514" s="18"/>
      <c r="BK514" s="18"/>
      <c r="BL514" s="18"/>
      <c r="BM514" s="18"/>
      <c r="BN514" s="18"/>
      <c r="BO514" s="18"/>
      <c r="BP514" s="18"/>
      <c r="BQ514" s="18"/>
      <c r="BR514" s="18"/>
      <c r="BS514" s="18"/>
      <c r="BT514" s="18"/>
      <c r="BU514" s="18"/>
      <c r="BV514" s="18"/>
      <c r="BW514" s="18"/>
      <c r="BX514" s="18"/>
      <c r="BY514" s="18"/>
      <c r="BZ514" s="18"/>
      <c r="CA514" s="18"/>
      <c r="CB514" s="18"/>
      <c r="CC514" s="18"/>
      <c r="CD514" s="18"/>
      <c r="CE514" s="18"/>
      <c r="CF514" s="18"/>
      <c r="CG514" s="18"/>
      <c r="CH514" s="18"/>
      <c r="CI514" s="18"/>
      <c r="CJ514" s="18"/>
      <c r="CK514" s="18"/>
      <c r="CL514" s="18"/>
      <c r="CM514" s="18"/>
      <c r="CN514" s="18"/>
      <c r="CO514" s="18"/>
      <c r="CP514" s="18"/>
      <c r="CQ514" s="18"/>
      <c r="CR514" s="18"/>
      <c r="CS514" s="18"/>
      <c r="CT514" s="18"/>
      <c r="CU514" s="18"/>
    </row>
    <row r="515" spans="1:99">
      <c r="A515" s="19"/>
      <c r="B515" s="19"/>
      <c r="C515" s="19"/>
      <c r="D515" s="19"/>
      <c r="E515" s="19"/>
      <c r="F515" s="19"/>
      <c r="G515" s="19"/>
      <c r="H515" s="19"/>
      <c r="I515" s="19"/>
      <c r="J515" s="19"/>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c r="AN515" s="18"/>
      <c r="AO515" s="18"/>
      <c r="AP515" s="18"/>
      <c r="AQ515" s="18"/>
      <c r="AR515" s="18"/>
      <c r="AS515" s="18"/>
      <c r="AT515" s="18"/>
      <c r="AU515" s="18"/>
      <c r="AV515" s="18"/>
      <c r="AW515" s="18"/>
      <c r="AX515" s="18"/>
      <c r="AY515" s="18"/>
      <c r="AZ515" s="18"/>
      <c r="BA515" s="18"/>
      <c r="BB515" s="18"/>
      <c r="BC515" s="18"/>
      <c r="BD515" s="18"/>
      <c r="BE515" s="18"/>
      <c r="BF515" s="18"/>
      <c r="BG515" s="18"/>
      <c r="BH515" s="18"/>
      <c r="BI515" s="18"/>
      <c r="BJ515" s="18"/>
      <c r="BK515" s="18"/>
      <c r="BL515" s="18"/>
      <c r="BM515" s="18"/>
      <c r="BN515" s="18"/>
      <c r="BO515" s="18"/>
      <c r="BP515" s="18"/>
      <c r="BQ515" s="18"/>
      <c r="BR515" s="18"/>
      <c r="BS515" s="18"/>
      <c r="BT515" s="18"/>
      <c r="BU515" s="18"/>
      <c r="BV515" s="18"/>
      <c r="BW515" s="18"/>
      <c r="BX515" s="18"/>
      <c r="BY515" s="18"/>
      <c r="BZ515" s="18"/>
      <c r="CA515" s="18"/>
      <c r="CB515" s="18"/>
      <c r="CC515" s="18"/>
      <c r="CD515" s="18"/>
      <c r="CE515" s="18"/>
      <c r="CF515" s="18"/>
      <c r="CG515" s="18"/>
      <c r="CH515" s="18"/>
      <c r="CI515" s="18"/>
      <c r="CJ515" s="18"/>
      <c r="CK515" s="18"/>
      <c r="CL515" s="18"/>
      <c r="CM515" s="18"/>
      <c r="CN515" s="18"/>
      <c r="CO515" s="18"/>
      <c r="CP515" s="18"/>
      <c r="CQ515" s="18"/>
      <c r="CR515" s="18"/>
      <c r="CS515" s="18"/>
      <c r="CT515" s="18"/>
      <c r="CU515" s="18"/>
    </row>
    <row r="516" spans="1:99">
      <c r="A516" s="19"/>
      <c r="B516" s="19"/>
      <c r="C516" s="19"/>
      <c r="D516" s="19"/>
      <c r="E516" s="19"/>
      <c r="F516" s="19"/>
      <c r="G516" s="19"/>
      <c r="H516" s="19"/>
      <c r="I516" s="19"/>
      <c r="J516" s="19"/>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c r="BC516" s="18"/>
      <c r="BD516" s="18"/>
      <c r="BE516" s="18"/>
      <c r="BF516" s="18"/>
      <c r="BG516" s="18"/>
      <c r="BH516" s="18"/>
      <c r="BI516" s="18"/>
      <c r="BJ516" s="18"/>
      <c r="BK516" s="18"/>
      <c r="BL516" s="18"/>
      <c r="BM516" s="18"/>
      <c r="BN516" s="18"/>
      <c r="BO516" s="18"/>
      <c r="BP516" s="18"/>
      <c r="BQ516" s="18"/>
      <c r="BR516" s="18"/>
      <c r="BS516" s="18"/>
      <c r="BT516" s="18"/>
      <c r="BU516" s="18"/>
      <c r="BV516" s="18"/>
      <c r="BW516" s="18"/>
      <c r="BX516" s="18"/>
      <c r="BY516" s="18"/>
      <c r="BZ516" s="18"/>
      <c r="CA516" s="18"/>
      <c r="CB516" s="18"/>
      <c r="CC516" s="18"/>
      <c r="CD516" s="18"/>
      <c r="CE516" s="18"/>
      <c r="CF516" s="18"/>
      <c r="CG516" s="18"/>
      <c r="CH516" s="18"/>
      <c r="CI516" s="18"/>
      <c r="CJ516" s="18"/>
      <c r="CK516" s="18"/>
      <c r="CL516" s="18"/>
      <c r="CM516" s="18"/>
      <c r="CN516" s="18"/>
      <c r="CO516" s="18"/>
      <c r="CP516" s="18"/>
      <c r="CQ516" s="18"/>
      <c r="CR516" s="18"/>
      <c r="CS516" s="18"/>
      <c r="CT516" s="18"/>
      <c r="CU516" s="18"/>
    </row>
    <row r="517" spans="1:99">
      <c r="A517" s="19"/>
      <c r="B517" s="19"/>
      <c r="C517" s="19"/>
      <c r="D517" s="19"/>
      <c r="E517" s="19"/>
      <c r="F517" s="19"/>
      <c r="G517" s="19"/>
      <c r="H517" s="19"/>
      <c r="I517" s="19"/>
      <c r="J517" s="19"/>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c r="AN517" s="18"/>
      <c r="AO517" s="18"/>
      <c r="AP517" s="18"/>
      <c r="AQ517" s="18"/>
      <c r="AR517" s="18"/>
      <c r="AS517" s="18"/>
      <c r="AT517" s="18"/>
      <c r="AU517" s="18"/>
      <c r="AV517" s="18"/>
      <c r="AW517" s="18"/>
      <c r="AX517" s="18"/>
      <c r="AY517" s="18"/>
      <c r="AZ517" s="18"/>
      <c r="BA517" s="18"/>
      <c r="BB517" s="18"/>
      <c r="BC517" s="18"/>
      <c r="BD517" s="18"/>
      <c r="BE517" s="18"/>
      <c r="BF517" s="18"/>
      <c r="BG517" s="18"/>
      <c r="BH517" s="18"/>
      <c r="BI517" s="18"/>
      <c r="BJ517" s="18"/>
      <c r="BK517" s="18"/>
      <c r="BL517" s="18"/>
      <c r="BM517" s="18"/>
      <c r="BN517" s="18"/>
      <c r="BO517" s="18"/>
      <c r="BP517" s="18"/>
      <c r="BQ517" s="18"/>
      <c r="BR517" s="18"/>
      <c r="BS517" s="18"/>
      <c r="BT517" s="18"/>
      <c r="BU517" s="18"/>
      <c r="BV517" s="18"/>
      <c r="BW517" s="18"/>
      <c r="BX517" s="18"/>
      <c r="BY517" s="18"/>
      <c r="BZ517" s="18"/>
      <c r="CA517" s="18"/>
      <c r="CB517" s="18"/>
      <c r="CC517" s="18"/>
      <c r="CD517" s="18"/>
      <c r="CE517" s="18"/>
      <c r="CF517" s="18"/>
      <c r="CG517" s="18"/>
      <c r="CH517" s="18"/>
      <c r="CI517" s="18"/>
      <c r="CJ517" s="18"/>
      <c r="CK517" s="18"/>
      <c r="CL517" s="18"/>
      <c r="CM517" s="18"/>
      <c r="CN517" s="18"/>
      <c r="CO517" s="18"/>
      <c r="CP517" s="18"/>
      <c r="CQ517" s="18"/>
      <c r="CR517" s="18"/>
      <c r="CS517" s="18"/>
      <c r="CT517" s="18"/>
      <c r="CU517" s="18"/>
    </row>
    <row r="518" spans="1:99">
      <c r="A518" s="19"/>
      <c r="B518" s="19"/>
      <c r="C518" s="19"/>
      <c r="D518" s="19"/>
      <c r="E518" s="19"/>
      <c r="F518" s="19"/>
      <c r="G518" s="19"/>
      <c r="H518" s="19"/>
      <c r="I518" s="19"/>
      <c r="J518" s="19"/>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c r="BC518" s="18"/>
      <c r="BD518" s="18"/>
      <c r="BE518" s="18"/>
      <c r="BF518" s="18"/>
      <c r="BG518" s="18"/>
      <c r="BH518" s="18"/>
      <c r="BI518" s="18"/>
      <c r="BJ518" s="18"/>
      <c r="BK518" s="18"/>
      <c r="BL518" s="18"/>
      <c r="BM518" s="18"/>
      <c r="BN518" s="18"/>
      <c r="BO518" s="18"/>
      <c r="BP518" s="18"/>
      <c r="BQ518" s="18"/>
      <c r="BR518" s="18"/>
      <c r="BS518" s="18"/>
      <c r="BT518" s="18"/>
      <c r="BU518" s="18"/>
      <c r="BV518" s="18"/>
      <c r="BW518" s="18"/>
      <c r="BX518" s="18"/>
      <c r="BY518" s="18"/>
      <c r="BZ518" s="18"/>
      <c r="CA518" s="18"/>
      <c r="CB518" s="18"/>
      <c r="CC518" s="18"/>
      <c r="CD518" s="18"/>
      <c r="CE518" s="18"/>
      <c r="CF518" s="18"/>
      <c r="CG518" s="18"/>
      <c r="CH518" s="18"/>
      <c r="CI518" s="18"/>
      <c r="CJ518" s="18"/>
      <c r="CK518" s="18"/>
      <c r="CL518" s="18"/>
      <c r="CM518" s="18"/>
      <c r="CN518" s="18"/>
      <c r="CO518" s="18"/>
      <c r="CP518" s="18"/>
      <c r="CQ518" s="18"/>
      <c r="CR518" s="18"/>
      <c r="CS518" s="18"/>
      <c r="CT518" s="18"/>
      <c r="CU518" s="18"/>
    </row>
    <row r="519" spans="1:99">
      <c r="A519" s="19"/>
      <c r="B519" s="19"/>
      <c r="C519" s="19"/>
      <c r="D519" s="19"/>
      <c r="E519" s="19"/>
      <c r="F519" s="19"/>
      <c r="G519" s="19"/>
      <c r="H519" s="19"/>
      <c r="I519" s="19"/>
      <c r="J519" s="19"/>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c r="AN519" s="18"/>
      <c r="AO519" s="18"/>
      <c r="AP519" s="18"/>
      <c r="AQ519" s="18"/>
      <c r="AR519" s="18"/>
      <c r="AS519" s="18"/>
      <c r="AT519" s="18"/>
      <c r="AU519" s="18"/>
      <c r="AV519" s="18"/>
      <c r="AW519" s="18"/>
      <c r="AX519" s="18"/>
      <c r="AY519" s="18"/>
      <c r="AZ519" s="18"/>
      <c r="BA519" s="18"/>
      <c r="BB519" s="18"/>
      <c r="BC519" s="18"/>
      <c r="BD519" s="18"/>
      <c r="BE519" s="18"/>
      <c r="BF519" s="18"/>
      <c r="BG519" s="18"/>
      <c r="BH519" s="18"/>
      <c r="BI519" s="18"/>
      <c r="BJ519" s="18"/>
      <c r="BK519" s="18"/>
      <c r="BL519" s="18"/>
      <c r="BM519" s="18"/>
      <c r="BN519" s="18"/>
      <c r="BO519" s="18"/>
      <c r="BP519" s="18"/>
      <c r="BQ519" s="18"/>
      <c r="BR519" s="18"/>
      <c r="BS519" s="18"/>
      <c r="BT519" s="18"/>
      <c r="BU519" s="18"/>
      <c r="BV519" s="18"/>
      <c r="BW519" s="18"/>
      <c r="BX519" s="18"/>
      <c r="BY519" s="18"/>
      <c r="BZ519" s="18"/>
      <c r="CA519" s="18"/>
      <c r="CB519" s="18"/>
      <c r="CC519" s="18"/>
      <c r="CD519" s="18"/>
      <c r="CE519" s="18"/>
      <c r="CF519" s="18"/>
      <c r="CG519" s="18"/>
      <c r="CH519" s="18"/>
      <c r="CI519" s="18"/>
      <c r="CJ519" s="18"/>
      <c r="CK519" s="18"/>
      <c r="CL519" s="18"/>
      <c r="CM519" s="18"/>
      <c r="CN519" s="18"/>
      <c r="CO519" s="18"/>
      <c r="CP519" s="18"/>
      <c r="CQ519" s="18"/>
      <c r="CR519" s="18"/>
      <c r="CS519" s="18"/>
      <c r="CT519" s="18"/>
      <c r="CU519" s="18"/>
    </row>
    <row r="520" spans="1:99">
      <c r="A520" s="19"/>
      <c r="B520" s="19"/>
      <c r="C520" s="19"/>
      <c r="D520" s="19"/>
      <c r="E520" s="19"/>
      <c r="F520" s="19"/>
      <c r="G520" s="19"/>
      <c r="H520" s="19"/>
      <c r="I520" s="19"/>
      <c r="J520" s="19"/>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c r="BC520" s="18"/>
      <c r="BD520" s="18"/>
      <c r="BE520" s="18"/>
      <c r="BF520" s="18"/>
      <c r="BG520" s="18"/>
      <c r="BH520" s="18"/>
      <c r="BI520" s="18"/>
      <c r="BJ520" s="18"/>
      <c r="BK520" s="18"/>
      <c r="BL520" s="18"/>
      <c r="BM520" s="18"/>
      <c r="BN520" s="18"/>
      <c r="BO520" s="18"/>
      <c r="BP520" s="18"/>
      <c r="BQ520" s="18"/>
      <c r="BR520" s="18"/>
      <c r="BS520" s="18"/>
      <c r="BT520" s="18"/>
      <c r="BU520" s="18"/>
      <c r="BV520" s="18"/>
      <c r="BW520" s="18"/>
      <c r="BX520" s="18"/>
      <c r="BY520" s="18"/>
      <c r="BZ520" s="18"/>
      <c r="CA520" s="18"/>
      <c r="CB520" s="18"/>
      <c r="CC520" s="18"/>
      <c r="CD520" s="18"/>
      <c r="CE520" s="18"/>
      <c r="CF520" s="18"/>
      <c r="CG520" s="18"/>
      <c r="CH520" s="18"/>
      <c r="CI520" s="18"/>
      <c r="CJ520" s="18"/>
      <c r="CK520" s="18"/>
      <c r="CL520" s="18"/>
      <c r="CM520" s="18"/>
      <c r="CN520" s="18"/>
      <c r="CO520" s="18"/>
      <c r="CP520" s="18"/>
      <c r="CQ520" s="18"/>
      <c r="CR520" s="18"/>
      <c r="CS520" s="18"/>
      <c r="CT520" s="18"/>
      <c r="CU520" s="18"/>
    </row>
    <row r="521" spans="1:99">
      <c r="A521" s="19"/>
      <c r="B521" s="19"/>
      <c r="C521" s="19"/>
      <c r="D521" s="19"/>
      <c r="E521" s="19"/>
      <c r="F521" s="19"/>
      <c r="G521" s="19"/>
      <c r="H521" s="19"/>
      <c r="I521" s="19"/>
      <c r="J521" s="19"/>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c r="AN521" s="18"/>
      <c r="AO521" s="18"/>
      <c r="AP521" s="18"/>
      <c r="AQ521" s="18"/>
      <c r="AR521" s="18"/>
      <c r="AS521" s="18"/>
      <c r="AT521" s="18"/>
      <c r="AU521" s="18"/>
      <c r="AV521" s="18"/>
      <c r="AW521" s="18"/>
      <c r="AX521" s="18"/>
      <c r="AY521" s="18"/>
      <c r="AZ521" s="18"/>
      <c r="BA521" s="18"/>
      <c r="BB521" s="18"/>
      <c r="BC521" s="18"/>
      <c r="BD521" s="18"/>
      <c r="BE521" s="18"/>
      <c r="BF521" s="18"/>
      <c r="BG521" s="18"/>
      <c r="BH521" s="18"/>
      <c r="BI521" s="18"/>
      <c r="BJ521" s="18"/>
      <c r="BK521" s="18"/>
      <c r="BL521" s="18"/>
      <c r="BM521" s="18"/>
      <c r="BN521" s="18"/>
      <c r="BO521" s="18"/>
      <c r="BP521" s="18"/>
      <c r="BQ521" s="18"/>
      <c r="BR521" s="18"/>
      <c r="BS521" s="18"/>
      <c r="BT521" s="18"/>
      <c r="BU521" s="18"/>
      <c r="BV521" s="18"/>
      <c r="BW521" s="18"/>
      <c r="BX521" s="18"/>
      <c r="BY521" s="18"/>
      <c r="BZ521" s="18"/>
      <c r="CA521" s="18"/>
      <c r="CB521" s="18"/>
      <c r="CC521" s="18"/>
      <c r="CD521" s="18"/>
      <c r="CE521" s="18"/>
      <c r="CF521" s="18"/>
      <c r="CG521" s="18"/>
      <c r="CH521" s="18"/>
      <c r="CI521" s="18"/>
      <c r="CJ521" s="18"/>
      <c r="CK521" s="18"/>
      <c r="CL521" s="18"/>
      <c r="CM521" s="18"/>
      <c r="CN521" s="18"/>
      <c r="CO521" s="18"/>
      <c r="CP521" s="18"/>
      <c r="CQ521" s="18"/>
      <c r="CR521" s="18"/>
      <c r="CS521" s="18"/>
      <c r="CT521" s="18"/>
      <c r="CU521" s="18"/>
    </row>
    <row r="522" spans="1:99">
      <c r="A522" s="19"/>
      <c r="B522" s="19"/>
      <c r="C522" s="19"/>
      <c r="D522" s="19"/>
      <c r="E522" s="19"/>
      <c r="F522" s="19"/>
      <c r="G522" s="19"/>
      <c r="H522" s="19"/>
      <c r="I522" s="19"/>
      <c r="J522" s="19"/>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c r="BC522" s="18"/>
      <c r="BD522" s="18"/>
      <c r="BE522" s="18"/>
      <c r="BF522" s="18"/>
      <c r="BG522" s="18"/>
      <c r="BH522" s="18"/>
      <c r="BI522" s="18"/>
      <c r="BJ522" s="18"/>
      <c r="BK522" s="18"/>
      <c r="BL522" s="18"/>
      <c r="BM522" s="18"/>
      <c r="BN522" s="18"/>
      <c r="BO522" s="18"/>
      <c r="BP522" s="18"/>
      <c r="BQ522" s="18"/>
      <c r="BR522" s="18"/>
      <c r="BS522" s="18"/>
      <c r="BT522" s="18"/>
      <c r="BU522" s="18"/>
      <c r="BV522" s="18"/>
      <c r="BW522" s="18"/>
      <c r="BX522" s="18"/>
      <c r="BY522" s="18"/>
      <c r="BZ522" s="18"/>
      <c r="CA522" s="18"/>
      <c r="CB522" s="18"/>
      <c r="CC522" s="18"/>
      <c r="CD522" s="18"/>
      <c r="CE522" s="18"/>
      <c r="CF522" s="18"/>
      <c r="CG522" s="18"/>
      <c r="CH522" s="18"/>
      <c r="CI522" s="18"/>
      <c r="CJ522" s="18"/>
      <c r="CK522" s="18"/>
      <c r="CL522" s="18"/>
      <c r="CM522" s="18"/>
      <c r="CN522" s="18"/>
      <c r="CO522" s="18"/>
      <c r="CP522" s="18"/>
      <c r="CQ522" s="18"/>
      <c r="CR522" s="18"/>
      <c r="CS522" s="18"/>
      <c r="CT522" s="18"/>
      <c r="CU522" s="18"/>
    </row>
    <row r="523" spans="1:99">
      <c r="A523" s="19"/>
      <c r="B523" s="19"/>
      <c r="C523" s="19"/>
      <c r="D523" s="19"/>
      <c r="E523" s="19"/>
      <c r="F523" s="19"/>
      <c r="G523" s="19"/>
      <c r="H523" s="19"/>
      <c r="I523" s="19"/>
      <c r="J523" s="19"/>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c r="AN523" s="18"/>
      <c r="AO523" s="18"/>
      <c r="AP523" s="18"/>
      <c r="AQ523" s="18"/>
      <c r="AR523" s="18"/>
      <c r="AS523" s="18"/>
      <c r="AT523" s="18"/>
      <c r="AU523" s="18"/>
      <c r="AV523" s="18"/>
      <c r="AW523" s="18"/>
      <c r="AX523" s="18"/>
      <c r="AY523" s="18"/>
      <c r="AZ523" s="18"/>
      <c r="BA523" s="18"/>
      <c r="BB523" s="18"/>
      <c r="BC523" s="18"/>
      <c r="BD523" s="18"/>
      <c r="BE523" s="18"/>
      <c r="BF523" s="18"/>
      <c r="BG523" s="18"/>
      <c r="BH523" s="18"/>
      <c r="BI523" s="18"/>
      <c r="BJ523" s="18"/>
      <c r="BK523" s="18"/>
      <c r="BL523" s="18"/>
      <c r="BM523" s="18"/>
      <c r="BN523" s="18"/>
      <c r="BO523" s="18"/>
      <c r="BP523" s="18"/>
      <c r="BQ523" s="18"/>
      <c r="BR523" s="18"/>
      <c r="BS523" s="18"/>
      <c r="BT523" s="18"/>
      <c r="BU523" s="18"/>
      <c r="BV523" s="18"/>
      <c r="BW523" s="18"/>
      <c r="BX523" s="18"/>
      <c r="BY523" s="18"/>
      <c r="BZ523" s="18"/>
      <c r="CA523" s="18"/>
      <c r="CB523" s="18"/>
      <c r="CC523" s="18"/>
      <c r="CD523" s="18"/>
      <c r="CE523" s="18"/>
      <c r="CF523" s="18"/>
      <c r="CG523" s="18"/>
      <c r="CH523" s="18"/>
      <c r="CI523" s="18"/>
      <c r="CJ523" s="18"/>
      <c r="CK523" s="18"/>
      <c r="CL523" s="18"/>
      <c r="CM523" s="18"/>
      <c r="CN523" s="18"/>
      <c r="CO523" s="18"/>
      <c r="CP523" s="18"/>
      <c r="CQ523" s="18"/>
      <c r="CR523" s="18"/>
      <c r="CS523" s="18"/>
      <c r="CT523" s="18"/>
      <c r="CU523" s="18"/>
    </row>
    <row r="524" spans="1:99">
      <c r="A524" s="19"/>
      <c r="B524" s="19"/>
      <c r="C524" s="19"/>
      <c r="D524" s="19"/>
      <c r="E524" s="19"/>
      <c r="F524" s="19"/>
      <c r="G524" s="19"/>
      <c r="H524" s="19"/>
      <c r="I524" s="19"/>
      <c r="J524" s="19"/>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c r="BC524" s="18"/>
      <c r="BD524" s="18"/>
      <c r="BE524" s="18"/>
      <c r="BF524" s="18"/>
      <c r="BG524" s="18"/>
      <c r="BH524" s="18"/>
      <c r="BI524" s="18"/>
      <c r="BJ524" s="18"/>
      <c r="BK524" s="18"/>
      <c r="BL524" s="18"/>
      <c r="BM524" s="18"/>
      <c r="BN524" s="18"/>
      <c r="BO524" s="18"/>
      <c r="BP524" s="18"/>
      <c r="BQ524" s="18"/>
      <c r="BR524" s="18"/>
      <c r="BS524" s="18"/>
      <c r="BT524" s="18"/>
      <c r="BU524" s="18"/>
      <c r="BV524" s="18"/>
      <c r="BW524" s="18"/>
      <c r="BX524" s="18"/>
      <c r="BY524" s="18"/>
      <c r="BZ524" s="18"/>
      <c r="CA524" s="18"/>
      <c r="CB524" s="18"/>
      <c r="CC524" s="18"/>
      <c r="CD524" s="18"/>
      <c r="CE524" s="18"/>
      <c r="CF524" s="18"/>
      <c r="CG524" s="18"/>
      <c r="CH524" s="18"/>
      <c r="CI524" s="18"/>
      <c r="CJ524" s="18"/>
      <c r="CK524" s="18"/>
      <c r="CL524" s="18"/>
      <c r="CM524" s="18"/>
      <c r="CN524" s="18"/>
      <c r="CO524" s="18"/>
      <c r="CP524" s="18"/>
      <c r="CQ524" s="18"/>
      <c r="CR524" s="18"/>
      <c r="CS524" s="18"/>
      <c r="CT524" s="18"/>
      <c r="CU524" s="18"/>
    </row>
    <row r="525" spans="1:99">
      <c r="A525" s="19"/>
      <c r="B525" s="19"/>
      <c r="C525" s="19"/>
      <c r="D525" s="19"/>
      <c r="E525" s="19"/>
      <c r="F525" s="19"/>
      <c r="G525" s="19"/>
      <c r="H525" s="19"/>
      <c r="I525" s="19"/>
      <c r="J525" s="19"/>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c r="AN525" s="18"/>
      <c r="AO525" s="18"/>
      <c r="AP525" s="18"/>
      <c r="AQ525" s="18"/>
      <c r="AR525" s="18"/>
      <c r="AS525" s="18"/>
      <c r="AT525" s="18"/>
      <c r="AU525" s="18"/>
      <c r="AV525" s="18"/>
      <c r="AW525" s="18"/>
      <c r="AX525" s="18"/>
      <c r="AY525" s="18"/>
      <c r="AZ525" s="18"/>
      <c r="BA525" s="18"/>
      <c r="BB525" s="18"/>
      <c r="BC525" s="18"/>
      <c r="BD525" s="18"/>
      <c r="BE525" s="18"/>
      <c r="BF525" s="18"/>
      <c r="BG525" s="18"/>
      <c r="BH525" s="18"/>
      <c r="BI525" s="18"/>
      <c r="BJ525" s="18"/>
      <c r="BK525" s="18"/>
      <c r="BL525" s="18"/>
      <c r="BM525" s="18"/>
      <c r="BN525" s="18"/>
      <c r="BO525" s="18"/>
      <c r="BP525" s="18"/>
      <c r="BQ525" s="18"/>
      <c r="BR525" s="18"/>
      <c r="BS525" s="18"/>
      <c r="BT525" s="18"/>
      <c r="BU525" s="18"/>
      <c r="BV525" s="18"/>
      <c r="BW525" s="18"/>
      <c r="BX525" s="18"/>
      <c r="BY525" s="18"/>
      <c r="BZ525" s="18"/>
      <c r="CA525" s="18"/>
      <c r="CB525" s="18"/>
      <c r="CC525" s="18"/>
      <c r="CD525" s="18"/>
      <c r="CE525" s="18"/>
      <c r="CF525" s="18"/>
      <c r="CG525" s="18"/>
      <c r="CH525" s="18"/>
      <c r="CI525" s="18"/>
      <c r="CJ525" s="18"/>
      <c r="CK525" s="18"/>
      <c r="CL525" s="18"/>
      <c r="CM525" s="18"/>
      <c r="CN525" s="18"/>
      <c r="CO525" s="18"/>
      <c r="CP525" s="18"/>
      <c r="CQ525" s="18"/>
      <c r="CR525" s="18"/>
      <c r="CS525" s="18"/>
      <c r="CT525" s="18"/>
      <c r="CU525" s="18"/>
    </row>
    <row r="526" spans="1:99">
      <c r="A526" s="19"/>
      <c r="B526" s="19"/>
      <c r="C526" s="19"/>
      <c r="D526" s="19"/>
      <c r="E526" s="19"/>
      <c r="F526" s="19"/>
      <c r="G526" s="19"/>
      <c r="H526" s="19"/>
      <c r="I526" s="19"/>
      <c r="J526" s="19"/>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c r="BC526" s="18"/>
      <c r="BD526" s="18"/>
      <c r="BE526" s="18"/>
      <c r="BF526" s="18"/>
      <c r="BG526" s="18"/>
      <c r="BH526" s="18"/>
      <c r="BI526" s="18"/>
      <c r="BJ526" s="18"/>
      <c r="BK526" s="18"/>
      <c r="BL526" s="18"/>
      <c r="BM526" s="18"/>
      <c r="BN526" s="18"/>
      <c r="BO526" s="18"/>
      <c r="BP526" s="18"/>
      <c r="BQ526" s="18"/>
      <c r="BR526" s="18"/>
      <c r="BS526" s="18"/>
      <c r="BT526" s="18"/>
      <c r="BU526" s="18"/>
      <c r="BV526" s="18"/>
      <c r="BW526" s="18"/>
      <c r="BX526" s="18"/>
      <c r="BY526" s="18"/>
      <c r="BZ526" s="18"/>
      <c r="CA526" s="18"/>
      <c r="CB526" s="18"/>
      <c r="CC526" s="18"/>
      <c r="CD526" s="18"/>
      <c r="CE526" s="18"/>
      <c r="CF526" s="18"/>
      <c r="CG526" s="18"/>
      <c r="CH526" s="18"/>
      <c r="CI526" s="18"/>
      <c r="CJ526" s="18"/>
      <c r="CK526" s="18"/>
      <c r="CL526" s="18"/>
      <c r="CM526" s="18"/>
      <c r="CN526" s="18"/>
      <c r="CO526" s="18"/>
      <c r="CP526" s="18"/>
      <c r="CQ526" s="18"/>
      <c r="CR526" s="18"/>
      <c r="CS526" s="18"/>
      <c r="CT526" s="18"/>
      <c r="CU526" s="18"/>
    </row>
    <row r="527" spans="1:99">
      <c r="A527" s="19"/>
      <c r="B527" s="19"/>
      <c r="C527" s="19"/>
      <c r="D527" s="19"/>
      <c r="E527" s="19"/>
      <c r="F527" s="19"/>
      <c r="G527" s="19"/>
      <c r="H527" s="19"/>
      <c r="I527" s="19"/>
      <c r="J527" s="19"/>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c r="AN527" s="18"/>
      <c r="AO527" s="18"/>
      <c r="AP527" s="18"/>
      <c r="AQ527" s="18"/>
      <c r="AR527" s="18"/>
      <c r="AS527" s="18"/>
      <c r="AT527" s="18"/>
      <c r="AU527" s="18"/>
      <c r="AV527" s="18"/>
      <c r="AW527" s="18"/>
      <c r="AX527" s="18"/>
      <c r="AY527" s="18"/>
      <c r="AZ527" s="18"/>
      <c r="BA527" s="18"/>
      <c r="BB527" s="18"/>
      <c r="BC527" s="18"/>
      <c r="BD527" s="18"/>
      <c r="BE527" s="18"/>
      <c r="BF527" s="18"/>
      <c r="BG527" s="18"/>
      <c r="BH527" s="18"/>
      <c r="BI527" s="18"/>
      <c r="BJ527" s="18"/>
      <c r="BK527" s="18"/>
      <c r="BL527" s="18"/>
      <c r="BM527" s="18"/>
      <c r="BN527" s="18"/>
      <c r="BO527" s="18"/>
      <c r="BP527" s="18"/>
      <c r="BQ527" s="18"/>
      <c r="BR527" s="18"/>
      <c r="BS527" s="18"/>
      <c r="BT527" s="18"/>
      <c r="BU527" s="18"/>
      <c r="BV527" s="18"/>
      <c r="BW527" s="18"/>
      <c r="BX527" s="18"/>
      <c r="BY527" s="18"/>
      <c r="BZ527" s="18"/>
      <c r="CA527" s="18"/>
      <c r="CB527" s="18"/>
      <c r="CC527" s="18"/>
      <c r="CD527" s="18"/>
      <c r="CE527" s="18"/>
      <c r="CF527" s="18"/>
      <c r="CG527" s="18"/>
      <c r="CH527" s="18"/>
      <c r="CI527" s="18"/>
      <c r="CJ527" s="18"/>
      <c r="CK527" s="18"/>
      <c r="CL527" s="18"/>
      <c r="CM527" s="18"/>
      <c r="CN527" s="18"/>
      <c r="CO527" s="18"/>
      <c r="CP527" s="18"/>
      <c r="CQ527" s="18"/>
      <c r="CR527" s="18"/>
      <c r="CS527" s="18"/>
      <c r="CT527" s="18"/>
      <c r="CU527" s="18"/>
    </row>
    <row r="528" spans="1:99">
      <c r="A528" s="19"/>
      <c r="B528" s="19"/>
      <c r="C528" s="19"/>
      <c r="D528" s="19"/>
      <c r="E528" s="19"/>
      <c r="F528" s="19"/>
      <c r="G528" s="19"/>
      <c r="H528" s="19"/>
      <c r="I528" s="19"/>
      <c r="J528" s="19"/>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c r="BC528" s="18"/>
      <c r="BD528" s="18"/>
      <c r="BE528" s="18"/>
      <c r="BF528" s="18"/>
      <c r="BG528" s="18"/>
      <c r="BH528" s="18"/>
      <c r="BI528" s="18"/>
      <c r="BJ528" s="18"/>
      <c r="BK528" s="18"/>
      <c r="BL528" s="18"/>
      <c r="BM528" s="18"/>
      <c r="BN528" s="18"/>
      <c r="BO528" s="18"/>
      <c r="BP528" s="18"/>
      <c r="BQ528" s="18"/>
      <c r="BR528" s="18"/>
      <c r="BS528" s="18"/>
      <c r="BT528" s="18"/>
      <c r="BU528" s="18"/>
      <c r="BV528" s="18"/>
      <c r="BW528" s="18"/>
      <c r="BX528" s="18"/>
      <c r="BY528" s="18"/>
      <c r="BZ528" s="18"/>
      <c r="CA528" s="18"/>
      <c r="CB528" s="18"/>
      <c r="CC528" s="18"/>
      <c r="CD528" s="18"/>
      <c r="CE528" s="18"/>
      <c r="CF528" s="18"/>
      <c r="CG528" s="18"/>
      <c r="CH528" s="18"/>
      <c r="CI528" s="18"/>
      <c r="CJ528" s="18"/>
      <c r="CK528" s="18"/>
      <c r="CL528" s="18"/>
      <c r="CM528" s="18"/>
      <c r="CN528" s="18"/>
      <c r="CO528" s="18"/>
      <c r="CP528" s="18"/>
      <c r="CQ528" s="18"/>
      <c r="CR528" s="18"/>
      <c r="CS528" s="18"/>
      <c r="CT528" s="18"/>
      <c r="CU528" s="18"/>
    </row>
    <row r="529" spans="1:99">
      <c r="A529" s="19"/>
      <c r="B529" s="19"/>
      <c r="C529" s="19"/>
      <c r="D529" s="19"/>
      <c r="E529" s="19"/>
      <c r="F529" s="19"/>
      <c r="G529" s="19"/>
      <c r="H529" s="19"/>
      <c r="I529" s="19"/>
      <c r="J529" s="19"/>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c r="AN529" s="18"/>
      <c r="AO529" s="18"/>
      <c r="AP529" s="18"/>
      <c r="AQ529" s="18"/>
      <c r="AR529" s="18"/>
      <c r="AS529" s="18"/>
      <c r="AT529" s="18"/>
      <c r="AU529" s="18"/>
      <c r="AV529" s="18"/>
      <c r="AW529" s="18"/>
      <c r="AX529" s="18"/>
      <c r="AY529" s="18"/>
      <c r="AZ529" s="18"/>
      <c r="BA529" s="18"/>
      <c r="BB529" s="18"/>
      <c r="BC529" s="18"/>
      <c r="BD529" s="18"/>
      <c r="BE529" s="18"/>
      <c r="BF529" s="18"/>
      <c r="BG529" s="18"/>
      <c r="BH529" s="18"/>
      <c r="BI529" s="18"/>
      <c r="BJ529" s="18"/>
      <c r="BK529" s="18"/>
      <c r="BL529" s="18"/>
      <c r="BM529" s="18"/>
      <c r="BN529" s="18"/>
      <c r="BO529" s="18"/>
      <c r="BP529" s="18"/>
      <c r="BQ529" s="18"/>
      <c r="BR529" s="18"/>
      <c r="BS529" s="18"/>
      <c r="BT529" s="18"/>
      <c r="BU529" s="18"/>
      <c r="BV529" s="18"/>
      <c r="BW529" s="18"/>
      <c r="BX529" s="18"/>
      <c r="BY529" s="18"/>
      <c r="BZ529" s="18"/>
      <c r="CA529" s="18"/>
      <c r="CB529" s="18"/>
      <c r="CC529" s="18"/>
      <c r="CD529" s="18"/>
      <c r="CE529" s="18"/>
      <c r="CF529" s="18"/>
      <c r="CG529" s="18"/>
      <c r="CH529" s="18"/>
      <c r="CI529" s="18"/>
      <c r="CJ529" s="18"/>
      <c r="CK529" s="18"/>
      <c r="CL529" s="18"/>
      <c r="CM529" s="18"/>
      <c r="CN529" s="18"/>
      <c r="CO529" s="18"/>
      <c r="CP529" s="18"/>
      <c r="CQ529" s="18"/>
      <c r="CR529" s="18"/>
      <c r="CS529" s="18"/>
      <c r="CT529" s="18"/>
      <c r="CU529" s="18"/>
    </row>
    <row r="530" spans="1:99">
      <c r="A530" s="19"/>
      <c r="B530" s="19"/>
      <c r="C530" s="19"/>
      <c r="D530" s="19"/>
      <c r="E530" s="19"/>
      <c r="F530" s="19"/>
      <c r="G530" s="19"/>
      <c r="H530" s="19"/>
      <c r="I530" s="19"/>
      <c r="J530" s="19"/>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c r="BC530" s="18"/>
      <c r="BD530" s="18"/>
      <c r="BE530" s="18"/>
      <c r="BF530" s="18"/>
      <c r="BG530" s="18"/>
      <c r="BH530" s="18"/>
      <c r="BI530" s="18"/>
      <c r="BJ530" s="18"/>
      <c r="BK530" s="18"/>
      <c r="BL530" s="18"/>
      <c r="BM530" s="18"/>
      <c r="BN530" s="18"/>
      <c r="BO530" s="18"/>
      <c r="BP530" s="18"/>
      <c r="BQ530" s="18"/>
      <c r="BR530" s="18"/>
      <c r="BS530" s="18"/>
      <c r="BT530" s="18"/>
      <c r="BU530" s="18"/>
      <c r="BV530" s="18"/>
      <c r="BW530" s="18"/>
      <c r="BX530" s="18"/>
      <c r="BY530" s="18"/>
      <c r="BZ530" s="18"/>
      <c r="CA530" s="18"/>
      <c r="CB530" s="18"/>
      <c r="CC530" s="18"/>
      <c r="CD530" s="18"/>
      <c r="CE530" s="18"/>
      <c r="CF530" s="18"/>
      <c r="CG530" s="18"/>
      <c r="CH530" s="18"/>
      <c r="CI530" s="18"/>
      <c r="CJ530" s="18"/>
      <c r="CK530" s="18"/>
      <c r="CL530" s="18"/>
      <c r="CM530" s="18"/>
      <c r="CN530" s="18"/>
      <c r="CO530" s="18"/>
      <c r="CP530" s="18"/>
      <c r="CQ530" s="18"/>
      <c r="CR530" s="18"/>
      <c r="CS530" s="18"/>
      <c r="CT530" s="18"/>
      <c r="CU530" s="18"/>
    </row>
    <row r="531" spans="1:99">
      <c r="A531" s="19"/>
      <c r="B531" s="19"/>
      <c r="C531" s="19"/>
      <c r="D531" s="19"/>
      <c r="E531" s="19"/>
      <c r="F531" s="19"/>
      <c r="G531" s="19"/>
      <c r="H531" s="19"/>
      <c r="I531" s="19"/>
      <c r="J531" s="19"/>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c r="AN531" s="18"/>
      <c r="AO531" s="18"/>
      <c r="AP531" s="18"/>
      <c r="AQ531" s="18"/>
      <c r="AR531" s="18"/>
      <c r="AS531" s="18"/>
      <c r="AT531" s="18"/>
      <c r="AU531" s="18"/>
      <c r="AV531" s="18"/>
      <c r="AW531" s="18"/>
      <c r="AX531" s="18"/>
      <c r="AY531" s="18"/>
      <c r="AZ531" s="18"/>
      <c r="BA531" s="18"/>
      <c r="BB531" s="18"/>
      <c r="BC531" s="18"/>
      <c r="BD531" s="18"/>
      <c r="BE531" s="18"/>
      <c r="BF531" s="18"/>
      <c r="BG531" s="18"/>
      <c r="BH531" s="18"/>
      <c r="BI531" s="18"/>
      <c r="BJ531" s="18"/>
      <c r="BK531" s="18"/>
      <c r="BL531" s="18"/>
      <c r="BM531" s="18"/>
      <c r="BN531" s="18"/>
      <c r="BO531" s="18"/>
      <c r="BP531" s="18"/>
      <c r="BQ531" s="18"/>
      <c r="BR531" s="18"/>
      <c r="BS531" s="18"/>
      <c r="BT531" s="18"/>
      <c r="BU531" s="18"/>
      <c r="BV531" s="18"/>
      <c r="BW531" s="18"/>
      <c r="BX531" s="18"/>
      <c r="BY531" s="18"/>
      <c r="BZ531" s="18"/>
      <c r="CA531" s="18"/>
      <c r="CB531" s="18"/>
      <c r="CC531" s="18"/>
      <c r="CD531" s="18"/>
      <c r="CE531" s="18"/>
      <c r="CF531" s="18"/>
      <c r="CG531" s="18"/>
      <c r="CH531" s="18"/>
      <c r="CI531" s="18"/>
      <c r="CJ531" s="18"/>
      <c r="CK531" s="18"/>
      <c r="CL531" s="18"/>
      <c r="CM531" s="18"/>
      <c r="CN531" s="18"/>
      <c r="CO531" s="18"/>
      <c r="CP531" s="18"/>
      <c r="CQ531" s="18"/>
      <c r="CR531" s="18"/>
      <c r="CS531" s="18"/>
      <c r="CT531" s="18"/>
      <c r="CU531" s="18"/>
    </row>
    <row r="532" spans="1:99">
      <c r="A532" s="19"/>
      <c r="B532" s="19"/>
      <c r="C532" s="19"/>
      <c r="D532" s="19"/>
      <c r="E532" s="19"/>
      <c r="F532" s="19"/>
      <c r="G532" s="19"/>
      <c r="H532" s="19"/>
      <c r="I532" s="19"/>
      <c r="J532" s="19"/>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c r="BC532" s="18"/>
      <c r="BD532" s="18"/>
      <c r="BE532" s="18"/>
      <c r="BF532" s="18"/>
      <c r="BG532" s="18"/>
      <c r="BH532" s="18"/>
      <c r="BI532" s="18"/>
      <c r="BJ532" s="18"/>
      <c r="BK532" s="18"/>
      <c r="BL532" s="18"/>
      <c r="BM532" s="18"/>
      <c r="BN532" s="18"/>
      <c r="BO532" s="18"/>
      <c r="BP532" s="18"/>
      <c r="BQ532" s="18"/>
      <c r="BR532" s="18"/>
      <c r="BS532" s="18"/>
      <c r="BT532" s="18"/>
      <c r="BU532" s="18"/>
      <c r="BV532" s="18"/>
      <c r="BW532" s="18"/>
      <c r="BX532" s="18"/>
      <c r="BY532" s="18"/>
      <c r="BZ532" s="18"/>
      <c r="CA532" s="18"/>
      <c r="CB532" s="18"/>
      <c r="CC532" s="18"/>
      <c r="CD532" s="18"/>
      <c r="CE532" s="18"/>
      <c r="CF532" s="18"/>
      <c r="CG532" s="18"/>
      <c r="CH532" s="18"/>
      <c r="CI532" s="18"/>
      <c r="CJ532" s="18"/>
      <c r="CK532" s="18"/>
      <c r="CL532" s="18"/>
      <c r="CM532" s="18"/>
      <c r="CN532" s="18"/>
      <c r="CO532" s="18"/>
      <c r="CP532" s="18"/>
      <c r="CQ532" s="18"/>
      <c r="CR532" s="18"/>
      <c r="CS532" s="18"/>
      <c r="CT532" s="18"/>
      <c r="CU532" s="18"/>
    </row>
    <row r="533" spans="1:99">
      <c r="A533" s="19"/>
      <c r="B533" s="19"/>
      <c r="C533" s="19"/>
      <c r="D533" s="19"/>
      <c r="E533" s="19"/>
      <c r="F533" s="19"/>
      <c r="G533" s="19"/>
      <c r="H533" s="19"/>
      <c r="I533" s="19"/>
      <c r="J533" s="19"/>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c r="AN533" s="18"/>
      <c r="AO533" s="18"/>
      <c r="AP533" s="18"/>
      <c r="AQ533" s="18"/>
      <c r="AR533" s="18"/>
      <c r="AS533" s="18"/>
      <c r="AT533" s="18"/>
      <c r="AU533" s="18"/>
      <c r="AV533" s="18"/>
      <c r="AW533" s="18"/>
      <c r="AX533" s="18"/>
      <c r="AY533" s="18"/>
      <c r="AZ533" s="18"/>
      <c r="BA533" s="18"/>
      <c r="BB533" s="18"/>
      <c r="BC533" s="18"/>
      <c r="BD533" s="18"/>
      <c r="BE533" s="18"/>
      <c r="BF533" s="18"/>
      <c r="BG533" s="18"/>
      <c r="BH533" s="18"/>
      <c r="BI533" s="18"/>
      <c r="BJ533" s="18"/>
      <c r="BK533" s="18"/>
      <c r="BL533" s="18"/>
      <c r="BM533" s="18"/>
      <c r="BN533" s="18"/>
      <c r="BO533" s="18"/>
      <c r="BP533" s="18"/>
      <c r="BQ533" s="18"/>
      <c r="BR533" s="18"/>
      <c r="BS533" s="18"/>
      <c r="BT533" s="18"/>
      <c r="BU533" s="18"/>
      <c r="BV533" s="18"/>
      <c r="BW533" s="18"/>
      <c r="BX533" s="18"/>
      <c r="BY533" s="18"/>
      <c r="BZ533" s="18"/>
      <c r="CA533" s="18"/>
      <c r="CB533" s="18"/>
      <c r="CC533" s="18"/>
      <c r="CD533" s="18"/>
      <c r="CE533" s="18"/>
      <c r="CF533" s="18"/>
      <c r="CG533" s="18"/>
      <c r="CH533" s="18"/>
      <c r="CI533" s="18"/>
      <c r="CJ533" s="18"/>
      <c r="CK533" s="18"/>
      <c r="CL533" s="18"/>
      <c r="CM533" s="18"/>
      <c r="CN533" s="18"/>
      <c r="CO533" s="18"/>
      <c r="CP533" s="18"/>
      <c r="CQ533" s="18"/>
      <c r="CR533" s="18"/>
      <c r="CS533" s="18"/>
      <c r="CT533" s="18"/>
      <c r="CU533" s="18"/>
    </row>
    <row r="534" spans="1:99">
      <c r="A534" s="19"/>
      <c r="B534" s="19"/>
      <c r="C534" s="19"/>
      <c r="D534" s="19"/>
      <c r="E534" s="19"/>
      <c r="F534" s="19"/>
      <c r="G534" s="19"/>
      <c r="H534" s="19"/>
      <c r="I534" s="19"/>
      <c r="J534" s="19"/>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c r="BC534" s="18"/>
      <c r="BD534" s="18"/>
      <c r="BE534" s="18"/>
      <c r="BF534" s="18"/>
      <c r="BG534" s="18"/>
      <c r="BH534" s="18"/>
      <c r="BI534" s="18"/>
      <c r="BJ534" s="18"/>
      <c r="BK534" s="18"/>
      <c r="BL534" s="18"/>
      <c r="BM534" s="18"/>
      <c r="BN534" s="18"/>
      <c r="BO534" s="18"/>
      <c r="BP534" s="18"/>
      <c r="BQ534" s="18"/>
      <c r="BR534" s="18"/>
      <c r="BS534" s="18"/>
      <c r="BT534" s="18"/>
      <c r="BU534" s="18"/>
      <c r="BV534" s="18"/>
      <c r="BW534" s="18"/>
      <c r="BX534" s="18"/>
      <c r="BY534" s="18"/>
      <c r="BZ534" s="18"/>
      <c r="CA534" s="18"/>
      <c r="CB534" s="18"/>
      <c r="CC534" s="18"/>
      <c r="CD534" s="18"/>
      <c r="CE534" s="18"/>
      <c r="CF534" s="18"/>
      <c r="CG534" s="18"/>
      <c r="CH534" s="18"/>
      <c r="CI534" s="18"/>
      <c r="CJ534" s="18"/>
      <c r="CK534" s="18"/>
      <c r="CL534" s="18"/>
      <c r="CM534" s="18"/>
      <c r="CN534" s="18"/>
      <c r="CO534" s="18"/>
      <c r="CP534" s="18"/>
      <c r="CQ534" s="18"/>
      <c r="CR534" s="18"/>
      <c r="CS534" s="18"/>
      <c r="CT534" s="18"/>
      <c r="CU534" s="18"/>
    </row>
    <row r="535" spans="1:99">
      <c r="A535" s="19"/>
      <c r="B535" s="19"/>
      <c r="C535" s="19"/>
      <c r="D535" s="19"/>
      <c r="E535" s="19"/>
      <c r="F535" s="19"/>
      <c r="G535" s="19"/>
      <c r="H535" s="19"/>
      <c r="I535" s="19"/>
      <c r="J535" s="19"/>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c r="AN535" s="18"/>
      <c r="AO535" s="18"/>
      <c r="AP535" s="18"/>
      <c r="AQ535" s="18"/>
      <c r="AR535" s="18"/>
      <c r="AS535" s="18"/>
      <c r="AT535" s="18"/>
      <c r="AU535" s="18"/>
      <c r="AV535" s="18"/>
      <c r="AW535" s="18"/>
      <c r="AX535" s="18"/>
      <c r="AY535" s="18"/>
      <c r="AZ535" s="18"/>
      <c r="BA535" s="18"/>
      <c r="BB535" s="18"/>
      <c r="BC535" s="18"/>
      <c r="BD535" s="18"/>
      <c r="BE535" s="18"/>
      <c r="BF535" s="18"/>
      <c r="BG535" s="18"/>
      <c r="BH535" s="18"/>
      <c r="BI535" s="18"/>
      <c r="BJ535" s="18"/>
      <c r="BK535" s="18"/>
      <c r="BL535" s="18"/>
      <c r="BM535" s="18"/>
      <c r="BN535" s="18"/>
      <c r="BO535" s="18"/>
      <c r="BP535" s="18"/>
      <c r="BQ535" s="18"/>
      <c r="BR535" s="18"/>
      <c r="BS535" s="18"/>
      <c r="BT535" s="18"/>
      <c r="BU535" s="18"/>
      <c r="BV535" s="18"/>
      <c r="BW535" s="18"/>
      <c r="BX535" s="18"/>
      <c r="BY535" s="18"/>
      <c r="BZ535" s="18"/>
      <c r="CA535" s="18"/>
      <c r="CB535" s="18"/>
      <c r="CC535" s="18"/>
      <c r="CD535" s="18"/>
      <c r="CE535" s="18"/>
      <c r="CF535" s="18"/>
      <c r="CG535" s="18"/>
      <c r="CH535" s="18"/>
      <c r="CI535" s="18"/>
      <c r="CJ535" s="18"/>
      <c r="CK535" s="18"/>
      <c r="CL535" s="18"/>
      <c r="CM535" s="18"/>
      <c r="CN535" s="18"/>
      <c r="CO535" s="18"/>
      <c r="CP535" s="18"/>
      <c r="CQ535" s="18"/>
      <c r="CR535" s="18"/>
      <c r="CS535" s="18"/>
      <c r="CT535" s="18"/>
      <c r="CU535" s="18"/>
    </row>
    <row r="536" spans="1:99">
      <c r="A536" s="19"/>
      <c r="B536" s="19"/>
      <c r="C536" s="19"/>
      <c r="D536" s="19"/>
      <c r="E536" s="19"/>
      <c r="F536" s="19"/>
      <c r="G536" s="19"/>
      <c r="H536" s="19"/>
      <c r="I536" s="19"/>
      <c r="J536" s="19"/>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c r="BC536" s="18"/>
      <c r="BD536" s="18"/>
      <c r="BE536" s="18"/>
      <c r="BF536" s="18"/>
      <c r="BG536" s="18"/>
      <c r="BH536" s="18"/>
      <c r="BI536" s="18"/>
      <c r="BJ536" s="18"/>
      <c r="BK536" s="18"/>
      <c r="BL536" s="18"/>
      <c r="BM536" s="18"/>
      <c r="BN536" s="18"/>
      <c r="BO536" s="18"/>
      <c r="BP536" s="18"/>
      <c r="BQ536" s="18"/>
      <c r="BR536" s="18"/>
      <c r="BS536" s="18"/>
      <c r="BT536" s="18"/>
      <c r="BU536" s="18"/>
      <c r="BV536" s="18"/>
      <c r="BW536" s="18"/>
      <c r="BX536" s="18"/>
      <c r="BY536" s="18"/>
      <c r="BZ536" s="18"/>
      <c r="CA536" s="18"/>
      <c r="CB536" s="18"/>
      <c r="CC536" s="18"/>
      <c r="CD536" s="18"/>
      <c r="CE536" s="18"/>
      <c r="CF536" s="18"/>
      <c r="CG536" s="18"/>
      <c r="CH536" s="18"/>
      <c r="CI536" s="18"/>
      <c r="CJ536" s="18"/>
      <c r="CK536" s="18"/>
      <c r="CL536" s="18"/>
      <c r="CM536" s="18"/>
      <c r="CN536" s="18"/>
      <c r="CO536" s="18"/>
      <c r="CP536" s="18"/>
      <c r="CQ536" s="18"/>
      <c r="CR536" s="18"/>
      <c r="CS536" s="18"/>
      <c r="CT536" s="18"/>
      <c r="CU536" s="18"/>
    </row>
    <row r="537" spans="1:99">
      <c r="A537" s="19"/>
      <c r="B537" s="19"/>
      <c r="C537" s="19"/>
      <c r="D537" s="19"/>
      <c r="E537" s="19"/>
      <c r="F537" s="19"/>
      <c r="G537" s="19"/>
      <c r="H537" s="19"/>
      <c r="I537" s="19"/>
      <c r="J537" s="19"/>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c r="AN537" s="18"/>
      <c r="AO537" s="18"/>
      <c r="AP537" s="18"/>
      <c r="AQ537" s="18"/>
      <c r="AR537" s="18"/>
      <c r="AS537" s="18"/>
      <c r="AT537" s="18"/>
      <c r="AU537" s="18"/>
      <c r="AV537" s="18"/>
      <c r="AW537" s="18"/>
      <c r="AX537" s="18"/>
      <c r="AY537" s="18"/>
      <c r="AZ537" s="18"/>
      <c r="BA537" s="18"/>
      <c r="BB537" s="18"/>
      <c r="BC537" s="18"/>
      <c r="BD537" s="18"/>
      <c r="BE537" s="18"/>
      <c r="BF537" s="18"/>
      <c r="BG537" s="18"/>
      <c r="BH537" s="18"/>
      <c r="BI537" s="18"/>
      <c r="BJ537" s="18"/>
      <c r="BK537" s="18"/>
      <c r="BL537" s="18"/>
      <c r="BM537" s="18"/>
      <c r="BN537" s="18"/>
      <c r="BO537" s="18"/>
      <c r="BP537" s="18"/>
      <c r="BQ537" s="18"/>
      <c r="BR537" s="18"/>
      <c r="BS537" s="18"/>
      <c r="BT537" s="18"/>
      <c r="BU537" s="18"/>
      <c r="BV537" s="18"/>
      <c r="BW537" s="18"/>
      <c r="BX537" s="18"/>
      <c r="BY537" s="18"/>
      <c r="BZ537" s="18"/>
      <c r="CA537" s="18"/>
      <c r="CB537" s="18"/>
      <c r="CC537" s="18"/>
      <c r="CD537" s="18"/>
      <c r="CE537" s="18"/>
      <c r="CF537" s="18"/>
      <c r="CG537" s="18"/>
      <c r="CH537" s="18"/>
      <c r="CI537" s="18"/>
      <c r="CJ537" s="18"/>
      <c r="CK537" s="18"/>
      <c r="CL537" s="18"/>
      <c r="CM537" s="18"/>
      <c r="CN537" s="18"/>
      <c r="CO537" s="18"/>
      <c r="CP537" s="18"/>
      <c r="CQ537" s="18"/>
      <c r="CR537" s="18"/>
      <c r="CS537" s="18"/>
      <c r="CT537" s="18"/>
      <c r="CU537" s="18"/>
    </row>
    <row r="538" spans="1:99">
      <c r="A538" s="19"/>
      <c r="B538" s="19"/>
      <c r="C538" s="19"/>
      <c r="D538" s="19"/>
      <c r="E538" s="19"/>
      <c r="F538" s="19"/>
      <c r="G538" s="19"/>
      <c r="H538" s="19"/>
      <c r="I538" s="19"/>
      <c r="J538" s="19"/>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c r="BC538" s="18"/>
      <c r="BD538" s="18"/>
      <c r="BE538" s="18"/>
      <c r="BF538" s="18"/>
      <c r="BG538" s="18"/>
      <c r="BH538" s="18"/>
      <c r="BI538" s="18"/>
      <c r="BJ538" s="18"/>
      <c r="BK538" s="18"/>
      <c r="BL538" s="18"/>
      <c r="BM538" s="18"/>
      <c r="BN538" s="18"/>
      <c r="BO538" s="18"/>
      <c r="BP538" s="18"/>
      <c r="BQ538" s="18"/>
      <c r="BR538" s="18"/>
      <c r="BS538" s="18"/>
      <c r="BT538" s="18"/>
      <c r="BU538" s="18"/>
      <c r="BV538" s="18"/>
      <c r="BW538" s="18"/>
      <c r="BX538" s="18"/>
      <c r="BY538" s="18"/>
      <c r="BZ538" s="18"/>
      <c r="CA538" s="18"/>
      <c r="CB538" s="18"/>
      <c r="CC538" s="18"/>
      <c r="CD538" s="18"/>
      <c r="CE538" s="18"/>
      <c r="CF538" s="18"/>
      <c r="CG538" s="18"/>
      <c r="CH538" s="18"/>
      <c r="CI538" s="18"/>
      <c r="CJ538" s="18"/>
      <c r="CK538" s="18"/>
      <c r="CL538" s="18"/>
      <c r="CM538" s="18"/>
      <c r="CN538" s="18"/>
      <c r="CO538" s="18"/>
      <c r="CP538" s="18"/>
      <c r="CQ538" s="18"/>
      <c r="CR538" s="18"/>
      <c r="CS538" s="18"/>
      <c r="CT538" s="18"/>
      <c r="CU538" s="18"/>
    </row>
    <row r="539" spans="1:99">
      <c r="A539" s="19"/>
      <c r="B539" s="19"/>
      <c r="C539" s="19"/>
      <c r="D539" s="19"/>
      <c r="E539" s="19"/>
      <c r="F539" s="19"/>
      <c r="G539" s="19"/>
      <c r="H539" s="19"/>
      <c r="I539" s="19"/>
      <c r="J539" s="19"/>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c r="AN539" s="18"/>
      <c r="AO539" s="18"/>
      <c r="AP539" s="18"/>
      <c r="AQ539" s="18"/>
      <c r="AR539" s="18"/>
      <c r="AS539" s="18"/>
      <c r="AT539" s="18"/>
      <c r="AU539" s="18"/>
      <c r="AV539" s="18"/>
      <c r="AW539" s="18"/>
      <c r="AX539" s="18"/>
      <c r="AY539" s="18"/>
      <c r="AZ539" s="18"/>
      <c r="BA539" s="18"/>
      <c r="BB539" s="18"/>
      <c r="BC539" s="18"/>
      <c r="BD539" s="18"/>
      <c r="BE539" s="18"/>
      <c r="BF539" s="18"/>
      <c r="BG539" s="18"/>
      <c r="BH539" s="18"/>
      <c r="BI539" s="18"/>
      <c r="BJ539" s="18"/>
      <c r="BK539" s="18"/>
      <c r="BL539" s="18"/>
      <c r="BM539" s="18"/>
      <c r="BN539" s="18"/>
      <c r="BO539" s="18"/>
      <c r="BP539" s="18"/>
      <c r="BQ539" s="18"/>
      <c r="BR539" s="18"/>
      <c r="BS539" s="18"/>
      <c r="BT539" s="18"/>
      <c r="BU539" s="18"/>
      <c r="BV539" s="18"/>
      <c r="BW539" s="18"/>
      <c r="BX539" s="18"/>
      <c r="BY539" s="18"/>
      <c r="BZ539" s="18"/>
      <c r="CA539" s="18"/>
      <c r="CB539" s="18"/>
      <c r="CC539" s="18"/>
      <c r="CD539" s="18"/>
      <c r="CE539" s="18"/>
      <c r="CF539" s="18"/>
      <c r="CG539" s="18"/>
      <c r="CH539" s="18"/>
      <c r="CI539" s="18"/>
      <c r="CJ539" s="18"/>
      <c r="CK539" s="18"/>
      <c r="CL539" s="18"/>
      <c r="CM539" s="18"/>
      <c r="CN539" s="18"/>
      <c r="CO539" s="18"/>
      <c r="CP539" s="18"/>
      <c r="CQ539" s="18"/>
      <c r="CR539" s="18"/>
      <c r="CS539" s="18"/>
      <c r="CT539" s="18"/>
      <c r="CU539" s="18"/>
    </row>
    <row r="540" spans="1:99">
      <c r="A540" s="19"/>
      <c r="B540" s="19"/>
      <c r="C540" s="19"/>
      <c r="D540" s="19"/>
      <c r="E540" s="19"/>
      <c r="F540" s="19"/>
      <c r="G540" s="19"/>
      <c r="H540" s="19"/>
      <c r="I540" s="19"/>
      <c r="J540" s="19"/>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c r="BC540" s="18"/>
      <c r="BD540" s="18"/>
      <c r="BE540" s="18"/>
      <c r="BF540" s="18"/>
      <c r="BG540" s="18"/>
      <c r="BH540" s="18"/>
      <c r="BI540" s="18"/>
      <c r="BJ540" s="18"/>
      <c r="BK540" s="18"/>
      <c r="BL540" s="18"/>
      <c r="BM540" s="18"/>
      <c r="BN540" s="18"/>
      <c r="BO540" s="18"/>
      <c r="BP540" s="18"/>
      <c r="BQ540" s="18"/>
      <c r="BR540" s="18"/>
      <c r="BS540" s="18"/>
      <c r="BT540" s="18"/>
      <c r="BU540" s="18"/>
      <c r="BV540" s="18"/>
      <c r="BW540" s="18"/>
      <c r="BX540" s="18"/>
      <c r="BY540" s="18"/>
      <c r="BZ540" s="18"/>
      <c r="CA540" s="18"/>
      <c r="CB540" s="18"/>
      <c r="CC540" s="18"/>
      <c r="CD540" s="18"/>
      <c r="CE540" s="18"/>
      <c r="CF540" s="18"/>
      <c r="CG540" s="18"/>
      <c r="CH540" s="18"/>
      <c r="CI540" s="18"/>
      <c r="CJ540" s="18"/>
      <c r="CK540" s="18"/>
      <c r="CL540" s="18"/>
      <c r="CM540" s="18"/>
      <c r="CN540" s="18"/>
      <c r="CO540" s="18"/>
      <c r="CP540" s="18"/>
      <c r="CQ540" s="18"/>
      <c r="CR540" s="18"/>
      <c r="CS540" s="18"/>
      <c r="CT540" s="18"/>
      <c r="CU540" s="18"/>
    </row>
    <row r="541" spans="1:99">
      <c r="A541" s="19"/>
      <c r="B541" s="19"/>
      <c r="C541" s="19"/>
      <c r="D541" s="19"/>
      <c r="E541" s="19"/>
      <c r="F541" s="19"/>
      <c r="G541" s="19"/>
      <c r="H541" s="19"/>
      <c r="I541" s="19"/>
      <c r="J541" s="19"/>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c r="AN541" s="18"/>
      <c r="AO541" s="18"/>
      <c r="AP541" s="18"/>
      <c r="AQ541" s="18"/>
      <c r="AR541" s="18"/>
      <c r="AS541" s="18"/>
      <c r="AT541" s="18"/>
      <c r="AU541" s="18"/>
      <c r="AV541" s="18"/>
      <c r="AW541" s="18"/>
      <c r="AX541" s="18"/>
      <c r="AY541" s="18"/>
      <c r="AZ541" s="18"/>
      <c r="BA541" s="18"/>
      <c r="BB541" s="18"/>
      <c r="BC541" s="18"/>
      <c r="BD541" s="18"/>
      <c r="BE541" s="18"/>
      <c r="BF541" s="18"/>
      <c r="BG541" s="18"/>
      <c r="BH541" s="18"/>
      <c r="BI541" s="18"/>
      <c r="BJ541" s="18"/>
      <c r="BK541" s="18"/>
      <c r="BL541" s="18"/>
      <c r="BM541" s="18"/>
      <c r="BN541" s="18"/>
      <c r="BO541" s="18"/>
      <c r="BP541" s="18"/>
      <c r="BQ541" s="18"/>
      <c r="BR541" s="18"/>
      <c r="BS541" s="18"/>
      <c r="BT541" s="18"/>
      <c r="BU541" s="18"/>
      <c r="BV541" s="18"/>
      <c r="BW541" s="18"/>
      <c r="BX541" s="18"/>
      <c r="BY541" s="18"/>
      <c r="BZ541" s="18"/>
      <c r="CA541" s="18"/>
      <c r="CB541" s="18"/>
      <c r="CC541" s="18"/>
      <c r="CD541" s="18"/>
      <c r="CE541" s="18"/>
      <c r="CF541" s="18"/>
      <c r="CG541" s="18"/>
      <c r="CH541" s="18"/>
      <c r="CI541" s="18"/>
      <c r="CJ541" s="18"/>
      <c r="CK541" s="18"/>
      <c r="CL541" s="18"/>
      <c r="CM541" s="18"/>
      <c r="CN541" s="18"/>
      <c r="CO541" s="18"/>
      <c r="CP541" s="18"/>
      <c r="CQ541" s="18"/>
      <c r="CR541" s="18"/>
      <c r="CS541" s="18"/>
      <c r="CT541" s="18"/>
      <c r="CU541" s="18"/>
    </row>
    <row r="542" spans="1:99">
      <c r="A542" s="19"/>
      <c r="B542" s="19"/>
      <c r="C542" s="19"/>
      <c r="D542" s="19"/>
      <c r="E542" s="19"/>
      <c r="F542" s="19"/>
      <c r="G542" s="19"/>
      <c r="H542" s="19"/>
      <c r="I542" s="19"/>
      <c r="J542" s="19"/>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c r="BC542" s="18"/>
      <c r="BD542" s="18"/>
      <c r="BE542" s="18"/>
      <c r="BF542" s="18"/>
      <c r="BG542" s="18"/>
      <c r="BH542" s="18"/>
      <c r="BI542" s="18"/>
      <c r="BJ542" s="18"/>
      <c r="BK542" s="18"/>
      <c r="BL542" s="18"/>
      <c r="BM542" s="18"/>
      <c r="BN542" s="18"/>
      <c r="BO542" s="18"/>
      <c r="BP542" s="18"/>
      <c r="BQ542" s="18"/>
      <c r="BR542" s="18"/>
      <c r="BS542" s="18"/>
      <c r="BT542" s="18"/>
      <c r="BU542" s="18"/>
      <c r="BV542" s="18"/>
      <c r="BW542" s="18"/>
      <c r="BX542" s="18"/>
      <c r="BY542" s="18"/>
      <c r="BZ542" s="18"/>
      <c r="CA542" s="18"/>
      <c r="CB542" s="18"/>
      <c r="CC542" s="18"/>
      <c r="CD542" s="18"/>
      <c r="CE542" s="18"/>
      <c r="CF542" s="18"/>
      <c r="CG542" s="18"/>
      <c r="CH542" s="18"/>
      <c r="CI542" s="18"/>
      <c r="CJ542" s="18"/>
      <c r="CK542" s="18"/>
      <c r="CL542" s="18"/>
      <c r="CM542" s="18"/>
      <c r="CN542" s="18"/>
      <c r="CO542" s="18"/>
      <c r="CP542" s="18"/>
      <c r="CQ542" s="18"/>
      <c r="CR542" s="18"/>
      <c r="CS542" s="18"/>
      <c r="CT542" s="18"/>
      <c r="CU542" s="18"/>
    </row>
    <row r="543" spans="1:99">
      <c r="A543" s="19"/>
      <c r="B543" s="19"/>
      <c r="C543" s="19"/>
      <c r="D543" s="19"/>
      <c r="E543" s="19"/>
      <c r="F543" s="19"/>
      <c r="G543" s="19"/>
      <c r="H543" s="19"/>
      <c r="I543" s="19"/>
      <c r="J543" s="19"/>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c r="AN543" s="18"/>
      <c r="AO543" s="18"/>
      <c r="AP543" s="18"/>
      <c r="AQ543" s="18"/>
      <c r="AR543" s="18"/>
      <c r="AS543" s="18"/>
      <c r="AT543" s="18"/>
      <c r="AU543" s="18"/>
      <c r="AV543" s="18"/>
      <c r="AW543" s="18"/>
      <c r="AX543" s="18"/>
      <c r="AY543" s="18"/>
      <c r="AZ543" s="18"/>
      <c r="BA543" s="18"/>
      <c r="BB543" s="18"/>
      <c r="BC543" s="18"/>
      <c r="BD543" s="18"/>
      <c r="BE543" s="18"/>
      <c r="BF543" s="18"/>
      <c r="BG543" s="18"/>
      <c r="BH543" s="18"/>
      <c r="BI543" s="18"/>
      <c r="BJ543" s="18"/>
      <c r="BK543" s="18"/>
      <c r="BL543" s="18"/>
      <c r="BM543" s="18"/>
      <c r="BN543" s="18"/>
      <c r="BO543" s="18"/>
      <c r="BP543" s="18"/>
      <c r="BQ543" s="18"/>
      <c r="BR543" s="18"/>
      <c r="BS543" s="18"/>
      <c r="BT543" s="18"/>
      <c r="BU543" s="18"/>
      <c r="BV543" s="18"/>
      <c r="BW543" s="18"/>
      <c r="BX543" s="18"/>
      <c r="BY543" s="18"/>
      <c r="BZ543" s="18"/>
      <c r="CA543" s="18"/>
      <c r="CB543" s="18"/>
      <c r="CC543" s="18"/>
      <c r="CD543" s="18"/>
      <c r="CE543" s="18"/>
      <c r="CF543" s="18"/>
      <c r="CG543" s="18"/>
      <c r="CH543" s="18"/>
      <c r="CI543" s="18"/>
      <c r="CJ543" s="18"/>
      <c r="CK543" s="18"/>
      <c r="CL543" s="18"/>
      <c r="CM543" s="18"/>
      <c r="CN543" s="18"/>
      <c r="CO543" s="18"/>
      <c r="CP543" s="18"/>
      <c r="CQ543" s="18"/>
      <c r="CR543" s="18"/>
      <c r="CS543" s="18"/>
      <c r="CT543" s="18"/>
      <c r="CU543" s="18"/>
    </row>
    <row r="544" spans="1:99">
      <c r="A544" s="19"/>
      <c r="B544" s="19"/>
      <c r="C544" s="19"/>
      <c r="D544" s="19"/>
      <c r="E544" s="19"/>
      <c r="F544" s="19"/>
      <c r="G544" s="19"/>
      <c r="H544" s="19"/>
      <c r="I544" s="19"/>
      <c r="J544" s="19"/>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c r="BC544" s="18"/>
      <c r="BD544" s="18"/>
      <c r="BE544" s="18"/>
      <c r="BF544" s="18"/>
      <c r="BG544" s="18"/>
      <c r="BH544" s="18"/>
      <c r="BI544" s="18"/>
      <c r="BJ544" s="18"/>
      <c r="BK544" s="18"/>
      <c r="BL544" s="18"/>
      <c r="BM544" s="18"/>
      <c r="BN544" s="18"/>
      <c r="BO544" s="18"/>
      <c r="BP544" s="18"/>
      <c r="BQ544" s="18"/>
      <c r="BR544" s="18"/>
      <c r="BS544" s="18"/>
      <c r="BT544" s="18"/>
      <c r="BU544" s="18"/>
      <c r="BV544" s="18"/>
      <c r="BW544" s="18"/>
      <c r="BX544" s="18"/>
      <c r="BY544" s="18"/>
      <c r="BZ544" s="18"/>
      <c r="CA544" s="18"/>
      <c r="CB544" s="18"/>
      <c r="CC544" s="18"/>
      <c r="CD544" s="18"/>
      <c r="CE544" s="18"/>
      <c r="CF544" s="18"/>
      <c r="CG544" s="18"/>
      <c r="CH544" s="18"/>
      <c r="CI544" s="18"/>
      <c r="CJ544" s="18"/>
      <c r="CK544" s="18"/>
      <c r="CL544" s="18"/>
      <c r="CM544" s="18"/>
      <c r="CN544" s="18"/>
      <c r="CO544" s="18"/>
      <c r="CP544" s="18"/>
      <c r="CQ544" s="18"/>
      <c r="CR544" s="18"/>
      <c r="CS544" s="18"/>
      <c r="CT544" s="18"/>
      <c r="CU544" s="18"/>
    </row>
    <row r="545" spans="1:99">
      <c r="A545" s="19"/>
      <c r="B545" s="19"/>
      <c r="C545" s="19"/>
      <c r="D545" s="19"/>
      <c r="E545" s="19"/>
      <c r="F545" s="19"/>
      <c r="G545" s="19"/>
      <c r="H545" s="19"/>
      <c r="I545" s="19"/>
      <c r="J545" s="19"/>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c r="AN545" s="18"/>
      <c r="AO545" s="18"/>
      <c r="AP545" s="18"/>
      <c r="AQ545" s="18"/>
      <c r="AR545" s="18"/>
      <c r="AS545" s="18"/>
      <c r="AT545" s="18"/>
      <c r="AU545" s="18"/>
      <c r="AV545" s="18"/>
      <c r="AW545" s="18"/>
      <c r="AX545" s="18"/>
      <c r="AY545" s="18"/>
      <c r="AZ545" s="18"/>
      <c r="BA545" s="18"/>
      <c r="BB545" s="18"/>
      <c r="BC545" s="18"/>
      <c r="BD545" s="18"/>
      <c r="BE545" s="18"/>
      <c r="BF545" s="18"/>
      <c r="BG545" s="18"/>
      <c r="BH545" s="18"/>
      <c r="BI545" s="18"/>
      <c r="BJ545" s="18"/>
      <c r="BK545" s="18"/>
      <c r="BL545" s="18"/>
      <c r="BM545" s="18"/>
      <c r="BN545" s="18"/>
      <c r="BO545" s="18"/>
      <c r="BP545" s="18"/>
      <c r="BQ545" s="18"/>
      <c r="BR545" s="18"/>
      <c r="BS545" s="18"/>
      <c r="BT545" s="18"/>
      <c r="BU545" s="18"/>
      <c r="BV545" s="18"/>
      <c r="BW545" s="18"/>
      <c r="BX545" s="18"/>
      <c r="BY545" s="18"/>
      <c r="BZ545" s="18"/>
      <c r="CA545" s="18"/>
      <c r="CB545" s="18"/>
      <c r="CC545" s="18"/>
      <c r="CD545" s="18"/>
      <c r="CE545" s="18"/>
      <c r="CF545" s="18"/>
      <c r="CG545" s="18"/>
      <c r="CH545" s="18"/>
      <c r="CI545" s="18"/>
      <c r="CJ545" s="18"/>
      <c r="CK545" s="18"/>
      <c r="CL545" s="18"/>
      <c r="CM545" s="18"/>
      <c r="CN545" s="18"/>
      <c r="CO545" s="18"/>
      <c r="CP545" s="18"/>
      <c r="CQ545" s="18"/>
      <c r="CR545" s="18"/>
      <c r="CS545" s="18"/>
      <c r="CT545" s="18"/>
      <c r="CU545" s="18"/>
    </row>
    <row r="546" spans="1:99">
      <c r="A546" s="19"/>
      <c r="B546" s="19"/>
      <c r="C546" s="19"/>
      <c r="D546" s="19"/>
      <c r="E546" s="19"/>
      <c r="F546" s="19"/>
      <c r="G546" s="19"/>
      <c r="H546" s="19"/>
      <c r="I546" s="19"/>
      <c r="J546" s="19"/>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c r="BC546" s="18"/>
      <c r="BD546" s="18"/>
      <c r="BE546" s="18"/>
      <c r="BF546" s="18"/>
      <c r="BG546" s="18"/>
      <c r="BH546" s="18"/>
      <c r="BI546" s="18"/>
      <c r="BJ546" s="18"/>
      <c r="BK546" s="18"/>
      <c r="BL546" s="18"/>
      <c r="BM546" s="18"/>
      <c r="BN546" s="18"/>
      <c r="BO546" s="18"/>
      <c r="BP546" s="18"/>
      <c r="BQ546" s="18"/>
      <c r="BR546" s="18"/>
      <c r="BS546" s="18"/>
      <c r="BT546" s="18"/>
      <c r="BU546" s="18"/>
      <c r="BV546" s="18"/>
      <c r="BW546" s="18"/>
      <c r="BX546" s="18"/>
      <c r="BY546" s="18"/>
      <c r="BZ546" s="18"/>
      <c r="CA546" s="18"/>
      <c r="CB546" s="18"/>
      <c r="CC546" s="18"/>
      <c r="CD546" s="18"/>
      <c r="CE546" s="18"/>
      <c r="CF546" s="18"/>
      <c r="CG546" s="18"/>
      <c r="CH546" s="18"/>
      <c r="CI546" s="18"/>
      <c r="CJ546" s="18"/>
      <c r="CK546" s="18"/>
      <c r="CL546" s="18"/>
      <c r="CM546" s="18"/>
      <c r="CN546" s="18"/>
      <c r="CO546" s="18"/>
      <c r="CP546" s="18"/>
      <c r="CQ546" s="18"/>
      <c r="CR546" s="18"/>
      <c r="CS546" s="18"/>
      <c r="CT546" s="18"/>
      <c r="CU546" s="18"/>
    </row>
    <row r="547" spans="1:99">
      <c r="A547" s="19"/>
      <c r="B547" s="19"/>
      <c r="C547" s="19"/>
      <c r="D547" s="19"/>
      <c r="E547" s="19"/>
      <c r="F547" s="19"/>
      <c r="G547" s="19"/>
      <c r="H547" s="19"/>
      <c r="I547" s="19"/>
      <c r="J547" s="19"/>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c r="AN547" s="18"/>
      <c r="AO547" s="18"/>
      <c r="AP547" s="18"/>
      <c r="AQ547" s="18"/>
      <c r="AR547" s="18"/>
      <c r="AS547" s="18"/>
      <c r="AT547" s="18"/>
      <c r="AU547" s="18"/>
      <c r="AV547" s="18"/>
      <c r="AW547" s="18"/>
      <c r="AX547" s="18"/>
      <c r="AY547" s="18"/>
      <c r="AZ547" s="18"/>
      <c r="BA547" s="18"/>
      <c r="BB547" s="18"/>
      <c r="BC547" s="18"/>
      <c r="BD547" s="18"/>
      <c r="BE547" s="18"/>
      <c r="BF547" s="18"/>
      <c r="BG547" s="18"/>
      <c r="BH547" s="18"/>
      <c r="BI547" s="18"/>
      <c r="BJ547" s="18"/>
      <c r="BK547" s="18"/>
      <c r="BL547" s="18"/>
      <c r="BM547" s="18"/>
      <c r="BN547" s="18"/>
      <c r="BO547" s="18"/>
      <c r="BP547" s="18"/>
      <c r="BQ547" s="18"/>
      <c r="BR547" s="18"/>
      <c r="BS547" s="18"/>
      <c r="BT547" s="18"/>
      <c r="BU547" s="18"/>
      <c r="BV547" s="18"/>
      <c r="BW547" s="18"/>
      <c r="BX547" s="18"/>
      <c r="BY547" s="18"/>
      <c r="BZ547" s="18"/>
      <c r="CA547" s="18"/>
      <c r="CB547" s="18"/>
      <c r="CC547" s="18"/>
      <c r="CD547" s="18"/>
      <c r="CE547" s="18"/>
      <c r="CF547" s="18"/>
      <c r="CG547" s="18"/>
      <c r="CH547" s="18"/>
      <c r="CI547" s="18"/>
      <c r="CJ547" s="18"/>
      <c r="CK547" s="18"/>
      <c r="CL547" s="18"/>
      <c r="CM547" s="18"/>
      <c r="CN547" s="18"/>
      <c r="CO547" s="18"/>
      <c r="CP547" s="18"/>
      <c r="CQ547" s="18"/>
      <c r="CR547" s="18"/>
      <c r="CS547" s="18"/>
      <c r="CT547" s="18"/>
      <c r="CU547" s="18"/>
    </row>
    <row r="548" spans="1:99">
      <c r="A548" s="19"/>
      <c r="B548" s="19"/>
      <c r="C548" s="19"/>
      <c r="D548" s="19"/>
      <c r="E548" s="19"/>
      <c r="F548" s="19"/>
      <c r="G548" s="19"/>
      <c r="H548" s="19"/>
      <c r="I548" s="19"/>
      <c r="J548" s="19"/>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c r="BC548" s="18"/>
      <c r="BD548" s="18"/>
      <c r="BE548" s="18"/>
      <c r="BF548" s="18"/>
      <c r="BG548" s="18"/>
      <c r="BH548" s="18"/>
      <c r="BI548" s="18"/>
      <c r="BJ548" s="18"/>
      <c r="BK548" s="18"/>
      <c r="BL548" s="18"/>
      <c r="BM548" s="18"/>
      <c r="BN548" s="18"/>
      <c r="BO548" s="18"/>
      <c r="BP548" s="18"/>
      <c r="BQ548" s="18"/>
      <c r="BR548" s="18"/>
      <c r="BS548" s="18"/>
      <c r="BT548" s="18"/>
      <c r="BU548" s="18"/>
      <c r="BV548" s="18"/>
      <c r="BW548" s="18"/>
      <c r="BX548" s="18"/>
      <c r="BY548" s="18"/>
      <c r="BZ548" s="18"/>
      <c r="CA548" s="18"/>
      <c r="CB548" s="18"/>
      <c r="CC548" s="18"/>
      <c r="CD548" s="18"/>
      <c r="CE548" s="18"/>
      <c r="CF548" s="18"/>
      <c r="CG548" s="18"/>
      <c r="CH548" s="18"/>
      <c r="CI548" s="18"/>
      <c r="CJ548" s="18"/>
      <c r="CK548" s="18"/>
      <c r="CL548" s="18"/>
      <c r="CM548" s="18"/>
      <c r="CN548" s="18"/>
      <c r="CO548" s="18"/>
      <c r="CP548" s="18"/>
      <c r="CQ548" s="18"/>
      <c r="CR548" s="18"/>
      <c r="CS548" s="18"/>
      <c r="CT548" s="18"/>
      <c r="CU548" s="18"/>
    </row>
    <row r="549" spans="1:99">
      <c r="A549" s="19"/>
      <c r="B549" s="19"/>
      <c r="C549" s="19"/>
      <c r="D549" s="19"/>
      <c r="E549" s="19"/>
      <c r="F549" s="19"/>
      <c r="G549" s="19"/>
      <c r="H549" s="19"/>
      <c r="I549" s="19"/>
      <c r="J549" s="19"/>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c r="AN549" s="18"/>
      <c r="AO549" s="18"/>
      <c r="AP549" s="18"/>
      <c r="AQ549" s="18"/>
      <c r="AR549" s="18"/>
      <c r="AS549" s="18"/>
      <c r="AT549" s="18"/>
      <c r="AU549" s="18"/>
      <c r="AV549" s="18"/>
      <c r="AW549" s="18"/>
      <c r="AX549" s="18"/>
      <c r="AY549" s="18"/>
      <c r="AZ549" s="18"/>
      <c r="BA549" s="18"/>
      <c r="BB549" s="18"/>
      <c r="BC549" s="18"/>
      <c r="BD549" s="18"/>
      <c r="BE549" s="18"/>
      <c r="BF549" s="18"/>
      <c r="BG549" s="18"/>
      <c r="BH549" s="18"/>
      <c r="BI549" s="18"/>
      <c r="BJ549" s="18"/>
      <c r="BK549" s="18"/>
      <c r="BL549" s="18"/>
      <c r="BM549" s="18"/>
      <c r="BN549" s="18"/>
      <c r="BO549" s="18"/>
      <c r="BP549" s="18"/>
      <c r="BQ549" s="18"/>
      <c r="BR549" s="18"/>
      <c r="BS549" s="18"/>
      <c r="BT549" s="18"/>
      <c r="BU549" s="18"/>
      <c r="BV549" s="18"/>
      <c r="BW549" s="18"/>
      <c r="BX549" s="18"/>
      <c r="BY549" s="18"/>
      <c r="BZ549" s="18"/>
      <c r="CA549" s="18"/>
      <c r="CB549" s="18"/>
      <c r="CC549" s="18"/>
      <c r="CD549" s="18"/>
      <c r="CE549" s="18"/>
      <c r="CF549" s="18"/>
      <c r="CG549" s="18"/>
      <c r="CH549" s="18"/>
      <c r="CI549" s="18"/>
      <c r="CJ549" s="18"/>
      <c r="CK549" s="18"/>
      <c r="CL549" s="18"/>
      <c r="CM549" s="18"/>
      <c r="CN549" s="18"/>
      <c r="CO549" s="18"/>
      <c r="CP549" s="18"/>
      <c r="CQ549" s="18"/>
      <c r="CR549" s="18"/>
      <c r="CS549" s="18"/>
      <c r="CT549" s="18"/>
      <c r="CU549" s="18"/>
    </row>
    <row r="550" spans="1:99">
      <c r="A550" s="19"/>
      <c r="B550" s="19"/>
      <c r="C550" s="19"/>
      <c r="D550" s="19"/>
      <c r="E550" s="19"/>
      <c r="F550" s="19"/>
      <c r="G550" s="19"/>
      <c r="H550" s="19"/>
      <c r="I550" s="19"/>
      <c r="J550" s="19"/>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c r="BC550" s="18"/>
      <c r="BD550" s="18"/>
      <c r="BE550" s="18"/>
      <c r="BF550" s="18"/>
      <c r="BG550" s="18"/>
      <c r="BH550" s="18"/>
      <c r="BI550" s="18"/>
      <c r="BJ550" s="18"/>
      <c r="BK550" s="18"/>
      <c r="BL550" s="18"/>
      <c r="BM550" s="18"/>
      <c r="BN550" s="18"/>
      <c r="BO550" s="18"/>
      <c r="BP550" s="18"/>
      <c r="BQ550" s="18"/>
      <c r="BR550" s="18"/>
      <c r="BS550" s="18"/>
      <c r="BT550" s="18"/>
      <c r="BU550" s="18"/>
      <c r="BV550" s="18"/>
      <c r="BW550" s="18"/>
      <c r="BX550" s="18"/>
      <c r="BY550" s="18"/>
      <c r="BZ550" s="18"/>
      <c r="CA550" s="18"/>
      <c r="CB550" s="18"/>
      <c r="CC550" s="18"/>
      <c r="CD550" s="18"/>
      <c r="CE550" s="18"/>
      <c r="CF550" s="18"/>
      <c r="CG550" s="18"/>
      <c r="CH550" s="18"/>
      <c r="CI550" s="18"/>
      <c r="CJ550" s="18"/>
      <c r="CK550" s="18"/>
      <c r="CL550" s="18"/>
      <c r="CM550" s="18"/>
      <c r="CN550" s="18"/>
      <c r="CO550" s="18"/>
      <c r="CP550" s="18"/>
      <c r="CQ550" s="18"/>
      <c r="CR550" s="18"/>
      <c r="CS550" s="18"/>
      <c r="CT550" s="18"/>
      <c r="CU550" s="18"/>
    </row>
    <row r="551" spans="1:99">
      <c r="A551" s="19"/>
      <c r="B551" s="19"/>
      <c r="C551" s="19"/>
      <c r="D551" s="19"/>
      <c r="E551" s="19"/>
      <c r="F551" s="19"/>
      <c r="G551" s="19"/>
      <c r="H551" s="19"/>
      <c r="I551" s="19"/>
      <c r="J551" s="19"/>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c r="AN551" s="18"/>
      <c r="AO551" s="18"/>
      <c r="AP551" s="18"/>
      <c r="AQ551" s="18"/>
      <c r="AR551" s="18"/>
      <c r="AS551" s="18"/>
      <c r="AT551" s="18"/>
      <c r="AU551" s="18"/>
      <c r="AV551" s="18"/>
      <c r="AW551" s="18"/>
      <c r="AX551" s="18"/>
      <c r="AY551" s="18"/>
      <c r="AZ551" s="18"/>
      <c r="BA551" s="18"/>
      <c r="BB551" s="18"/>
      <c r="BC551" s="18"/>
      <c r="BD551" s="18"/>
      <c r="BE551" s="18"/>
      <c r="BF551" s="18"/>
      <c r="BG551" s="18"/>
      <c r="BH551" s="18"/>
      <c r="BI551" s="18"/>
      <c r="BJ551" s="18"/>
      <c r="BK551" s="18"/>
      <c r="BL551" s="18"/>
      <c r="BM551" s="18"/>
      <c r="BN551" s="18"/>
      <c r="BO551" s="18"/>
      <c r="BP551" s="18"/>
      <c r="BQ551" s="18"/>
      <c r="BR551" s="18"/>
      <c r="BS551" s="18"/>
      <c r="BT551" s="18"/>
      <c r="BU551" s="18"/>
      <c r="BV551" s="18"/>
      <c r="BW551" s="18"/>
      <c r="BX551" s="18"/>
      <c r="BY551" s="18"/>
      <c r="BZ551" s="18"/>
      <c r="CA551" s="18"/>
      <c r="CB551" s="18"/>
      <c r="CC551" s="18"/>
      <c r="CD551" s="18"/>
      <c r="CE551" s="18"/>
      <c r="CF551" s="18"/>
      <c r="CG551" s="18"/>
      <c r="CH551" s="18"/>
      <c r="CI551" s="18"/>
      <c r="CJ551" s="18"/>
      <c r="CK551" s="18"/>
      <c r="CL551" s="18"/>
      <c r="CM551" s="18"/>
      <c r="CN551" s="18"/>
      <c r="CO551" s="18"/>
      <c r="CP551" s="18"/>
      <c r="CQ551" s="18"/>
      <c r="CR551" s="18"/>
      <c r="CS551" s="18"/>
      <c r="CT551" s="18"/>
      <c r="CU551" s="18"/>
    </row>
    <row r="552" spans="1:99">
      <c r="A552" s="19"/>
      <c r="B552" s="19"/>
      <c r="C552" s="19"/>
      <c r="D552" s="19"/>
      <c r="E552" s="19"/>
      <c r="F552" s="19"/>
      <c r="G552" s="19"/>
      <c r="H552" s="19"/>
      <c r="I552" s="19"/>
      <c r="J552" s="19"/>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c r="BC552" s="18"/>
      <c r="BD552" s="18"/>
      <c r="BE552" s="18"/>
      <c r="BF552" s="18"/>
      <c r="BG552" s="18"/>
      <c r="BH552" s="18"/>
      <c r="BI552" s="18"/>
      <c r="BJ552" s="18"/>
      <c r="BK552" s="18"/>
      <c r="BL552" s="18"/>
      <c r="BM552" s="18"/>
      <c r="BN552" s="18"/>
      <c r="BO552" s="18"/>
      <c r="BP552" s="18"/>
      <c r="BQ552" s="18"/>
      <c r="BR552" s="18"/>
      <c r="BS552" s="18"/>
      <c r="BT552" s="18"/>
      <c r="BU552" s="18"/>
      <c r="BV552" s="18"/>
      <c r="BW552" s="18"/>
      <c r="BX552" s="18"/>
      <c r="BY552" s="18"/>
      <c r="BZ552" s="18"/>
      <c r="CA552" s="18"/>
      <c r="CB552" s="18"/>
      <c r="CC552" s="18"/>
      <c r="CD552" s="18"/>
      <c r="CE552" s="18"/>
      <c r="CF552" s="18"/>
      <c r="CG552" s="18"/>
      <c r="CH552" s="18"/>
      <c r="CI552" s="18"/>
      <c r="CJ552" s="18"/>
      <c r="CK552" s="18"/>
      <c r="CL552" s="18"/>
      <c r="CM552" s="18"/>
      <c r="CN552" s="18"/>
      <c r="CO552" s="18"/>
      <c r="CP552" s="18"/>
      <c r="CQ552" s="18"/>
      <c r="CR552" s="18"/>
      <c r="CS552" s="18"/>
      <c r="CT552" s="18"/>
      <c r="CU552" s="18"/>
    </row>
    <row r="553" spans="1:99">
      <c r="A553" s="19"/>
      <c r="B553" s="19"/>
      <c r="C553" s="19"/>
      <c r="D553" s="19"/>
      <c r="E553" s="19"/>
      <c r="F553" s="19"/>
      <c r="G553" s="19"/>
      <c r="H553" s="19"/>
      <c r="I553" s="19"/>
      <c r="J553" s="19"/>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c r="AN553" s="18"/>
      <c r="AO553" s="18"/>
      <c r="AP553" s="18"/>
      <c r="AQ553" s="18"/>
      <c r="AR553" s="18"/>
      <c r="AS553" s="18"/>
      <c r="AT553" s="18"/>
      <c r="AU553" s="18"/>
      <c r="AV553" s="18"/>
      <c r="AW553" s="18"/>
      <c r="AX553" s="18"/>
      <c r="AY553" s="18"/>
      <c r="AZ553" s="18"/>
      <c r="BA553" s="18"/>
      <c r="BB553" s="18"/>
      <c r="BC553" s="18"/>
      <c r="BD553" s="18"/>
      <c r="BE553" s="18"/>
      <c r="BF553" s="18"/>
      <c r="BG553" s="18"/>
      <c r="BH553" s="18"/>
      <c r="BI553" s="18"/>
      <c r="BJ553" s="18"/>
      <c r="BK553" s="18"/>
      <c r="BL553" s="18"/>
      <c r="BM553" s="18"/>
      <c r="BN553" s="18"/>
      <c r="BO553" s="18"/>
      <c r="BP553" s="18"/>
      <c r="BQ553" s="18"/>
      <c r="BR553" s="18"/>
      <c r="BS553" s="18"/>
      <c r="BT553" s="18"/>
      <c r="BU553" s="18"/>
      <c r="BV553" s="18"/>
      <c r="BW553" s="18"/>
      <c r="BX553" s="18"/>
      <c r="BY553" s="18"/>
      <c r="BZ553" s="18"/>
      <c r="CA553" s="18"/>
      <c r="CB553" s="18"/>
      <c r="CC553" s="18"/>
      <c r="CD553" s="18"/>
      <c r="CE553" s="18"/>
      <c r="CF553" s="18"/>
      <c r="CG553" s="18"/>
      <c r="CH553" s="18"/>
      <c r="CI553" s="18"/>
      <c r="CJ553" s="18"/>
      <c r="CK553" s="18"/>
      <c r="CL553" s="18"/>
      <c r="CM553" s="18"/>
      <c r="CN553" s="18"/>
      <c r="CO553" s="18"/>
      <c r="CP553" s="18"/>
      <c r="CQ553" s="18"/>
      <c r="CR553" s="18"/>
      <c r="CS553" s="18"/>
      <c r="CT553" s="18"/>
      <c r="CU553" s="18"/>
    </row>
    <row r="554" spans="1:99">
      <c r="A554" s="19"/>
      <c r="B554" s="19"/>
      <c r="C554" s="19"/>
      <c r="D554" s="19"/>
      <c r="E554" s="19"/>
      <c r="F554" s="19"/>
      <c r="G554" s="19"/>
      <c r="H554" s="19"/>
      <c r="I554" s="19"/>
      <c r="J554" s="19"/>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c r="BC554" s="18"/>
      <c r="BD554" s="18"/>
      <c r="BE554" s="18"/>
      <c r="BF554" s="18"/>
      <c r="BG554" s="18"/>
      <c r="BH554" s="18"/>
      <c r="BI554" s="18"/>
      <c r="BJ554" s="18"/>
      <c r="BK554" s="18"/>
      <c r="BL554" s="18"/>
      <c r="BM554" s="18"/>
      <c r="BN554" s="18"/>
      <c r="BO554" s="18"/>
      <c r="BP554" s="18"/>
      <c r="BQ554" s="18"/>
      <c r="BR554" s="18"/>
      <c r="BS554" s="18"/>
      <c r="BT554" s="18"/>
      <c r="BU554" s="18"/>
      <c r="BV554" s="18"/>
      <c r="BW554" s="18"/>
      <c r="BX554" s="18"/>
      <c r="BY554" s="18"/>
      <c r="BZ554" s="18"/>
      <c r="CA554" s="18"/>
      <c r="CB554" s="18"/>
      <c r="CC554" s="18"/>
      <c r="CD554" s="18"/>
      <c r="CE554" s="18"/>
      <c r="CF554" s="18"/>
      <c r="CG554" s="18"/>
      <c r="CH554" s="18"/>
      <c r="CI554" s="18"/>
      <c r="CJ554" s="18"/>
      <c r="CK554" s="18"/>
      <c r="CL554" s="18"/>
      <c r="CM554" s="18"/>
      <c r="CN554" s="18"/>
      <c r="CO554" s="18"/>
      <c r="CP554" s="18"/>
      <c r="CQ554" s="18"/>
      <c r="CR554" s="18"/>
      <c r="CS554" s="18"/>
      <c r="CT554" s="18"/>
      <c r="CU554" s="18"/>
    </row>
    <row r="555" spans="1:99">
      <c r="A555" s="19"/>
      <c r="B555" s="19"/>
      <c r="C555" s="19"/>
      <c r="D555" s="19"/>
      <c r="E555" s="19"/>
      <c r="F555" s="19"/>
      <c r="G555" s="19"/>
      <c r="H555" s="19"/>
      <c r="I555" s="19"/>
      <c r="J555" s="19"/>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c r="AN555" s="18"/>
      <c r="AO555" s="18"/>
      <c r="AP555" s="18"/>
      <c r="AQ555" s="18"/>
      <c r="AR555" s="18"/>
      <c r="AS555" s="18"/>
      <c r="AT555" s="18"/>
      <c r="AU555" s="18"/>
      <c r="AV555" s="18"/>
      <c r="AW555" s="18"/>
      <c r="AX555" s="18"/>
      <c r="AY555" s="18"/>
      <c r="AZ555" s="18"/>
      <c r="BA555" s="18"/>
      <c r="BB555" s="18"/>
      <c r="BC555" s="18"/>
      <c r="BD555" s="18"/>
      <c r="BE555" s="18"/>
      <c r="BF555" s="18"/>
      <c r="BG555" s="18"/>
      <c r="BH555" s="18"/>
      <c r="BI555" s="18"/>
      <c r="BJ555" s="18"/>
      <c r="BK555" s="18"/>
      <c r="BL555" s="18"/>
      <c r="BM555" s="18"/>
      <c r="BN555" s="18"/>
      <c r="BO555" s="18"/>
      <c r="BP555" s="18"/>
      <c r="BQ555" s="18"/>
      <c r="BR555" s="18"/>
      <c r="BS555" s="18"/>
      <c r="BT555" s="18"/>
      <c r="BU555" s="18"/>
      <c r="BV555" s="18"/>
      <c r="BW555" s="18"/>
      <c r="BX555" s="18"/>
      <c r="BY555" s="18"/>
      <c r="BZ555" s="18"/>
      <c r="CA555" s="18"/>
      <c r="CB555" s="18"/>
      <c r="CC555" s="18"/>
      <c r="CD555" s="18"/>
      <c r="CE555" s="18"/>
      <c r="CF555" s="18"/>
      <c r="CG555" s="18"/>
      <c r="CH555" s="18"/>
      <c r="CI555" s="18"/>
      <c r="CJ555" s="18"/>
      <c r="CK555" s="18"/>
      <c r="CL555" s="18"/>
      <c r="CM555" s="18"/>
      <c r="CN555" s="18"/>
      <c r="CO555" s="18"/>
      <c r="CP555" s="18"/>
      <c r="CQ555" s="18"/>
      <c r="CR555" s="18"/>
      <c r="CS555" s="18"/>
      <c r="CT555" s="18"/>
      <c r="CU555" s="18"/>
    </row>
    <row r="556" spans="1:99">
      <c r="A556" s="19"/>
      <c r="B556" s="19"/>
      <c r="C556" s="19"/>
      <c r="D556" s="19"/>
      <c r="E556" s="19"/>
      <c r="F556" s="19"/>
      <c r="G556" s="19"/>
      <c r="H556" s="19"/>
      <c r="I556" s="19"/>
      <c r="J556" s="19"/>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c r="BC556" s="18"/>
      <c r="BD556" s="18"/>
      <c r="BE556" s="18"/>
      <c r="BF556" s="18"/>
      <c r="BG556" s="18"/>
      <c r="BH556" s="18"/>
      <c r="BI556" s="18"/>
      <c r="BJ556" s="18"/>
      <c r="BK556" s="18"/>
      <c r="BL556" s="18"/>
      <c r="BM556" s="18"/>
      <c r="BN556" s="18"/>
      <c r="BO556" s="18"/>
      <c r="BP556" s="18"/>
      <c r="BQ556" s="18"/>
      <c r="BR556" s="18"/>
      <c r="BS556" s="18"/>
      <c r="BT556" s="18"/>
      <c r="BU556" s="18"/>
      <c r="BV556" s="18"/>
      <c r="BW556" s="18"/>
      <c r="BX556" s="18"/>
      <c r="BY556" s="18"/>
      <c r="BZ556" s="18"/>
      <c r="CA556" s="18"/>
      <c r="CB556" s="18"/>
      <c r="CC556" s="18"/>
      <c r="CD556" s="18"/>
      <c r="CE556" s="18"/>
      <c r="CF556" s="18"/>
      <c r="CG556" s="18"/>
      <c r="CH556" s="18"/>
      <c r="CI556" s="18"/>
      <c r="CJ556" s="18"/>
      <c r="CK556" s="18"/>
      <c r="CL556" s="18"/>
      <c r="CM556" s="18"/>
      <c r="CN556" s="18"/>
      <c r="CO556" s="18"/>
      <c r="CP556" s="18"/>
      <c r="CQ556" s="18"/>
      <c r="CR556" s="18"/>
      <c r="CS556" s="18"/>
      <c r="CT556" s="18"/>
      <c r="CU556" s="18"/>
    </row>
    <row r="557" spans="1:99">
      <c r="A557" s="19"/>
      <c r="B557" s="19"/>
      <c r="C557" s="19"/>
      <c r="D557" s="19"/>
      <c r="E557" s="19"/>
      <c r="F557" s="19"/>
      <c r="G557" s="19"/>
      <c r="H557" s="19"/>
      <c r="I557" s="19"/>
      <c r="J557" s="19"/>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c r="AN557" s="18"/>
      <c r="AO557" s="18"/>
      <c r="AP557" s="18"/>
      <c r="AQ557" s="18"/>
      <c r="AR557" s="18"/>
      <c r="AS557" s="18"/>
      <c r="AT557" s="18"/>
      <c r="AU557" s="18"/>
      <c r="AV557" s="18"/>
      <c r="AW557" s="18"/>
      <c r="AX557" s="18"/>
      <c r="AY557" s="18"/>
      <c r="AZ557" s="18"/>
      <c r="BA557" s="18"/>
      <c r="BB557" s="18"/>
      <c r="BC557" s="18"/>
      <c r="BD557" s="18"/>
      <c r="BE557" s="18"/>
      <c r="BF557" s="18"/>
      <c r="BG557" s="18"/>
      <c r="BH557" s="18"/>
      <c r="BI557" s="18"/>
      <c r="BJ557" s="18"/>
      <c r="BK557" s="18"/>
      <c r="BL557" s="18"/>
      <c r="BM557" s="18"/>
      <c r="BN557" s="18"/>
      <c r="BO557" s="18"/>
      <c r="BP557" s="18"/>
      <c r="BQ557" s="18"/>
      <c r="BR557" s="18"/>
      <c r="BS557" s="18"/>
      <c r="BT557" s="18"/>
      <c r="BU557" s="18"/>
      <c r="BV557" s="18"/>
      <c r="BW557" s="18"/>
      <c r="BX557" s="18"/>
      <c r="BY557" s="18"/>
      <c r="BZ557" s="18"/>
      <c r="CA557" s="18"/>
      <c r="CB557" s="18"/>
      <c r="CC557" s="18"/>
      <c r="CD557" s="18"/>
      <c r="CE557" s="18"/>
      <c r="CF557" s="18"/>
      <c r="CG557" s="18"/>
      <c r="CH557" s="18"/>
      <c r="CI557" s="18"/>
      <c r="CJ557" s="18"/>
      <c r="CK557" s="18"/>
      <c r="CL557" s="18"/>
      <c r="CM557" s="18"/>
      <c r="CN557" s="18"/>
      <c r="CO557" s="18"/>
      <c r="CP557" s="18"/>
      <c r="CQ557" s="18"/>
      <c r="CR557" s="18"/>
      <c r="CS557" s="18"/>
      <c r="CT557" s="18"/>
      <c r="CU557" s="18"/>
    </row>
    <row r="558" spans="1:99">
      <c r="A558" s="19"/>
      <c r="B558" s="19"/>
      <c r="C558" s="19"/>
      <c r="D558" s="19"/>
      <c r="E558" s="19"/>
      <c r="F558" s="19"/>
      <c r="G558" s="19"/>
      <c r="H558" s="19"/>
      <c r="I558" s="19"/>
      <c r="J558" s="19"/>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c r="BC558" s="18"/>
      <c r="BD558" s="18"/>
      <c r="BE558" s="18"/>
      <c r="BF558" s="18"/>
      <c r="BG558" s="18"/>
      <c r="BH558" s="18"/>
      <c r="BI558" s="18"/>
      <c r="BJ558" s="18"/>
      <c r="BK558" s="18"/>
      <c r="BL558" s="18"/>
      <c r="BM558" s="18"/>
      <c r="BN558" s="18"/>
      <c r="BO558" s="18"/>
      <c r="BP558" s="18"/>
      <c r="BQ558" s="18"/>
      <c r="BR558" s="18"/>
      <c r="BS558" s="18"/>
      <c r="BT558" s="18"/>
      <c r="BU558" s="18"/>
      <c r="BV558" s="18"/>
      <c r="BW558" s="18"/>
      <c r="BX558" s="18"/>
      <c r="BY558" s="18"/>
      <c r="BZ558" s="18"/>
      <c r="CA558" s="18"/>
      <c r="CB558" s="18"/>
      <c r="CC558" s="18"/>
      <c r="CD558" s="18"/>
      <c r="CE558" s="18"/>
      <c r="CF558" s="18"/>
      <c r="CG558" s="18"/>
      <c r="CH558" s="18"/>
      <c r="CI558" s="18"/>
      <c r="CJ558" s="18"/>
      <c r="CK558" s="18"/>
      <c r="CL558" s="18"/>
      <c r="CM558" s="18"/>
      <c r="CN558" s="18"/>
      <c r="CO558" s="18"/>
      <c r="CP558" s="18"/>
      <c r="CQ558" s="18"/>
      <c r="CR558" s="18"/>
      <c r="CS558" s="18"/>
      <c r="CT558" s="18"/>
      <c r="CU558" s="18"/>
    </row>
    <row r="559" spans="1:99">
      <c r="A559" s="19"/>
      <c r="B559" s="19"/>
      <c r="C559" s="19"/>
      <c r="D559" s="19"/>
      <c r="E559" s="19"/>
      <c r="F559" s="19"/>
      <c r="G559" s="19"/>
      <c r="H559" s="19"/>
      <c r="I559" s="19"/>
      <c r="J559" s="19"/>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c r="BC559" s="18"/>
      <c r="BD559" s="18"/>
      <c r="BE559" s="18"/>
      <c r="BF559" s="18"/>
      <c r="BG559" s="18"/>
      <c r="BH559" s="18"/>
      <c r="BI559" s="18"/>
      <c r="BJ559" s="18"/>
      <c r="BK559" s="18"/>
      <c r="BL559" s="18"/>
      <c r="BM559" s="18"/>
      <c r="BN559" s="18"/>
      <c r="BO559" s="18"/>
      <c r="BP559" s="18"/>
      <c r="BQ559" s="18"/>
      <c r="BR559" s="18"/>
      <c r="BS559" s="18"/>
      <c r="BT559" s="18"/>
      <c r="BU559" s="18"/>
      <c r="BV559" s="18"/>
      <c r="BW559" s="18"/>
      <c r="BX559" s="18"/>
      <c r="BY559" s="18"/>
      <c r="BZ559" s="18"/>
      <c r="CA559" s="18"/>
      <c r="CB559" s="18"/>
      <c r="CC559" s="18"/>
      <c r="CD559" s="18"/>
      <c r="CE559" s="18"/>
      <c r="CF559" s="18"/>
      <c r="CG559" s="18"/>
      <c r="CH559" s="18"/>
      <c r="CI559" s="18"/>
      <c r="CJ559" s="18"/>
      <c r="CK559" s="18"/>
      <c r="CL559" s="18"/>
      <c r="CM559" s="18"/>
      <c r="CN559" s="18"/>
      <c r="CO559" s="18"/>
      <c r="CP559" s="18"/>
      <c r="CQ559" s="18"/>
      <c r="CR559" s="18"/>
      <c r="CS559" s="18"/>
      <c r="CT559" s="18"/>
      <c r="CU559" s="18"/>
    </row>
    <row r="560" spans="1:99">
      <c r="A560" s="19"/>
      <c r="B560" s="19"/>
      <c r="C560" s="19"/>
      <c r="D560" s="19"/>
      <c r="E560" s="19"/>
      <c r="F560" s="19"/>
      <c r="G560" s="19"/>
      <c r="H560" s="19"/>
      <c r="I560" s="19"/>
      <c r="J560" s="19"/>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c r="BC560" s="18"/>
      <c r="BD560" s="18"/>
      <c r="BE560" s="18"/>
      <c r="BF560" s="18"/>
      <c r="BG560" s="18"/>
      <c r="BH560" s="18"/>
      <c r="BI560" s="18"/>
      <c r="BJ560" s="18"/>
      <c r="BK560" s="18"/>
      <c r="BL560" s="18"/>
      <c r="BM560" s="18"/>
      <c r="BN560" s="18"/>
      <c r="BO560" s="18"/>
      <c r="BP560" s="18"/>
      <c r="BQ560" s="18"/>
      <c r="BR560" s="18"/>
      <c r="BS560" s="18"/>
      <c r="BT560" s="18"/>
      <c r="BU560" s="18"/>
      <c r="BV560" s="18"/>
      <c r="BW560" s="18"/>
      <c r="BX560" s="18"/>
      <c r="BY560" s="18"/>
      <c r="BZ560" s="18"/>
      <c r="CA560" s="18"/>
      <c r="CB560" s="18"/>
      <c r="CC560" s="18"/>
      <c r="CD560" s="18"/>
      <c r="CE560" s="18"/>
      <c r="CF560" s="18"/>
      <c r="CG560" s="18"/>
      <c r="CH560" s="18"/>
      <c r="CI560" s="18"/>
      <c r="CJ560" s="18"/>
      <c r="CK560" s="18"/>
      <c r="CL560" s="18"/>
      <c r="CM560" s="18"/>
      <c r="CN560" s="18"/>
      <c r="CO560" s="18"/>
      <c r="CP560" s="18"/>
      <c r="CQ560" s="18"/>
      <c r="CR560" s="18"/>
      <c r="CS560" s="18"/>
      <c r="CT560" s="18"/>
      <c r="CU560" s="18"/>
    </row>
    <row r="561" spans="1:99">
      <c r="A561" s="19"/>
      <c r="B561" s="19"/>
      <c r="C561" s="19"/>
      <c r="D561" s="19"/>
      <c r="E561" s="19"/>
      <c r="F561" s="19"/>
      <c r="G561" s="19"/>
      <c r="H561" s="19"/>
      <c r="I561" s="19"/>
      <c r="J561" s="19"/>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c r="AN561" s="18"/>
      <c r="AO561" s="18"/>
      <c r="AP561" s="18"/>
      <c r="AQ561" s="18"/>
      <c r="AR561" s="18"/>
      <c r="AS561" s="18"/>
      <c r="AT561" s="18"/>
      <c r="AU561" s="18"/>
      <c r="AV561" s="18"/>
      <c r="AW561" s="18"/>
      <c r="AX561" s="18"/>
      <c r="AY561" s="18"/>
      <c r="AZ561" s="18"/>
      <c r="BA561" s="18"/>
      <c r="BB561" s="18"/>
      <c r="BC561" s="18"/>
      <c r="BD561" s="18"/>
      <c r="BE561" s="18"/>
      <c r="BF561" s="18"/>
      <c r="BG561" s="18"/>
      <c r="BH561" s="18"/>
      <c r="BI561" s="18"/>
      <c r="BJ561" s="18"/>
      <c r="BK561" s="18"/>
      <c r="BL561" s="18"/>
      <c r="BM561" s="18"/>
      <c r="BN561" s="18"/>
      <c r="BO561" s="18"/>
      <c r="BP561" s="18"/>
      <c r="BQ561" s="18"/>
      <c r="BR561" s="18"/>
      <c r="BS561" s="18"/>
      <c r="BT561" s="18"/>
      <c r="BU561" s="18"/>
      <c r="BV561" s="18"/>
      <c r="BW561" s="18"/>
      <c r="BX561" s="18"/>
      <c r="BY561" s="18"/>
      <c r="BZ561" s="18"/>
      <c r="CA561" s="18"/>
      <c r="CB561" s="18"/>
      <c r="CC561" s="18"/>
      <c r="CD561" s="18"/>
      <c r="CE561" s="18"/>
      <c r="CF561" s="18"/>
      <c r="CG561" s="18"/>
      <c r="CH561" s="18"/>
      <c r="CI561" s="18"/>
      <c r="CJ561" s="18"/>
      <c r="CK561" s="18"/>
      <c r="CL561" s="18"/>
      <c r="CM561" s="18"/>
      <c r="CN561" s="18"/>
      <c r="CO561" s="18"/>
      <c r="CP561" s="18"/>
      <c r="CQ561" s="18"/>
      <c r="CR561" s="18"/>
      <c r="CS561" s="18"/>
      <c r="CT561" s="18"/>
      <c r="CU561" s="18"/>
    </row>
    <row r="562" spans="1:99">
      <c r="A562" s="19"/>
      <c r="B562" s="19"/>
      <c r="C562" s="19"/>
      <c r="D562" s="19"/>
      <c r="E562" s="19"/>
      <c r="F562" s="19"/>
      <c r="G562" s="19"/>
      <c r="H562" s="19"/>
      <c r="I562" s="19"/>
      <c r="J562" s="19"/>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c r="BC562" s="18"/>
      <c r="BD562" s="18"/>
      <c r="BE562" s="18"/>
      <c r="BF562" s="18"/>
      <c r="BG562" s="18"/>
      <c r="BH562" s="18"/>
      <c r="BI562" s="18"/>
      <c r="BJ562" s="18"/>
      <c r="BK562" s="18"/>
      <c r="BL562" s="18"/>
      <c r="BM562" s="18"/>
      <c r="BN562" s="18"/>
      <c r="BO562" s="18"/>
      <c r="BP562" s="18"/>
      <c r="BQ562" s="18"/>
      <c r="BR562" s="18"/>
      <c r="BS562" s="18"/>
      <c r="BT562" s="18"/>
      <c r="BU562" s="18"/>
      <c r="BV562" s="18"/>
      <c r="BW562" s="18"/>
      <c r="BX562" s="18"/>
      <c r="BY562" s="18"/>
      <c r="BZ562" s="18"/>
      <c r="CA562" s="18"/>
      <c r="CB562" s="18"/>
      <c r="CC562" s="18"/>
      <c r="CD562" s="18"/>
      <c r="CE562" s="18"/>
      <c r="CF562" s="18"/>
      <c r="CG562" s="18"/>
      <c r="CH562" s="18"/>
      <c r="CI562" s="18"/>
      <c r="CJ562" s="18"/>
      <c r="CK562" s="18"/>
      <c r="CL562" s="18"/>
      <c r="CM562" s="18"/>
      <c r="CN562" s="18"/>
      <c r="CO562" s="18"/>
      <c r="CP562" s="18"/>
      <c r="CQ562" s="18"/>
      <c r="CR562" s="18"/>
      <c r="CS562" s="18"/>
      <c r="CT562" s="18"/>
      <c r="CU562" s="18"/>
    </row>
    <row r="563" spans="1:99">
      <c r="A563" s="19"/>
      <c r="B563" s="19"/>
      <c r="C563" s="19"/>
      <c r="D563" s="19"/>
      <c r="E563" s="19"/>
      <c r="F563" s="19"/>
      <c r="G563" s="19"/>
      <c r="H563" s="19"/>
      <c r="I563" s="19"/>
      <c r="J563" s="19"/>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c r="AN563" s="18"/>
      <c r="AO563" s="18"/>
      <c r="AP563" s="18"/>
      <c r="AQ563" s="18"/>
      <c r="AR563" s="18"/>
      <c r="AS563" s="18"/>
      <c r="AT563" s="18"/>
      <c r="AU563" s="18"/>
      <c r="AV563" s="18"/>
      <c r="AW563" s="18"/>
      <c r="AX563" s="18"/>
      <c r="AY563" s="18"/>
      <c r="AZ563" s="18"/>
      <c r="BA563" s="18"/>
      <c r="BB563" s="18"/>
      <c r="BC563" s="18"/>
      <c r="BD563" s="18"/>
      <c r="BE563" s="18"/>
      <c r="BF563" s="18"/>
      <c r="BG563" s="18"/>
      <c r="BH563" s="18"/>
      <c r="BI563" s="18"/>
      <c r="BJ563" s="18"/>
      <c r="BK563" s="18"/>
      <c r="BL563" s="18"/>
      <c r="BM563" s="18"/>
      <c r="BN563" s="18"/>
      <c r="BO563" s="18"/>
      <c r="BP563" s="18"/>
      <c r="BQ563" s="18"/>
      <c r="BR563" s="18"/>
      <c r="BS563" s="18"/>
      <c r="BT563" s="18"/>
      <c r="BU563" s="18"/>
      <c r="BV563" s="18"/>
      <c r="BW563" s="18"/>
      <c r="BX563" s="18"/>
      <c r="BY563" s="18"/>
      <c r="BZ563" s="18"/>
      <c r="CA563" s="18"/>
      <c r="CB563" s="18"/>
      <c r="CC563" s="18"/>
      <c r="CD563" s="18"/>
      <c r="CE563" s="18"/>
      <c r="CF563" s="18"/>
      <c r="CG563" s="18"/>
      <c r="CH563" s="18"/>
      <c r="CI563" s="18"/>
      <c r="CJ563" s="18"/>
      <c r="CK563" s="18"/>
      <c r="CL563" s="18"/>
      <c r="CM563" s="18"/>
      <c r="CN563" s="18"/>
      <c r="CO563" s="18"/>
      <c r="CP563" s="18"/>
      <c r="CQ563" s="18"/>
      <c r="CR563" s="18"/>
      <c r="CS563" s="18"/>
      <c r="CT563" s="18"/>
      <c r="CU563" s="18"/>
    </row>
    <row r="564" spans="1:99">
      <c r="A564" s="19"/>
      <c r="B564" s="19"/>
      <c r="C564" s="19"/>
      <c r="D564" s="19"/>
      <c r="E564" s="19"/>
      <c r="F564" s="19"/>
      <c r="G564" s="19"/>
      <c r="H564" s="19"/>
      <c r="I564" s="19"/>
      <c r="J564" s="19"/>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c r="BC564" s="18"/>
      <c r="BD564" s="18"/>
      <c r="BE564" s="18"/>
      <c r="BF564" s="18"/>
      <c r="BG564" s="18"/>
      <c r="BH564" s="18"/>
      <c r="BI564" s="18"/>
      <c r="BJ564" s="18"/>
      <c r="BK564" s="18"/>
      <c r="BL564" s="18"/>
      <c r="BM564" s="18"/>
      <c r="BN564" s="18"/>
      <c r="BO564" s="18"/>
      <c r="BP564" s="18"/>
      <c r="BQ564" s="18"/>
      <c r="BR564" s="18"/>
      <c r="BS564" s="18"/>
      <c r="BT564" s="18"/>
      <c r="BU564" s="18"/>
      <c r="BV564" s="18"/>
      <c r="BW564" s="18"/>
      <c r="BX564" s="18"/>
      <c r="BY564" s="18"/>
      <c r="BZ564" s="18"/>
      <c r="CA564" s="18"/>
      <c r="CB564" s="18"/>
      <c r="CC564" s="18"/>
      <c r="CD564" s="18"/>
      <c r="CE564" s="18"/>
      <c r="CF564" s="18"/>
      <c r="CG564" s="18"/>
      <c r="CH564" s="18"/>
      <c r="CI564" s="18"/>
      <c r="CJ564" s="18"/>
      <c r="CK564" s="18"/>
      <c r="CL564" s="18"/>
      <c r="CM564" s="18"/>
      <c r="CN564" s="18"/>
      <c r="CO564" s="18"/>
      <c r="CP564" s="18"/>
      <c r="CQ564" s="18"/>
      <c r="CR564" s="18"/>
      <c r="CS564" s="18"/>
      <c r="CT564" s="18"/>
      <c r="CU564" s="18"/>
    </row>
    <row r="565" spans="1:99">
      <c r="A565" s="19"/>
      <c r="B565" s="19"/>
      <c r="C565" s="19"/>
      <c r="D565" s="19"/>
      <c r="E565" s="19"/>
      <c r="F565" s="19"/>
      <c r="G565" s="19"/>
      <c r="H565" s="19"/>
      <c r="I565" s="19"/>
      <c r="J565" s="19"/>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c r="AN565" s="18"/>
      <c r="AO565" s="18"/>
      <c r="AP565" s="18"/>
      <c r="AQ565" s="18"/>
      <c r="AR565" s="18"/>
      <c r="AS565" s="18"/>
      <c r="AT565" s="18"/>
      <c r="AU565" s="18"/>
      <c r="AV565" s="18"/>
      <c r="AW565" s="18"/>
      <c r="AX565" s="18"/>
      <c r="AY565" s="18"/>
      <c r="AZ565" s="18"/>
      <c r="BA565" s="18"/>
      <c r="BB565" s="18"/>
      <c r="BC565" s="18"/>
      <c r="BD565" s="18"/>
      <c r="BE565" s="18"/>
      <c r="BF565" s="18"/>
      <c r="BG565" s="18"/>
      <c r="BH565" s="18"/>
      <c r="BI565" s="18"/>
      <c r="BJ565" s="18"/>
      <c r="BK565" s="18"/>
      <c r="BL565" s="18"/>
      <c r="BM565" s="18"/>
      <c r="BN565" s="18"/>
      <c r="BO565" s="18"/>
      <c r="BP565" s="18"/>
      <c r="BQ565" s="18"/>
      <c r="BR565" s="18"/>
      <c r="BS565" s="18"/>
      <c r="BT565" s="18"/>
      <c r="BU565" s="18"/>
      <c r="BV565" s="18"/>
      <c r="BW565" s="18"/>
      <c r="BX565" s="18"/>
      <c r="BY565" s="18"/>
      <c r="BZ565" s="18"/>
      <c r="CA565" s="18"/>
      <c r="CB565" s="18"/>
      <c r="CC565" s="18"/>
      <c r="CD565" s="18"/>
      <c r="CE565" s="18"/>
      <c r="CF565" s="18"/>
      <c r="CG565" s="18"/>
      <c r="CH565" s="18"/>
      <c r="CI565" s="18"/>
      <c r="CJ565" s="18"/>
      <c r="CK565" s="18"/>
      <c r="CL565" s="18"/>
      <c r="CM565" s="18"/>
      <c r="CN565" s="18"/>
      <c r="CO565" s="18"/>
      <c r="CP565" s="18"/>
      <c r="CQ565" s="18"/>
      <c r="CR565" s="18"/>
      <c r="CS565" s="18"/>
      <c r="CT565" s="18"/>
      <c r="CU565" s="18"/>
    </row>
    <row r="566" spans="1:99">
      <c r="A566" s="19"/>
      <c r="B566" s="19"/>
      <c r="C566" s="19"/>
      <c r="D566" s="19"/>
      <c r="E566" s="19"/>
      <c r="F566" s="19"/>
      <c r="G566" s="19"/>
      <c r="H566" s="19"/>
      <c r="I566" s="19"/>
      <c r="J566" s="19"/>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c r="BC566" s="18"/>
      <c r="BD566" s="18"/>
      <c r="BE566" s="18"/>
      <c r="BF566" s="18"/>
      <c r="BG566" s="18"/>
      <c r="BH566" s="18"/>
      <c r="BI566" s="18"/>
      <c r="BJ566" s="18"/>
      <c r="BK566" s="18"/>
      <c r="BL566" s="18"/>
      <c r="BM566" s="18"/>
      <c r="BN566" s="18"/>
      <c r="BO566" s="18"/>
      <c r="BP566" s="18"/>
      <c r="BQ566" s="18"/>
      <c r="BR566" s="18"/>
      <c r="BS566" s="18"/>
      <c r="BT566" s="18"/>
      <c r="BU566" s="18"/>
      <c r="BV566" s="18"/>
      <c r="BW566" s="18"/>
      <c r="BX566" s="18"/>
      <c r="BY566" s="18"/>
      <c r="BZ566" s="18"/>
      <c r="CA566" s="18"/>
      <c r="CB566" s="18"/>
      <c r="CC566" s="18"/>
      <c r="CD566" s="18"/>
      <c r="CE566" s="18"/>
      <c r="CF566" s="18"/>
      <c r="CG566" s="18"/>
      <c r="CH566" s="18"/>
      <c r="CI566" s="18"/>
      <c r="CJ566" s="18"/>
      <c r="CK566" s="18"/>
      <c r="CL566" s="18"/>
      <c r="CM566" s="18"/>
      <c r="CN566" s="18"/>
      <c r="CO566" s="18"/>
      <c r="CP566" s="18"/>
      <c r="CQ566" s="18"/>
      <c r="CR566" s="18"/>
      <c r="CS566" s="18"/>
      <c r="CT566" s="18"/>
      <c r="CU566" s="18"/>
    </row>
    <row r="567" spans="1:99">
      <c r="A567" s="19"/>
      <c r="B567" s="19"/>
      <c r="C567" s="19"/>
      <c r="D567" s="19"/>
      <c r="E567" s="19"/>
      <c r="F567" s="19"/>
      <c r="G567" s="19"/>
      <c r="H567" s="19"/>
      <c r="I567" s="19"/>
      <c r="J567" s="19"/>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c r="AN567" s="18"/>
      <c r="AO567" s="18"/>
      <c r="AP567" s="18"/>
      <c r="AQ567" s="18"/>
      <c r="AR567" s="18"/>
      <c r="AS567" s="18"/>
      <c r="AT567" s="18"/>
      <c r="AU567" s="18"/>
      <c r="AV567" s="18"/>
      <c r="AW567" s="18"/>
      <c r="AX567" s="18"/>
      <c r="AY567" s="18"/>
      <c r="AZ567" s="18"/>
      <c r="BA567" s="18"/>
      <c r="BB567" s="18"/>
      <c r="BC567" s="18"/>
      <c r="BD567" s="18"/>
      <c r="BE567" s="18"/>
      <c r="BF567" s="18"/>
      <c r="BG567" s="18"/>
      <c r="BH567" s="18"/>
      <c r="BI567" s="18"/>
      <c r="BJ567" s="18"/>
      <c r="BK567" s="18"/>
      <c r="BL567" s="18"/>
      <c r="BM567" s="18"/>
      <c r="BN567" s="18"/>
      <c r="BO567" s="18"/>
      <c r="BP567" s="18"/>
      <c r="BQ567" s="18"/>
      <c r="BR567" s="18"/>
      <c r="BS567" s="18"/>
      <c r="BT567" s="18"/>
      <c r="BU567" s="18"/>
      <c r="BV567" s="18"/>
      <c r="BW567" s="18"/>
      <c r="BX567" s="18"/>
      <c r="BY567" s="18"/>
      <c r="BZ567" s="18"/>
      <c r="CA567" s="18"/>
      <c r="CB567" s="18"/>
      <c r="CC567" s="18"/>
      <c r="CD567" s="18"/>
      <c r="CE567" s="18"/>
      <c r="CF567" s="18"/>
      <c r="CG567" s="18"/>
      <c r="CH567" s="18"/>
      <c r="CI567" s="18"/>
      <c r="CJ567" s="18"/>
      <c r="CK567" s="18"/>
      <c r="CL567" s="18"/>
      <c r="CM567" s="18"/>
      <c r="CN567" s="18"/>
      <c r="CO567" s="18"/>
      <c r="CP567" s="18"/>
      <c r="CQ567" s="18"/>
      <c r="CR567" s="18"/>
      <c r="CS567" s="18"/>
      <c r="CT567" s="18"/>
      <c r="CU567" s="18"/>
    </row>
    <row r="568" spans="1:99">
      <c r="A568" s="19"/>
      <c r="B568" s="19"/>
      <c r="C568" s="19"/>
      <c r="D568" s="19"/>
      <c r="E568" s="19"/>
      <c r="F568" s="19"/>
      <c r="G568" s="19"/>
      <c r="H568" s="19"/>
      <c r="I568" s="19"/>
      <c r="J568" s="19"/>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c r="BC568" s="18"/>
      <c r="BD568" s="18"/>
      <c r="BE568" s="18"/>
      <c r="BF568" s="18"/>
      <c r="BG568" s="18"/>
      <c r="BH568" s="18"/>
      <c r="BI568" s="18"/>
      <c r="BJ568" s="18"/>
      <c r="BK568" s="18"/>
      <c r="BL568" s="18"/>
      <c r="BM568" s="18"/>
      <c r="BN568" s="18"/>
      <c r="BO568" s="18"/>
      <c r="BP568" s="18"/>
      <c r="BQ568" s="18"/>
      <c r="BR568" s="18"/>
      <c r="BS568" s="18"/>
      <c r="BT568" s="18"/>
      <c r="BU568" s="18"/>
      <c r="BV568" s="18"/>
      <c r="BW568" s="18"/>
      <c r="BX568" s="18"/>
      <c r="BY568" s="18"/>
      <c r="BZ568" s="18"/>
      <c r="CA568" s="18"/>
      <c r="CB568" s="18"/>
      <c r="CC568" s="18"/>
      <c r="CD568" s="18"/>
      <c r="CE568" s="18"/>
      <c r="CF568" s="18"/>
      <c r="CG568" s="18"/>
      <c r="CH568" s="18"/>
      <c r="CI568" s="18"/>
      <c r="CJ568" s="18"/>
      <c r="CK568" s="18"/>
      <c r="CL568" s="18"/>
      <c r="CM568" s="18"/>
      <c r="CN568" s="18"/>
      <c r="CO568" s="18"/>
      <c r="CP568" s="18"/>
      <c r="CQ568" s="18"/>
      <c r="CR568" s="18"/>
      <c r="CS568" s="18"/>
      <c r="CT568" s="18"/>
      <c r="CU568" s="18"/>
    </row>
    <row r="569" spans="1:99">
      <c r="A569" s="19"/>
      <c r="B569" s="19"/>
      <c r="C569" s="19"/>
      <c r="D569" s="19"/>
      <c r="E569" s="19"/>
      <c r="F569" s="19"/>
      <c r="G569" s="19"/>
      <c r="H569" s="19"/>
      <c r="I569" s="19"/>
      <c r="J569" s="19"/>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c r="AN569" s="18"/>
      <c r="AO569" s="18"/>
      <c r="AP569" s="18"/>
      <c r="AQ569" s="18"/>
      <c r="AR569" s="18"/>
      <c r="AS569" s="18"/>
      <c r="AT569" s="18"/>
      <c r="AU569" s="18"/>
      <c r="AV569" s="18"/>
      <c r="AW569" s="18"/>
      <c r="AX569" s="18"/>
      <c r="AY569" s="18"/>
      <c r="AZ569" s="18"/>
      <c r="BA569" s="18"/>
      <c r="BB569" s="18"/>
      <c r="BC569" s="18"/>
      <c r="BD569" s="18"/>
      <c r="BE569" s="18"/>
      <c r="BF569" s="18"/>
      <c r="BG569" s="18"/>
      <c r="BH569" s="18"/>
      <c r="BI569" s="18"/>
      <c r="BJ569" s="18"/>
      <c r="BK569" s="18"/>
      <c r="BL569" s="18"/>
      <c r="BM569" s="18"/>
      <c r="BN569" s="18"/>
      <c r="BO569" s="18"/>
      <c r="BP569" s="18"/>
      <c r="BQ569" s="18"/>
      <c r="BR569" s="18"/>
      <c r="BS569" s="18"/>
      <c r="BT569" s="18"/>
      <c r="BU569" s="18"/>
      <c r="BV569" s="18"/>
      <c r="BW569" s="18"/>
      <c r="BX569" s="18"/>
      <c r="BY569" s="18"/>
      <c r="BZ569" s="18"/>
      <c r="CA569" s="18"/>
      <c r="CB569" s="18"/>
      <c r="CC569" s="18"/>
      <c r="CD569" s="18"/>
      <c r="CE569" s="18"/>
      <c r="CF569" s="18"/>
      <c r="CG569" s="18"/>
      <c r="CH569" s="18"/>
      <c r="CI569" s="18"/>
      <c r="CJ569" s="18"/>
      <c r="CK569" s="18"/>
      <c r="CL569" s="18"/>
      <c r="CM569" s="18"/>
      <c r="CN569" s="18"/>
      <c r="CO569" s="18"/>
      <c r="CP569" s="18"/>
      <c r="CQ569" s="18"/>
      <c r="CR569" s="18"/>
      <c r="CS569" s="18"/>
      <c r="CT569" s="18"/>
      <c r="CU569" s="18"/>
    </row>
    <row r="570" spans="1:99">
      <c r="A570" s="19"/>
      <c r="B570" s="19"/>
      <c r="C570" s="19"/>
      <c r="D570" s="19"/>
      <c r="E570" s="19"/>
      <c r="F570" s="19"/>
      <c r="G570" s="19"/>
      <c r="H570" s="19"/>
      <c r="I570" s="19"/>
      <c r="J570" s="19"/>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c r="BC570" s="18"/>
      <c r="BD570" s="18"/>
      <c r="BE570" s="18"/>
      <c r="BF570" s="18"/>
      <c r="BG570" s="18"/>
      <c r="BH570" s="18"/>
      <c r="BI570" s="18"/>
      <c r="BJ570" s="18"/>
      <c r="BK570" s="18"/>
      <c r="BL570" s="18"/>
      <c r="BM570" s="18"/>
      <c r="BN570" s="18"/>
      <c r="BO570" s="18"/>
      <c r="BP570" s="18"/>
      <c r="BQ570" s="18"/>
      <c r="BR570" s="18"/>
      <c r="BS570" s="18"/>
      <c r="BT570" s="18"/>
      <c r="BU570" s="18"/>
      <c r="BV570" s="18"/>
      <c r="BW570" s="18"/>
      <c r="BX570" s="18"/>
      <c r="BY570" s="18"/>
      <c r="BZ570" s="18"/>
      <c r="CA570" s="18"/>
      <c r="CB570" s="18"/>
      <c r="CC570" s="18"/>
      <c r="CD570" s="18"/>
      <c r="CE570" s="18"/>
      <c r="CF570" s="18"/>
      <c r="CG570" s="18"/>
      <c r="CH570" s="18"/>
      <c r="CI570" s="18"/>
      <c r="CJ570" s="18"/>
      <c r="CK570" s="18"/>
      <c r="CL570" s="18"/>
      <c r="CM570" s="18"/>
      <c r="CN570" s="18"/>
      <c r="CO570" s="18"/>
      <c r="CP570" s="18"/>
      <c r="CQ570" s="18"/>
      <c r="CR570" s="18"/>
      <c r="CS570" s="18"/>
      <c r="CT570" s="18"/>
      <c r="CU570" s="18"/>
    </row>
    <row r="571" spans="1:99">
      <c r="A571" s="19"/>
      <c r="B571" s="19"/>
      <c r="C571" s="19"/>
      <c r="D571" s="19"/>
      <c r="E571" s="19"/>
      <c r="F571" s="19"/>
      <c r="G571" s="19"/>
      <c r="H571" s="19"/>
      <c r="I571" s="19"/>
      <c r="J571" s="19"/>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c r="AN571" s="18"/>
      <c r="AO571" s="18"/>
      <c r="AP571" s="18"/>
      <c r="AQ571" s="18"/>
      <c r="AR571" s="18"/>
      <c r="AS571" s="18"/>
      <c r="AT571" s="18"/>
      <c r="AU571" s="18"/>
      <c r="AV571" s="18"/>
      <c r="AW571" s="18"/>
      <c r="AX571" s="18"/>
      <c r="AY571" s="18"/>
      <c r="AZ571" s="18"/>
      <c r="BA571" s="18"/>
      <c r="BB571" s="18"/>
      <c r="BC571" s="18"/>
      <c r="BD571" s="18"/>
      <c r="BE571" s="18"/>
      <c r="BF571" s="18"/>
      <c r="BG571" s="18"/>
      <c r="BH571" s="18"/>
      <c r="BI571" s="18"/>
      <c r="BJ571" s="18"/>
      <c r="BK571" s="18"/>
      <c r="BL571" s="18"/>
      <c r="BM571" s="18"/>
      <c r="BN571" s="18"/>
      <c r="BO571" s="18"/>
      <c r="BP571" s="18"/>
      <c r="BQ571" s="18"/>
      <c r="BR571" s="18"/>
      <c r="BS571" s="18"/>
      <c r="BT571" s="18"/>
      <c r="BU571" s="18"/>
      <c r="BV571" s="18"/>
      <c r="BW571" s="18"/>
      <c r="BX571" s="18"/>
      <c r="BY571" s="18"/>
      <c r="BZ571" s="18"/>
      <c r="CA571" s="18"/>
      <c r="CB571" s="18"/>
      <c r="CC571" s="18"/>
      <c r="CD571" s="18"/>
      <c r="CE571" s="18"/>
      <c r="CF571" s="18"/>
      <c r="CG571" s="18"/>
      <c r="CH571" s="18"/>
      <c r="CI571" s="18"/>
      <c r="CJ571" s="18"/>
      <c r="CK571" s="18"/>
      <c r="CL571" s="18"/>
      <c r="CM571" s="18"/>
      <c r="CN571" s="18"/>
      <c r="CO571" s="18"/>
      <c r="CP571" s="18"/>
      <c r="CQ571" s="18"/>
      <c r="CR571" s="18"/>
      <c r="CS571" s="18"/>
      <c r="CT571" s="18"/>
      <c r="CU571" s="18"/>
    </row>
    <row r="572" spans="1:99">
      <c r="A572" s="19"/>
      <c r="B572" s="19"/>
      <c r="C572" s="19"/>
      <c r="D572" s="19"/>
      <c r="E572" s="19"/>
      <c r="F572" s="19"/>
      <c r="G572" s="19"/>
      <c r="H572" s="19"/>
      <c r="I572" s="19"/>
      <c r="J572" s="19"/>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c r="BC572" s="18"/>
      <c r="BD572" s="18"/>
      <c r="BE572" s="18"/>
      <c r="BF572" s="18"/>
      <c r="BG572" s="18"/>
      <c r="BH572" s="18"/>
      <c r="BI572" s="18"/>
      <c r="BJ572" s="18"/>
      <c r="BK572" s="18"/>
      <c r="BL572" s="18"/>
      <c r="BM572" s="18"/>
      <c r="BN572" s="18"/>
      <c r="BO572" s="18"/>
      <c r="BP572" s="18"/>
      <c r="BQ572" s="18"/>
      <c r="BR572" s="18"/>
      <c r="BS572" s="18"/>
      <c r="BT572" s="18"/>
      <c r="BU572" s="18"/>
      <c r="BV572" s="18"/>
      <c r="BW572" s="18"/>
      <c r="BX572" s="18"/>
      <c r="BY572" s="18"/>
      <c r="BZ572" s="18"/>
      <c r="CA572" s="18"/>
      <c r="CB572" s="18"/>
      <c r="CC572" s="18"/>
      <c r="CD572" s="18"/>
      <c r="CE572" s="18"/>
      <c r="CF572" s="18"/>
      <c r="CG572" s="18"/>
      <c r="CH572" s="18"/>
      <c r="CI572" s="18"/>
      <c r="CJ572" s="18"/>
      <c r="CK572" s="18"/>
      <c r="CL572" s="18"/>
      <c r="CM572" s="18"/>
      <c r="CN572" s="18"/>
      <c r="CO572" s="18"/>
      <c r="CP572" s="18"/>
      <c r="CQ572" s="18"/>
      <c r="CR572" s="18"/>
      <c r="CS572" s="18"/>
      <c r="CT572" s="18"/>
      <c r="CU572" s="18"/>
    </row>
    <row r="573" spans="1:99">
      <c r="A573" s="19"/>
      <c r="B573" s="19"/>
      <c r="C573" s="19"/>
      <c r="D573" s="19"/>
      <c r="E573" s="19"/>
      <c r="F573" s="19"/>
      <c r="G573" s="19"/>
      <c r="H573" s="19"/>
      <c r="I573" s="19"/>
      <c r="J573" s="19"/>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c r="AN573" s="18"/>
      <c r="AO573" s="18"/>
      <c r="AP573" s="18"/>
      <c r="AQ573" s="18"/>
      <c r="AR573" s="18"/>
      <c r="AS573" s="18"/>
      <c r="AT573" s="18"/>
      <c r="AU573" s="18"/>
      <c r="AV573" s="18"/>
      <c r="AW573" s="18"/>
      <c r="AX573" s="18"/>
      <c r="AY573" s="18"/>
      <c r="AZ573" s="18"/>
      <c r="BA573" s="18"/>
      <c r="BB573" s="18"/>
      <c r="BC573" s="18"/>
      <c r="BD573" s="18"/>
      <c r="BE573" s="18"/>
      <c r="BF573" s="18"/>
      <c r="BG573" s="18"/>
      <c r="BH573" s="18"/>
      <c r="BI573" s="18"/>
      <c r="BJ573" s="18"/>
      <c r="BK573" s="18"/>
      <c r="BL573" s="18"/>
      <c r="BM573" s="18"/>
      <c r="BN573" s="18"/>
      <c r="BO573" s="18"/>
      <c r="BP573" s="18"/>
      <c r="BQ573" s="18"/>
      <c r="BR573" s="18"/>
      <c r="BS573" s="18"/>
      <c r="BT573" s="18"/>
      <c r="BU573" s="18"/>
      <c r="BV573" s="18"/>
      <c r="BW573" s="18"/>
      <c r="BX573" s="18"/>
      <c r="BY573" s="18"/>
      <c r="BZ573" s="18"/>
      <c r="CA573" s="18"/>
      <c r="CB573" s="18"/>
      <c r="CC573" s="18"/>
      <c r="CD573" s="18"/>
      <c r="CE573" s="18"/>
      <c r="CF573" s="18"/>
      <c r="CG573" s="18"/>
      <c r="CH573" s="18"/>
      <c r="CI573" s="18"/>
      <c r="CJ573" s="18"/>
      <c r="CK573" s="18"/>
      <c r="CL573" s="18"/>
      <c r="CM573" s="18"/>
      <c r="CN573" s="18"/>
      <c r="CO573" s="18"/>
      <c r="CP573" s="18"/>
      <c r="CQ573" s="18"/>
      <c r="CR573" s="18"/>
      <c r="CS573" s="18"/>
      <c r="CT573" s="18"/>
      <c r="CU573" s="18"/>
    </row>
    <row r="574" spans="1:99">
      <c r="A574" s="19"/>
      <c r="B574" s="19"/>
      <c r="C574" s="19"/>
      <c r="D574" s="19"/>
      <c r="E574" s="19"/>
      <c r="F574" s="19"/>
      <c r="G574" s="19"/>
      <c r="H574" s="19"/>
      <c r="I574" s="19"/>
      <c r="J574" s="19"/>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c r="BC574" s="18"/>
      <c r="BD574" s="18"/>
      <c r="BE574" s="18"/>
      <c r="BF574" s="18"/>
      <c r="BG574" s="18"/>
      <c r="BH574" s="18"/>
      <c r="BI574" s="18"/>
      <c r="BJ574" s="18"/>
      <c r="BK574" s="18"/>
      <c r="BL574" s="18"/>
      <c r="BM574" s="18"/>
      <c r="BN574" s="18"/>
      <c r="BO574" s="18"/>
      <c r="BP574" s="18"/>
      <c r="BQ574" s="18"/>
      <c r="BR574" s="18"/>
      <c r="BS574" s="18"/>
      <c r="BT574" s="18"/>
      <c r="BU574" s="18"/>
      <c r="BV574" s="18"/>
      <c r="BW574" s="18"/>
      <c r="BX574" s="18"/>
      <c r="BY574" s="18"/>
      <c r="BZ574" s="18"/>
      <c r="CA574" s="18"/>
      <c r="CB574" s="18"/>
      <c r="CC574" s="18"/>
      <c r="CD574" s="18"/>
      <c r="CE574" s="18"/>
      <c r="CF574" s="18"/>
      <c r="CG574" s="18"/>
      <c r="CH574" s="18"/>
      <c r="CI574" s="18"/>
      <c r="CJ574" s="18"/>
      <c r="CK574" s="18"/>
      <c r="CL574" s="18"/>
      <c r="CM574" s="18"/>
      <c r="CN574" s="18"/>
      <c r="CO574" s="18"/>
      <c r="CP574" s="18"/>
      <c r="CQ574" s="18"/>
      <c r="CR574" s="18"/>
      <c r="CS574" s="18"/>
      <c r="CT574" s="18"/>
      <c r="CU574" s="18"/>
    </row>
    <row r="575" spans="1:99">
      <c r="A575" s="19"/>
      <c r="B575" s="19"/>
      <c r="C575" s="19"/>
      <c r="D575" s="19"/>
      <c r="E575" s="19"/>
      <c r="F575" s="19"/>
      <c r="G575" s="19"/>
      <c r="H575" s="19"/>
      <c r="I575" s="19"/>
      <c r="J575" s="19"/>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c r="AN575" s="18"/>
      <c r="AO575" s="18"/>
      <c r="AP575" s="18"/>
      <c r="AQ575" s="18"/>
      <c r="AR575" s="18"/>
      <c r="AS575" s="18"/>
      <c r="AT575" s="18"/>
      <c r="AU575" s="18"/>
      <c r="AV575" s="18"/>
      <c r="AW575" s="18"/>
      <c r="AX575" s="18"/>
      <c r="AY575" s="18"/>
      <c r="AZ575" s="18"/>
      <c r="BA575" s="18"/>
      <c r="BB575" s="18"/>
      <c r="BC575" s="18"/>
      <c r="BD575" s="18"/>
      <c r="BE575" s="18"/>
      <c r="BF575" s="18"/>
      <c r="BG575" s="18"/>
      <c r="BH575" s="18"/>
      <c r="BI575" s="18"/>
      <c r="BJ575" s="18"/>
      <c r="BK575" s="18"/>
      <c r="BL575" s="18"/>
      <c r="BM575" s="18"/>
      <c r="BN575" s="18"/>
      <c r="BO575" s="18"/>
      <c r="BP575" s="18"/>
      <c r="BQ575" s="18"/>
      <c r="BR575" s="18"/>
      <c r="BS575" s="18"/>
      <c r="BT575" s="18"/>
      <c r="BU575" s="18"/>
      <c r="BV575" s="18"/>
      <c r="BW575" s="18"/>
      <c r="BX575" s="18"/>
      <c r="BY575" s="18"/>
      <c r="BZ575" s="18"/>
      <c r="CA575" s="18"/>
      <c r="CB575" s="18"/>
      <c r="CC575" s="18"/>
      <c r="CD575" s="18"/>
      <c r="CE575" s="18"/>
      <c r="CF575" s="18"/>
      <c r="CG575" s="18"/>
      <c r="CH575" s="18"/>
      <c r="CI575" s="18"/>
      <c r="CJ575" s="18"/>
      <c r="CK575" s="18"/>
      <c r="CL575" s="18"/>
      <c r="CM575" s="18"/>
      <c r="CN575" s="18"/>
      <c r="CO575" s="18"/>
      <c r="CP575" s="18"/>
      <c r="CQ575" s="18"/>
      <c r="CR575" s="18"/>
      <c r="CS575" s="18"/>
      <c r="CT575" s="18"/>
      <c r="CU575" s="18"/>
    </row>
    <row r="576" spans="1:99">
      <c r="A576" s="19"/>
      <c r="B576" s="19"/>
      <c r="C576" s="19"/>
      <c r="D576" s="19"/>
      <c r="E576" s="19"/>
      <c r="F576" s="19"/>
      <c r="G576" s="19"/>
      <c r="H576" s="19"/>
      <c r="I576" s="19"/>
      <c r="J576" s="19"/>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c r="BC576" s="18"/>
      <c r="BD576" s="18"/>
      <c r="BE576" s="18"/>
      <c r="BF576" s="18"/>
      <c r="BG576" s="18"/>
      <c r="BH576" s="18"/>
      <c r="BI576" s="18"/>
      <c r="BJ576" s="18"/>
      <c r="BK576" s="18"/>
      <c r="BL576" s="18"/>
      <c r="BM576" s="18"/>
      <c r="BN576" s="18"/>
      <c r="BO576" s="18"/>
      <c r="BP576" s="18"/>
      <c r="BQ576" s="18"/>
      <c r="BR576" s="18"/>
      <c r="BS576" s="18"/>
      <c r="BT576" s="18"/>
      <c r="BU576" s="18"/>
      <c r="BV576" s="18"/>
      <c r="BW576" s="18"/>
      <c r="BX576" s="18"/>
      <c r="BY576" s="18"/>
      <c r="BZ576" s="18"/>
      <c r="CA576" s="18"/>
      <c r="CB576" s="18"/>
      <c r="CC576" s="18"/>
      <c r="CD576" s="18"/>
      <c r="CE576" s="18"/>
      <c r="CF576" s="18"/>
      <c r="CG576" s="18"/>
      <c r="CH576" s="18"/>
      <c r="CI576" s="18"/>
      <c r="CJ576" s="18"/>
      <c r="CK576" s="18"/>
      <c r="CL576" s="18"/>
      <c r="CM576" s="18"/>
      <c r="CN576" s="18"/>
      <c r="CO576" s="18"/>
      <c r="CP576" s="18"/>
      <c r="CQ576" s="18"/>
      <c r="CR576" s="18"/>
      <c r="CS576" s="18"/>
      <c r="CT576" s="18"/>
      <c r="CU576" s="18"/>
    </row>
    <row r="577" spans="1:99">
      <c r="A577" s="19"/>
      <c r="B577" s="19"/>
      <c r="C577" s="19"/>
      <c r="D577" s="19"/>
      <c r="E577" s="19"/>
      <c r="F577" s="19"/>
      <c r="G577" s="19"/>
      <c r="H577" s="19"/>
      <c r="I577" s="19"/>
      <c r="J577" s="19"/>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c r="AN577" s="18"/>
      <c r="AO577" s="18"/>
      <c r="AP577" s="18"/>
      <c r="AQ577" s="18"/>
      <c r="AR577" s="18"/>
      <c r="AS577" s="18"/>
      <c r="AT577" s="18"/>
      <c r="AU577" s="18"/>
      <c r="AV577" s="18"/>
      <c r="AW577" s="18"/>
      <c r="AX577" s="18"/>
      <c r="AY577" s="18"/>
      <c r="AZ577" s="18"/>
      <c r="BA577" s="18"/>
      <c r="BB577" s="18"/>
      <c r="BC577" s="18"/>
      <c r="BD577" s="18"/>
      <c r="BE577" s="18"/>
      <c r="BF577" s="18"/>
      <c r="BG577" s="18"/>
      <c r="BH577" s="18"/>
      <c r="BI577" s="18"/>
      <c r="BJ577" s="18"/>
      <c r="BK577" s="18"/>
      <c r="BL577" s="18"/>
      <c r="BM577" s="18"/>
      <c r="BN577" s="18"/>
      <c r="BO577" s="18"/>
      <c r="BP577" s="18"/>
      <c r="BQ577" s="18"/>
      <c r="BR577" s="18"/>
      <c r="BS577" s="18"/>
      <c r="BT577" s="18"/>
      <c r="BU577" s="18"/>
      <c r="BV577" s="18"/>
      <c r="BW577" s="18"/>
      <c r="BX577" s="18"/>
      <c r="BY577" s="18"/>
      <c r="BZ577" s="18"/>
      <c r="CA577" s="18"/>
      <c r="CB577" s="18"/>
      <c r="CC577" s="18"/>
      <c r="CD577" s="18"/>
      <c r="CE577" s="18"/>
      <c r="CF577" s="18"/>
      <c r="CG577" s="18"/>
      <c r="CH577" s="18"/>
      <c r="CI577" s="18"/>
      <c r="CJ577" s="18"/>
      <c r="CK577" s="18"/>
      <c r="CL577" s="18"/>
      <c r="CM577" s="18"/>
      <c r="CN577" s="18"/>
      <c r="CO577" s="18"/>
      <c r="CP577" s="18"/>
      <c r="CQ577" s="18"/>
      <c r="CR577" s="18"/>
      <c r="CS577" s="18"/>
      <c r="CT577" s="18"/>
      <c r="CU577" s="18"/>
    </row>
    <row r="578" spans="1:99">
      <c r="A578" s="19"/>
      <c r="B578" s="19"/>
      <c r="C578" s="19"/>
      <c r="D578" s="19"/>
      <c r="E578" s="19"/>
      <c r="F578" s="19"/>
      <c r="G578" s="19"/>
      <c r="H578" s="19"/>
      <c r="I578" s="19"/>
      <c r="J578" s="19"/>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c r="BC578" s="18"/>
      <c r="BD578" s="18"/>
      <c r="BE578" s="18"/>
      <c r="BF578" s="18"/>
      <c r="BG578" s="18"/>
      <c r="BH578" s="18"/>
      <c r="BI578" s="18"/>
      <c r="BJ578" s="18"/>
      <c r="BK578" s="18"/>
      <c r="BL578" s="18"/>
      <c r="BM578" s="18"/>
      <c r="BN578" s="18"/>
      <c r="BO578" s="18"/>
      <c r="BP578" s="18"/>
      <c r="BQ578" s="18"/>
      <c r="BR578" s="18"/>
      <c r="BS578" s="18"/>
      <c r="BT578" s="18"/>
      <c r="BU578" s="18"/>
      <c r="BV578" s="18"/>
      <c r="BW578" s="18"/>
      <c r="BX578" s="18"/>
      <c r="BY578" s="18"/>
      <c r="BZ578" s="18"/>
      <c r="CA578" s="18"/>
      <c r="CB578" s="18"/>
      <c r="CC578" s="18"/>
      <c r="CD578" s="18"/>
      <c r="CE578" s="18"/>
      <c r="CF578" s="18"/>
      <c r="CG578" s="18"/>
      <c r="CH578" s="18"/>
      <c r="CI578" s="18"/>
      <c r="CJ578" s="18"/>
      <c r="CK578" s="18"/>
      <c r="CL578" s="18"/>
      <c r="CM578" s="18"/>
      <c r="CN578" s="18"/>
      <c r="CO578" s="18"/>
      <c r="CP578" s="18"/>
      <c r="CQ578" s="18"/>
      <c r="CR578" s="18"/>
      <c r="CS578" s="18"/>
      <c r="CT578" s="18"/>
      <c r="CU578" s="18"/>
    </row>
    <row r="579" spans="1:99">
      <c r="A579" s="19"/>
      <c r="B579" s="19"/>
      <c r="C579" s="19"/>
      <c r="D579" s="19"/>
      <c r="E579" s="19"/>
      <c r="F579" s="19"/>
      <c r="G579" s="19"/>
      <c r="H579" s="19"/>
      <c r="I579" s="19"/>
      <c r="J579" s="19"/>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8"/>
      <c r="AT579" s="18"/>
      <c r="AU579" s="18"/>
      <c r="AV579" s="18"/>
      <c r="AW579" s="18"/>
      <c r="AX579" s="18"/>
      <c r="AY579" s="18"/>
      <c r="AZ579" s="18"/>
      <c r="BA579" s="18"/>
      <c r="BB579" s="18"/>
      <c r="BC579" s="18"/>
      <c r="BD579" s="18"/>
      <c r="BE579" s="18"/>
      <c r="BF579" s="18"/>
      <c r="BG579" s="18"/>
      <c r="BH579" s="18"/>
      <c r="BI579" s="18"/>
      <c r="BJ579" s="18"/>
      <c r="BK579" s="18"/>
      <c r="BL579" s="18"/>
      <c r="BM579" s="18"/>
      <c r="BN579" s="18"/>
      <c r="BO579" s="18"/>
      <c r="BP579" s="18"/>
      <c r="BQ579" s="18"/>
      <c r="BR579" s="18"/>
      <c r="BS579" s="18"/>
      <c r="BT579" s="18"/>
      <c r="BU579" s="18"/>
      <c r="BV579" s="18"/>
      <c r="BW579" s="18"/>
      <c r="BX579" s="18"/>
      <c r="BY579" s="18"/>
      <c r="BZ579" s="18"/>
      <c r="CA579" s="18"/>
      <c r="CB579" s="18"/>
      <c r="CC579" s="18"/>
      <c r="CD579" s="18"/>
      <c r="CE579" s="18"/>
      <c r="CF579" s="18"/>
      <c r="CG579" s="18"/>
      <c r="CH579" s="18"/>
      <c r="CI579" s="18"/>
      <c r="CJ579" s="18"/>
      <c r="CK579" s="18"/>
      <c r="CL579" s="18"/>
      <c r="CM579" s="18"/>
      <c r="CN579" s="18"/>
      <c r="CO579" s="18"/>
      <c r="CP579" s="18"/>
      <c r="CQ579" s="18"/>
      <c r="CR579" s="18"/>
      <c r="CS579" s="18"/>
      <c r="CT579" s="18"/>
      <c r="CU579" s="18"/>
    </row>
    <row r="580" spans="1:99">
      <c r="A580" s="19"/>
      <c r="B580" s="19"/>
      <c r="C580" s="19"/>
      <c r="D580" s="19"/>
      <c r="E580" s="19"/>
      <c r="F580" s="19"/>
      <c r="G580" s="19"/>
      <c r="H580" s="19"/>
      <c r="I580" s="19"/>
      <c r="J580" s="19"/>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c r="BC580" s="18"/>
      <c r="BD580" s="18"/>
      <c r="BE580" s="18"/>
      <c r="BF580" s="18"/>
      <c r="BG580" s="18"/>
      <c r="BH580" s="18"/>
      <c r="BI580" s="18"/>
      <c r="BJ580" s="18"/>
      <c r="BK580" s="18"/>
      <c r="BL580" s="18"/>
      <c r="BM580" s="18"/>
      <c r="BN580" s="18"/>
      <c r="BO580" s="18"/>
      <c r="BP580" s="18"/>
      <c r="BQ580" s="18"/>
      <c r="BR580" s="18"/>
      <c r="BS580" s="18"/>
      <c r="BT580" s="18"/>
      <c r="BU580" s="18"/>
      <c r="BV580" s="18"/>
      <c r="BW580" s="18"/>
      <c r="BX580" s="18"/>
      <c r="BY580" s="18"/>
      <c r="BZ580" s="18"/>
      <c r="CA580" s="18"/>
      <c r="CB580" s="18"/>
      <c r="CC580" s="18"/>
      <c r="CD580" s="18"/>
      <c r="CE580" s="18"/>
      <c r="CF580" s="18"/>
      <c r="CG580" s="18"/>
      <c r="CH580" s="18"/>
      <c r="CI580" s="18"/>
      <c r="CJ580" s="18"/>
      <c r="CK580" s="18"/>
      <c r="CL580" s="18"/>
      <c r="CM580" s="18"/>
      <c r="CN580" s="18"/>
      <c r="CO580" s="18"/>
      <c r="CP580" s="18"/>
      <c r="CQ580" s="18"/>
      <c r="CR580" s="18"/>
      <c r="CS580" s="18"/>
      <c r="CT580" s="18"/>
      <c r="CU580" s="18"/>
    </row>
    <row r="581" spans="1:99">
      <c r="A581" s="19"/>
      <c r="B581" s="19"/>
      <c r="C581" s="19"/>
      <c r="D581" s="19"/>
      <c r="E581" s="19"/>
      <c r="F581" s="19"/>
      <c r="G581" s="19"/>
      <c r="H581" s="19"/>
      <c r="I581" s="19"/>
      <c r="J581" s="19"/>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c r="AN581" s="18"/>
      <c r="AO581" s="18"/>
      <c r="AP581" s="18"/>
      <c r="AQ581" s="18"/>
      <c r="AR581" s="18"/>
      <c r="AS581" s="18"/>
      <c r="AT581" s="18"/>
      <c r="AU581" s="18"/>
      <c r="AV581" s="18"/>
      <c r="AW581" s="18"/>
      <c r="AX581" s="18"/>
      <c r="AY581" s="18"/>
      <c r="AZ581" s="18"/>
      <c r="BA581" s="18"/>
      <c r="BB581" s="18"/>
      <c r="BC581" s="18"/>
      <c r="BD581" s="18"/>
      <c r="BE581" s="18"/>
      <c r="BF581" s="18"/>
      <c r="BG581" s="18"/>
      <c r="BH581" s="18"/>
      <c r="BI581" s="18"/>
      <c r="BJ581" s="18"/>
      <c r="BK581" s="18"/>
      <c r="BL581" s="18"/>
      <c r="BM581" s="18"/>
      <c r="BN581" s="18"/>
      <c r="BO581" s="18"/>
      <c r="BP581" s="18"/>
      <c r="BQ581" s="18"/>
      <c r="BR581" s="18"/>
      <c r="BS581" s="18"/>
      <c r="BT581" s="18"/>
      <c r="BU581" s="18"/>
      <c r="BV581" s="18"/>
      <c r="BW581" s="18"/>
      <c r="BX581" s="18"/>
      <c r="BY581" s="18"/>
      <c r="BZ581" s="18"/>
      <c r="CA581" s="18"/>
      <c r="CB581" s="18"/>
      <c r="CC581" s="18"/>
      <c r="CD581" s="18"/>
      <c r="CE581" s="18"/>
      <c r="CF581" s="18"/>
      <c r="CG581" s="18"/>
      <c r="CH581" s="18"/>
      <c r="CI581" s="18"/>
      <c r="CJ581" s="18"/>
      <c r="CK581" s="18"/>
      <c r="CL581" s="18"/>
      <c r="CM581" s="18"/>
      <c r="CN581" s="18"/>
      <c r="CO581" s="18"/>
      <c r="CP581" s="18"/>
      <c r="CQ581" s="18"/>
      <c r="CR581" s="18"/>
      <c r="CS581" s="18"/>
      <c r="CT581" s="18"/>
      <c r="CU581" s="18"/>
    </row>
    <row r="582" spans="1:99">
      <c r="A582" s="19"/>
      <c r="B582" s="19"/>
      <c r="C582" s="19"/>
      <c r="D582" s="19"/>
      <c r="E582" s="19"/>
      <c r="F582" s="19"/>
      <c r="G582" s="19"/>
      <c r="H582" s="19"/>
      <c r="I582" s="19"/>
      <c r="J582" s="19"/>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c r="BC582" s="18"/>
      <c r="BD582" s="18"/>
      <c r="BE582" s="18"/>
      <c r="BF582" s="18"/>
      <c r="BG582" s="18"/>
      <c r="BH582" s="18"/>
      <c r="BI582" s="18"/>
      <c r="BJ582" s="18"/>
      <c r="BK582" s="18"/>
      <c r="BL582" s="18"/>
      <c r="BM582" s="18"/>
      <c r="BN582" s="18"/>
      <c r="BO582" s="18"/>
      <c r="BP582" s="18"/>
      <c r="BQ582" s="18"/>
      <c r="BR582" s="18"/>
      <c r="BS582" s="18"/>
      <c r="BT582" s="18"/>
      <c r="BU582" s="18"/>
      <c r="BV582" s="18"/>
      <c r="BW582" s="18"/>
      <c r="BX582" s="18"/>
      <c r="BY582" s="18"/>
      <c r="BZ582" s="18"/>
      <c r="CA582" s="18"/>
      <c r="CB582" s="18"/>
      <c r="CC582" s="18"/>
      <c r="CD582" s="18"/>
      <c r="CE582" s="18"/>
      <c r="CF582" s="18"/>
      <c r="CG582" s="18"/>
      <c r="CH582" s="18"/>
      <c r="CI582" s="18"/>
      <c r="CJ582" s="18"/>
      <c r="CK582" s="18"/>
      <c r="CL582" s="18"/>
      <c r="CM582" s="18"/>
      <c r="CN582" s="18"/>
      <c r="CO582" s="18"/>
      <c r="CP582" s="18"/>
      <c r="CQ582" s="18"/>
      <c r="CR582" s="18"/>
      <c r="CS582" s="18"/>
      <c r="CT582" s="18"/>
      <c r="CU582" s="18"/>
    </row>
    <row r="583" spans="1:99">
      <c r="A583" s="19"/>
      <c r="B583" s="19"/>
      <c r="C583" s="19"/>
      <c r="D583" s="19"/>
      <c r="E583" s="19"/>
      <c r="F583" s="19"/>
      <c r="G583" s="19"/>
      <c r="H583" s="19"/>
      <c r="I583" s="19"/>
      <c r="J583" s="19"/>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c r="AN583" s="18"/>
      <c r="AO583" s="18"/>
      <c r="AP583" s="18"/>
      <c r="AQ583" s="18"/>
      <c r="AR583" s="18"/>
      <c r="AS583" s="18"/>
      <c r="AT583" s="18"/>
      <c r="AU583" s="18"/>
      <c r="AV583" s="18"/>
      <c r="AW583" s="18"/>
      <c r="AX583" s="18"/>
      <c r="AY583" s="18"/>
      <c r="AZ583" s="18"/>
      <c r="BA583" s="18"/>
      <c r="BB583" s="18"/>
      <c r="BC583" s="18"/>
      <c r="BD583" s="18"/>
      <c r="BE583" s="18"/>
      <c r="BF583" s="18"/>
      <c r="BG583" s="18"/>
      <c r="BH583" s="18"/>
      <c r="BI583" s="18"/>
      <c r="BJ583" s="18"/>
      <c r="BK583" s="18"/>
      <c r="BL583" s="18"/>
      <c r="BM583" s="18"/>
      <c r="BN583" s="18"/>
      <c r="BO583" s="18"/>
      <c r="BP583" s="18"/>
      <c r="BQ583" s="18"/>
      <c r="BR583" s="18"/>
      <c r="BS583" s="18"/>
      <c r="BT583" s="18"/>
      <c r="BU583" s="18"/>
      <c r="BV583" s="18"/>
      <c r="BW583" s="18"/>
      <c r="BX583" s="18"/>
      <c r="BY583" s="18"/>
      <c r="BZ583" s="18"/>
      <c r="CA583" s="18"/>
      <c r="CB583" s="18"/>
      <c r="CC583" s="18"/>
      <c r="CD583" s="18"/>
      <c r="CE583" s="18"/>
      <c r="CF583" s="18"/>
      <c r="CG583" s="18"/>
      <c r="CH583" s="18"/>
      <c r="CI583" s="18"/>
      <c r="CJ583" s="18"/>
      <c r="CK583" s="18"/>
      <c r="CL583" s="18"/>
      <c r="CM583" s="18"/>
      <c r="CN583" s="18"/>
      <c r="CO583" s="18"/>
      <c r="CP583" s="18"/>
      <c r="CQ583" s="18"/>
      <c r="CR583" s="18"/>
      <c r="CS583" s="18"/>
      <c r="CT583" s="18"/>
      <c r="CU583" s="18"/>
    </row>
    <row r="584" spans="1:99">
      <c r="A584" s="19"/>
      <c r="B584" s="19"/>
      <c r="C584" s="19"/>
      <c r="D584" s="19"/>
      <c r="E584" s="19"/>
      <c r="F584" s="19"/>
      <c r="G584" s="19"/>
      <c r="H584" s="19"/>
      <c r="I584" s="19"/>
      <c r="J584" s="19"/>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c r="BC584" s="18"/>
      <c r="BD584" s="18"/>
      <c r="BE584" s="18"/>
      <c r="BF584" s="18"/>
      <c r="BG584" s="18"/>
      <c r="BH584" s="18"/>
      <c r="BI584" s="18"/>
      <c r="BJ584" s="18"/>
      <c r="BK584" s="18"/>
      <c r="BL584" s="18"/>
      <c r="BM584" s="18"/>
      <c r="BN584" s="18"/>
      <c r="BO584" s="18"/>
      <c r="BP584" s="18"/>
      <c r="BQ584" s="18"/>
      <c r="BR584" s="18"/>
      <c r="BS584" s="18"/>
      <c r="BT584" s="18"/>
      <c r="BU584" s="18"/>
      <c r="BV584" s="18"/>
      <c r="BW584" s="18"/>
      <c r="BX584" s="18"/>
      <c r="BY584" s="18"/>
      <c r="BZ584" s="18"/>
      <c r="CA584" s="18"/>
      <c r="CB584" s="18"/>
      <c r="CC584" s="18"/>
      <c r="CD584" s="18"/>
      <c r="CE584" s="18"/>
      <c r="CF584" s="18"/>
      <c r="CG584" s="18"/>
      <c r="CH584" s="18"/>
      <c r="CI584" s="18"/>
      <c r="CJ584" s="18"/>
      <c r="CK584" s="18"/>
      <c r="CL584" s="18"/>
      <c r="CM584" s="18"/>
      <c r="CN584" s="18"/>
      <c r="CO584" s="18"/>
      <c r="CP584" s="18"/>
      <c r="CQ584" s="18"/>
      <c r="CR584" s="18"/>
      <c r="CS584" s="18"/>
      <c r="CT584" s="18"/>
      <c r="CU584" s="18"/>
    </row>
    <row r="585" spans="1:99">
      <c r="A585" s="19"/>
      <c r="B585" s="19"/>
      <c r="C585" s="19"/>
      <c r="D585" s="19"/>
      <c r="E585" s="19"/>
      <c r="F585" s="19"/>
      <c r="G585" s="19"/>
      <c r="H585" s="19"/>
      <c r="I585" s="19"/>
      <c r="J585" s="19"/>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c r="AN585" s="18"/>
      <c r="AO585" s="18"/>
      <c r="AP585" s="18"/>
      <c r="AQ585" s="18"/>
      <c r="AR585" s="18"/>
      <c r="AS585" s="18"/>
      <c r="AT585" s="18"/>
      <c r="AU585" s="18"/>
      <c r="AV585" s="18"/>
      <c r="AW585" s="18"/>
      <c r="AX585" s="18"/>
      <c r="AY585" s="18"/>
      <c r="AZ585" s="18"/>
      <c r="BA585" s="18"/>
      <c r="BB585" s="18"/>
      <c r="BC585" s="18"/>
      <c r="BD585" s="18"/>
      <c r="BE585" s="18"/>
      <c r="BF585" s="18"/>
      <c r="BG585" s="18"/>
      <c r="BH585" s="18"/>
      <c r="BI585" s="18"/>
      <c r="BJ585" s="18"/>
      <c r="BK585" s="18"/>
      <c r="BL585" s="18"/>
      <c r="BM585" s="18"/>
      <c r="BN585" s="18"/>
      <c r="BO585" s="18"/>
      <c r="BP585" s="18"/>
      <c r="BQ585" s="18"/>
      <c r="BR585" s="18"/>
      <c r="BS585" s="18"/>
      <c r="BT585" s="18"/>
      <c r="BU585" s="18"/>
      <c r="BV585" s="18"/>
      <c r="BW585" s="18"/>
      <c r="BX585" s="18"/>
      <c r="BY585" s="18"/>
      <c r="BZ585" s="18"/>
      <c r="CA585" s="18"/>
      <c r="CB585" s="18"/>
      <c r="CC585" s="18"/>
      <c r="CD585" s="18"/>
      <c r="CE585" s="18"/>
      <c r="CF585" s="18"/>
      <c r="CG585" s="18"/>
      <c r="CH585" s="18"/>
      <c r="CI585" s="18"/>
      <c r="CJ585" s="18"/>
      <c r="CK585" s="18"/>
      <c r="CL585" s="18"/>
      <c r="CM585" s="18"/>
      <c r="CN585" s="18"/>
      <c r="CO585" s="18"/>
      <c r="CP585" s="18"/>
      <c r="CQ585" s="18"/>
      <c r="CR585" s="18"/>
      <c r="CS585" s="18"/>
      <c r="CT585" s="18"/>
      <c r="CU585" s="18"/>
    </row>
    <row r="586" spans="1:99">
      <c r="A586" s="19"/>
      <c r="B586" s="19"/>
      <c r="C586" s="19"/>
      <c r="D586" s="19"/>
      <c r="E586" s="19"/>
      <c r="F586" s="19"/>
      <c r="G586" s="19"/>
      <c r="H586" s="19"/>
      <c r="I586" s="19"/>
      <c r="J586" s="19"/>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c r="BC586" s="18"/>
      <c r="BD586" s="18"/>
      <c r="BE586" s="18"/>
      <c r="BF586" s="18"/>
      <c r="BG586" s="18"/>
      <c r="BH586" s="18"/>
      <c r="BI586" s="18"/>
      <c r="BJ586" s="18"/>
      <c r="BK586" s="18"/>
      <c r="BL586" s="18"/>
      <c r="BM586" s="18"/>
      <c r="BN586" s="18"/>
      <c r="BO586" s="18"/>
      <c r="BP586" s="18"/>
      <c r="BQ586" s="18"/>
      <c r="BR586" s="18"/>
      <c r="BS586" s="18"/>
      <c r="BT586" s="18"/>
      <c r="BU586" s="18"/>
      <c r="BV586" s="18"/>
      <c r="BW586" s="18"/>
      <c r="BX586" s="18"/>
      <c r="BY586" s="18"/>
      <c r="BZ586" s="18"/>
      <c r="CA586" s="18"/>
      <c r="CB586" s="18"/>
      <c r="CC586" s="18"/>
      <c r="CD586" s="18"/>
      <c r="CE586" s="18"/>
      <c r="CF586" s="18"/>
      <c r="CG586" s="18"/>
      <c r="CH586" s="18"/>
      <c r="CI586" s="18"/>
      <c r="CJ586" s="18"/>
      <c r="CK586" s="18"/>
      <c r="CL586" s="18"/>
      <c r="CM586" s="18"/>
      <c r="CN586" s="18"/>
      <c r="CO586" s="18"/>
      <c r="CP586" s="18"/>
      <c r="CQ586" s="18"/>
      <c r="CR586" s="18"/>
      <c r="CS586" s="18"/>
      <c r="CT586" s="18"/>
      <c r="CU586" s="18"/>
    </row>
    <row r="587" spans="1:99">
      <c r="A587" s="19"/>
      <c r="B587" s="19"/>
      <c r="C587" s="19"/>
      <c r="D587" s="19"/>
      <c r="E587" s="19"/>
      <c r="F587" s="19"/>
      <c r="G587" s="19"/>
      <c r="H587" s="19"/>
      <c r="I587" s="19"/>
      <c r="J587" s="19"/>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c r="AN587" s="18"/>
      <c r="AO587" s="18"/>
      <c r="AP587" s="18"/>
      <c r="AQ587" s="18"/>
      <c r="AR587" s="18"/>
      <c r="AS587" s="18"/>
      <c r="AT587" s="18"/>
      <c r="AU587" s="18"/>
      <c r="AV587" s="18"/>
      <c r="AW587" s="18"/>
      <c r="AX587" s="18"/>
      <c r="AY587" s="18"/>
      <c r="AZ587" s="18"/>
      <c r="BA587" s="18"/>
      <c r="BB587" s="18"/>
      <c r="BC587" s="18"/>
      <c r="BD587" s="18"/>
      <c r="BE587" s="18"/>
      <c r="BF587" s="18"/>
      <c r="BG587" s="18"/>
      <c r="BH587" s="18"/>
      <c r="BI587" s="18"/>
      <c r="BJ587" s="18"/>
      <c r="BK587" s="18"/>
      <c r="BL587" s="18"/>
      <c r="BM587" s="18"/>
      <c r="BN587" s="18"/>
      <c r="BO587" s="18"/>
      <c r="BP587" s="18"/>
      <c r="BQ587" s="18"/>
      <c r="BR587" s="18"/>
      <c r="BS587" s="18"/>
      <c r="BT587" s="18"/>
      <c r="BU587" s="18"/>
      <c r="BV587" s="18"/>
      <c r="BW587" s="18"/>
      <c r="BX587" s="18"/>
      <c r="BY587" s="18"/>
      <c r="BZ587" s="18"/>
      <c r="CA587" s="18"/>
      <c r="CB587" s="18"/>
      <c r="CC587" s="18"/>
      <c r="CD587" s="18"/>
      <c r="CE587" s="18"/>
      <c r="CF587" s="18"/>
      <c r="CG587" s="18"/>
      <c r="CH587" s="18"/>
      <c r="CI587" s="18"/>
      <c r="CJ587" s="18"/>
      <c r="CK587" s="18"/>
      <c r="CL587" s="18"/>
      <c r="CM587" s="18"/>
      <c r="CN587" s="18"/>
      <c r="CO587" s="18"/>
      <c r="CP587" s="18"/>
      <c r="CQ587" s="18"/>
      <c r="CR587" s="18"/>
      <c r="CS587" s="18"/>
      <c r="CT587" s="18"/>
      <c r="CU587" s="18"/>
    </row>
    <row r="588" spans="1:99">
      <c r="A588" s="19"/>
      <c r="B588" s="19"/>
      <c r="C588" s="19"/>
      <c r="D588" s="19"/>
      <c r="E588" s="19"/>
      <c r="F588" s="19"/>
      <c r="G588" s="19"/>
      <c r="H588" s="19"/>
      <c r="I588" s="19"/>
      <c r="J588" s="19"/>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c r="BC588" s="18"/>
      <c r="BD588" s="18"/>
      <c r="BE588" s="18"/>
      <c r="BF588" s="18"/>
      <c r="BG588" s="18"/>
      <c r="BH588" s="18"/>
      <c r="BI588" s="18"/>
      <c r="BJ588" s="18"/>
      <c r="BK588" s="18"/>
      <c r="BL588" s="18"/>
      <c r="BM588" s="18"/>
      <c r="BN588" s="18"/>
      <c r="BO588" s="18"/>
      <c r="BP588" s="18"/>
      <c r="BQ588" s="18"/>
      <c r="BR588" s="18"/>
      <c r="BS588" s="18"/>
      <c r="BT588" s="18"/>
      <c r="BU588" s="18"/>
      <c r="BV588" s="18"/>
      <c r="BW588" s="18"/>
      <c r="BX588" s="18"/>
      <c r="BY588" s="18"/>
      <c r="BZ588" s="18"/>
      <c r="CA588" s="18"/>
      <c r="CB588" s="18"/>
      <c r="CC588" s="18"/>
      <c r="CD588" s="18"/>
      <c r="CE588" s="18"/>
      <c r="CF588" s="18"/>
      <c r="CG588" s="18"/>
      <c r="CH588" s="18"/>
      <c r="CI588" s="18"/>
      <c r="CJ588" s="18"/>
      <c r="CK588" s="18"/>
      <c r="CL588" s="18"/>
      <c r="CM588" s="18"/>
      <c r="CN588" s="18"/>
      <c r="CO588" s="18"/>
      <c r="CP588" s="18"/>
      <c r="CQ588" s="18"/>
      <c r="CR588" s="18"/>
      <c r="CS588" s="18"/>
      <c r="CT588" s="18"/>
      <c r="CU588" s="18"/>
    </row>
    <row r="589" spans="1:99">
      <c r="A589" s="19"/>
      <c r="B589" s="19"/>
      <c r="C589" s="19"/>
      <c r="D589" s="19"/>
      <c r="E589" s="19"/>
      <c r="F589" s="19"/>
      <c r="G589" s="19"/>
      <c r="H589" s="19"/>
      <c r="I589" s="19"/>
      <c r="J589" s="19"/>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c r="AN589" s="18"/>
      <c r="AO589" s="18"/>
      <c r="AP589" s="18"/>
      <c r="AQ589" s="18"/>
      <c r="AR589" s="18"/>
      <c r="AS589" s="18"/>
      <c r="AT589" s="18"/>
      <c r="AU589" s="18"/>
      <c r="AV589" s="18"/>
      <c r="AW589" s="18"/>
      <c r="AX589" s="18"/>
      <c r="AY589" s="18"/>
      <c r="AZ589" s="18"/>
      <c r="BA589" s="18"/>
      <c r="BB589" s="18"/>
      <c r="BC589" s="18"/>
      <c r="BD589" s="18"/>
      <c r="BE589" s="18"/>
      <c r="BF589" s="18"/>
      <c r="BG589" s="18"/>
      <c r="BH589" s="18"/>
      <c r="BI589" s="18"/>
      <c r="BJ589" s="18"/>
      <c r="BK589" s="18"/>
      <c r="BL589" s="18"/>
      <c r="BM589" s="18"/>
      <c r="BN589" s="18"/>
      <c r="BO589" s="18"/>
      <c r="BP589" s="18"/>
      <c r="BQ589" s="18"/>
      <c r="BR589" s="18"/>
      <c r="BS589" s="18"/>
      <c r="BT589" s="18"/>
      <c r="BU589" s="18"/>
      <c r="BV589" s="18"/>
      <c r="BW589" s="18"/>
      <c r="BX589" s="18"/>
      <c r="BY589" s="18"/>
      <c r="BZ589" s="18"/>
      <c r="CA589" s="18"/>
      <c r="CB589" s="18"/>
      <c r="CC589" s="18"/>
      <c r="CD589" s="18"/>
      <c r="CE589" s="18"/>
      <c r="CF589" s="18"/>
      <c r="CG589" s="18"/>
      <c r="CH589" s="18"/>
      <c r="CI589" s="18"/>
      <c r="CJ589" s="18"/>
      <c r="CK589" s="18"/>
      <c r="CL589" s="18"/>
      <c r="CM589" s="18"/>
      <c r="CN589" s="18"/>
      <c r="CO589" s="18"/>
      <c r="CP589" s="18"/>
      <c r="CQ589" s="18"/>
      <c r="CR589" s="18"/>
      <c r="CS589" s="18"/>
      <c r="CT589" s="18"/>
      <c r="CU589" s="18"/>
    </row>
    <row r="590" spans="1:99">
      <c r="A590" s="19"/>
      <c r="B590" s="19"/>
      <c r="C590" s="19"/>
      <c r="D590" s="19"/>
      <c r="E590" s="19"/>
      <c r="F590" s="19"/>
      <c r="G590" s="19"/>
      <c r="H590" s="19"/>
      <c r="I590" s="19"/>
      <c r="J590" s="19"/>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c r="BC590" s="18"/>
      <c r="BD590" s="18"/>
      <c r="BE590" s="18"/>
      <c r="BF590" s="18"/>
      <c r="BG590" s="18"/>
      <c r="BH590" s="18"/>
      <c r="BI590" s="18"/>
      <c r="BJ590" s="18"/>
      <c r="BK590" s="18"/>
      <c r="BL590" s="18"/>
      <c r="BM590" s="18"/>
      <c r="BN590" s="18"/>
      <c r="BO590" s="18"/>
      <c r="BP590" s="18"/>
      <c r="BQ590" s="18"/>
      <c r="BR590" s="18"/>
      <c r="BS590" s="18"/>
      <c r="BT590" s="18"/>
      <c r="BU590" s="18"/>
      <c r="BV590" s="18"/>
      <c r="BW590" s="18"/>
      <c r="BX590" s="18"/>
      <c r="BY590" s="18"/>
      <c r="BZ590" s="18"/>
      <c r="CA590" s="18"/>
      <c r="CB590" s="18"/>
      <c r="CC590" s="18"/>
      <c r="CD590" s="18"/>
      <c r="CE590" s="18"/>
      <c r="CF590" s="18"/>
      <c r="CG590" s="18"/>
      <c r="CH590" s="18"/>
      <c r="CI590" s="18"/>
      <c r="CJ590" s="18"/>
      <c r="CK590" s="18"/>
      <c r="CL590" s="18"/>
      <c r="CM590" s="18"/>
      <c r="CN590" s="18"/>
      <c r="CO590" s="18"/>
      <c r="CP590" s="18"/>
      <c r="CQ590" s="18"/>
      <c r="CR590" s="18"/>
      <c r="CS590" s="18"/>
      <c r="CT590" s="18"/>
      <c r="CU590" s="18"/>
    </row>
    <row r="591" spans="1:99">
      <c r="A591" s="19"/>
      <c r="B591" s="19"/>
      <c r="C591" s="19"/>
      <c r="D591" s="19"/>
      <c r="E591" s="19"/>
      <c r="F591" s="19"/>
      <c r="G591" s="19"/>
      <c r="H591" s="19"/>
      <c r="I591" s="19"/>
      <c r="J591" s="19"/>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c r="AN591" s="18"/>
      <c r="AO591" s="18"/>
      <c r="AP591" s="18"/>
      <c r="AQ591" s="18"/>
      <c r="AR591" s="18"/>
      <c r="AS591" s="18"/>
      <c r="AT591" s="18"/>
      <c r="AU591" s="18"/>
      <c r="AV591" s="18"/>
      <c r="AW591" s="18"/>
      <c r="AX591" s="18"/>
      <c r="AY591" s="18"/>
      <c r="AZ591" s="18"/>
      <c r="BA591" s="18"/>
      <c r="BB591" s="18"/>
      <c r="BC591" s="18"/>
      <c r="BD591" s="18"/>
      <c r="BE591" s="18"/>
      <c r="BF591" s="18"/>
      <c r="BG591" s="18"/>
      <c r="BH591" s="18"/>
      <c r="BI591" s="18"/>
      <c r="BJ591" s="18"/>
      <c r="BK591" s="18"/>
      <c r="BL591" s="18"/>
      <c r="BM591" s="18"/>
      <c r="BN591" s="18"/>
      <c r="BO591" s="18"/>
      <c r="BP591" s="18"/>
      <c r="BQ591" s="18"/>
      <c r="BR591" s="18"/>
      <c r="BS591" s="18"/>
      <c r="BT591" s="18"/>
      <c r="BU591" s="18"/>
      <c r="BV591" s="18"/>
      <c r="BW591" s="18"/>
      <c r="BX591" s="18"/>
      <c r="BY591" s="18"/>
      <c r="BZ591" s="18"/>
      <c r="CA591" s="18"/>
      <c r="CB591" s="18"/>
      <c r="CC591" s="18"/>
      <c r="CD591" s="18"/>
      <c r="CE591" s="18"/>
      <c r="CF591" s="18"/>
      <c r="CG591" s="18"/>
      <c r="CH591" s="18"/>
      <c r="CI591" s="18"/>
      <c r="CJ591" s="18"/>
      <c r="CK591" s="18"/>
      <c r="CL591" s="18"/>
      <c r="CM591" s="18"/>
      <c r="CN591" s="18"/>
      <c r="CO591" s="18"/>
      <c r="CP591" s="18"/>
      <c r="CQ591" s="18"/>
      <c r="CR591" s="18"/>
      <c r="CS591" s="18"/>
      <c r="CT591" s="18"/>
      <c r="CU591" s="18"/>
    </row>
    <row r="592" spans="1:99">
      <c r="A592" s="19"/>
      <c r="B592" s="19"/>
      <c r="C592" s="19"/>
      <c r="D592" s="19"/>
      <c r="E592" s="19"/>
      <c r="F592" s="19"/>
      <c r="G592" s="19"/>
      <c r="H592" s="19"/>
      <c r="I592" s="19"/>
      <c r="J592" s="19"/>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c r="AN592" s="18"/>
      <c r="AO592" s="18"/>
      <c r="AP592" s="18"/>
      <c r="AQ592" s="18"/>
      <c r="AR592" s="18"/>
      <c r="AS592" s="18"/>
      <c r="AT592" s="18"/>
      <c r="AU592" s="18"/>
      <c r="AV592" s="18"/>
      <c r="AW592" s="18"/>
      <c r="AX592" s="18"/>
      <c r="AY592" s="18"/>
      <c r="AZ592" s="18"/>
      <c r="BA592" s="18"/>
      <c r="BB592" s="18"/>
      <c r="BC592" s="18"/>
      <c r="BD592" s="18"/>
      <c r="BE592" s="18"/>
      <c r="BF592" s="18"/>
      <c r="BG592" s="18"/>
      <c r="BH592" s="18"/>
      <c r="BI592" s="18"/>
      <c r="BJ592" s="18"/>
      <c r="BK592" s="18"/>
      <c r="BL592" s="18"/>
      <c r="BM592" s="18"/>
      <c r="BN592" s="18"/>
      <c r="BO592" s="18"/>
      <c r="BP592" s="18"/>
      <c r="BQ592" s="18"/>
      <c r="BR592" s="18"/>
      <c r="BS592" s="18"/>
      <c r="BT592" s="18"/>
      <c r="BU592" s="18"/>
      <c r="BV592" s="18"/>
      <c r="BW592" s="18"/>
      <c r="BX592" s="18"/>
      <c r="BY592" s="18"/>
      <c r="BZ592" s="18"/>
      <c r="CA592" s="18"/>
      <c r="CB592" s="18"/>
      <c r="CC592" s="18"/>
      <c r="CD592" s="18"/>
      <c r="CE592" s="18"/>
      <c r="CF592" s="18"/>
      <c r="CG592" s="18"/>
      <c r="CH592" s="18"/>
      <c r="CI592" s="18"/>
      <c r="CJ592" s="18"/>
      <c r="CK592" s="18"/>
      <c r="CL592" s="18"/>
      <c r="CM592" s="18"/>
      <c r="CN592" s="18"/>
      <c r="CO592" s="18"/>
      <c r="CP592" s="18"/>
      <c r="CQ592" s="18"/>
      <c r="CR592" s="18"/>
      <c r="CS592" s="18"/>
      <c r="CT592" s="18"/>
      <c r="CU592" s="18"/>
    </row>
    <row r="593" spans="1:99">
      <c r="A593" s="19"/>
      <c r="B593" s="19"/>
      <c r="C593" s="19"/>
      <c r="D593" s="19"/>
      <c r="E593" s="19"/>
      <c r="F593" s="19"/>
      <c r="G593" s="19"/>
      <c r="H593" s="19"/>
      <c r="I593" s="19"/>
      <c r="J593" s="19"/>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c r="AN593" s="18"/>
      <c r="AO593" s="18"/>
      <c r="AP593" s="18"/>
      <c r="AQ593" s="18"/>
      <c r="AR593" s="18"/>
      <c r="AS593" s="18"/>
      <c r="AT593" s="18"/>
      <c r="AU593" s="18"/>
      <c r="AV593" s="18"/>
      <c r="AW593" s="18"/>
      <c r="AX593" s="18"/>
      <c r="AY593" s="18"/>
      <c r="AZ593" s="18"/>
      <c r="BA593" s="18"/>
      <c r="BB593" s="18"/>
      <c r="BC593" s="18"/>
      <c r="BD593" s="18"/>
      <c r="BE593" s="18"/>
      <c r="BF593" s="18"/>
      <c r="BG593" s="18"/>
      <c r="BH593" s="18"/>
      <c r="BI593" s="18"/>
      <c r="BJ593" s="18"/>
      <c r="BK593" s="18"/>
      <c r="BL593" s="18"/>
      <c r="BM593" s="18"/>
      <c r="BN593" s="18"/>
      <c r="BO593" s="18"/>
      <c r="BP593" s="18"/>
      <c r="BQ593" s="18"/>
      <c r="BR593" s="18"/>
      <c r="BS593" s="18"/>
      <c r="BT593" s="18"/>
      <c r="BU593" s="18"/>
      <c r="BV593" s="18"/>
      <c r="BW593" s="18"/>
      <c r="BX593" s="18"/>
      <c r="BY593" s="18"/>
      <c r="BZ593" s="18"/>
      <c r="CA593" s="18"/>
      <c r="CB593" s="18"/>
      <c r="CC593" s="18"/>
      <c r="CD593" s="18"/>
      <c r="CE593" s="18"/>
      <c r="CF593" s="18"/>
      <c r="CG593" s="18"/>
      <c r="CH593" s="18"/>
      <c r="CI593" s="18"/>
      <c r="CJ593" s="18"/>
      <c r="CK593" s="18"/>
      <c r="CL593" s="18"/>
      <c r="CM593" s="18"/>
      <c r="CN593" s="18"/>
      <c r="CO593" s="18"/>
      <c r="CP593" s="18"/>
      <c r="CQ593" s="18"/>
      <c r="CR593" s="18"/>
      <c r="CS593" s="18"/>
      <c r="CT593" s="18"/>
      <c r="CU593" s="18"/>
    </row>
    <row r="594" spans="1:99">
      <c r="A594" s="19"/>
      <c r="B594" s="19"/>
      <c r="C594" s="19"/>
      <c r="D594" s="19"/>
      <c r="E594" s="19"/>
      <c r="F594" s="19"/>
      <c r="G594" s="19"/>
      <c r="H594" s="19"/>
      <c r="I594" s="19"/>
      <c r="J594" s="19"/>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c r="AN594" s="18"/>
      <c r="AO594" s="18"/>
      <c r="AP594" s="18"/>
      <c r="AQ594" s="18"/>
      <c r="AR594" s="18"/>
      <c r="AS594" s="18"/>
      <c r="AT594" s="18"/>
      <c r="AU594" s="18"/>
      <c r="AV594" s="18"/>
      <c r="AW594" s="18"/>
      <c r="AX594" s="18"/>
      <c r="AY594" s="18"/>
      <c r="AZ594" s="18"/>
      <c r="BA594" s="18"/>
      <c r="BB594" s="18"/>
      <c r="BC594" s="18"/>
      <c r="BD594" s="18"/>
      <c r="BE594" s="18"/>
      <c r="BF594" s="18"/>
      <c r="BG594" s="18"/>
      <c r="BH594" s="18"/>
      <c r="BI594" s="18"/>
      <c r="BJ594" s="18"/>
      <c r="BK594" s="18"/>
      <c r="BL594" s="18"/>
      <c r="BM594" s="18"/>
      <c r="BN594" s="18"/>
      <c r="BO594" s="18"/>
      <c r="BP594" s="18"/>
      <c r="BQ594" s="18"/>
      <c r="BR594" s="18"/>
      <c r="BS594" s="18"/>
      <c r="BT594" s="18"/>
      <c r="BU594" s="18"/>
      <c r="BV594" s="18"/>
      <c r="BW594" s="18"/>
      <c r="BX594" s="18"/>
      <c r="BY594" s="18"/>
      <c r="BZ594" s="18"/>
      <c r="CA594" s="18"/>
      <c r="CB594" s="18"/>
      <c r="CC594" s="18"/>
      <c r="CD594" s="18"/>
      <c r="CE594" s="18"/>
      <c r="CF594" s="18"/>
      <c r="CG594" s="18"/>
      <c r="CH594" s="18"/>
      <c r="CI594" s="18"/>
      <c r="CJ594" s="18"/>
      <c r="CK594" s="18"/>
      <c r="CL594" s="18"/>
      <c r="CM594" s="18"/>
      <c r="CN594" s="18"/>
      <c r="CO594" s="18"/>
      <c r="CP594" s="18"/>
      <c r="CQ594" s="18"/>
      <c r="CR594" s="18"/>
      <c r="CS594" s="18"/>
      <c r="CT594" s="18"/>
      <c r="CU594" s="18"/>
    </row>
    <row r="595" spans="1:99">
      <c r="A595" s="19"/>
      <c r="B595" s="19"/>
      <c r="C595" s="19"/>
      <c r="D595" s="19"/>
      <c r="E595" s="19"/>
      <c r="F595" s="19"/>
      <c r="G595" s="19"/>
      <c r="H595" s="19"/>
      <c r="I595" s="19"/>
      <c r="J595" s="19"/>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c r="AN595" s="18"/>
      <c r="AO595" s="18"/>
      <c r="AP595" s="18"/>
      <c r="AQ595" s="18"/>
      <c r="AR595" s="18"/>
      <c r="AS595" s="18"/>
      <c r="AT595" s="18"/>
      <c r="AU595" s="18"/>
      <c r="AV595" s="18"/>
      <c r="AW595" s="18"/>
      <c r="AX595" s="18"/>
      <c r="AY595" s="18"/>
      <c r="AZ595" s="18"/>
      <c r="BA595" s="18"/>
      <c r="BB595" s="18"/>
      <c r="BC595" s="18"/>
      <c r="BD595" s="18"/>
      <c r="BE595" s="18"/>
      <c r="BF595" s="18"/>
      <c r="BG595" s="18"/>
      <c r="BH595" s="18"/>
      <c r="BI595" s="18"/>
      <c r="BJ595" s="18"/>
      <c r="BK595" s="18"/>
      <c r="BL595" s="18"/>
      <c r="BM595" s="18"/>
      <c r="BN595" s="18"/>
      <c r="BO595" s="18"/>
      <c r="BP595" s="18"/>
      <c r="BQ595" s="18"/>
      <c r="BR595" s="18"/>
      <c r="BS595" s="18"/>
      <c r="BT595" s="18"/>
      <c r="BU595" s="18"/>
      <c r="BV595" s="18"/>
      <c r="BW595" s="18"/>
      <c r="BX595" s="18"/>
      <c r="BY595" s="18"/>
      <c r="BZ595" s="18"/>
      <c r="CA595" s="18"/>
      <c r="CB595" s="18"/>
      <c r="CC595" s="18"/>
      <c r="CD595" s="18"/>
      <c r="CE595" s="18"/>
      <c r="CF595" s="18"/>
      <c r="CG595" s="18"/>
      <c r="CH595" s="18"/>
      <c r="CI595" s="18"/>
      <c r="CJ595" s="18"/>
      <c r="CK595" s="18"/>
      <c r="CL595" s="18"/>
      <c r="CM595" s="18"/>
      <c r="CN595" s="18"/>
      <c r="CO595" s="18"/>
      <c r="CP595" s="18"/>
      <c r="CQ595" s="18"/>
      <c r="CR595" s="18"/>
      <c r="CS595" s="18"/>
      <c r="CT595" s="18"/>
      <c r="CU595" s="18"/>
    </row>
    <row r="596" spans="1:99">
      <c r="A596" s="19"/>
      <c r="B596" s="19"/>
      <c r="C596" s="19"/>
      <c r="D596" s="19"/>
      <c r="E596" s="19"/>
      <c r="F596" s="19"/>
      <c r="G596" s="19"/>
      <c r="H596" s="19"/>
      <c r="I596" s="19"/>
      <c r="J596" s="19"/>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c r="AN596" s="18"/>
      <c r="AO596" s="18"/>
      <c r="AP596" s="18"/>
      <c r="AQ596" s="18"/>
      <c r="AR596" s="18"/>
      <c r="AS596" s="18"/>
      <c r="AT596" s="18"/>
      <c r="AU596" s="18"/>
      <c r="AV596" s="18"/>
      <c r="AW596" s="18"/>
      <c r="AX596" s="18"/>
      <c r="AY596" s="18"/>
      <c r="AZ596" s="18"/>
      <c r="BA596" s="18"/>
      <c r="BB596" s="18"/>
      <c r="BC596" s="18"/>
      <c r="BD596" s="18"/>
      <c r="BE596" s="18"/>
      <c r="BF596" s="18"/>
      <c r="BG596" s="18"/>
      <c r="BH596" s="18"/>
      <c r="BI596" s="18"/>
      <c r="BJ596" s="18"/>
      <c r="BK596" s="18"/>
      <c r="BL596" s="18"/>
      <c r="BM596" s="18"/>
      <c r="BN596" s="18"/>
      <c r="BO596" s="18"/>
      <c r="BP596" s="18"/>
      <c r="BQ596" s="18"/>
      <c r="BR596" s="18"/>
      <c r="BS596" s="18"/>
      <c r="BT596" s="18"/>
      <c r="BU596" s="18"/>
      <c r="BV596" s="18"/>
      <c r="BW596" s="18"/>
      <c r="BX596" s="18"/>
      <c r="BY596" s="18"/>
      <c r="BZ596" s="18"/>
      <c r="CA596" s="18"/>
      <c r="CB596" s="18"/>
      <c r="CC596" s="18"/>
      <c r="CD596" s="18"/>
      <c r="CE596" s="18"/>
      <c r="CF596" s="18"/>
      <c r="CG596" s="18"/>
      <c r="CH596" s="18"/>
      <c r="CI596" s="18"/>
      <c r="CJ596" s="18"/>
      <c r="CK596" s="18"/>
      <c r="CL596" s="18"/>
      <c r="CM596" s="18"/>
      <c r="CN596" s="18"/>
      <c r="CO596" s="18"/>
      <c r="CP596" s="18"/>
      <c r="CQ596" s="18"/>
      <c r="CR596" s="18"/>
      <c r="CS596" s="18"/>
      <c r="CT596" s="18"/>
      <c r="CU596" s="18"/>
    </row>
    <row r="597" spans="1:99">
      <c r="A597" s="19"/>
      <c r="B597" s="19"/>
      <c r="C597" s="19"/>
      <c r="D597" s="19"/>
      <c r="E597" s="19"/>
      <c r="F597" s="19"/>
      <c r="G597" s="19"/>
      <c r="H597" s="19"/>
      <c r="I597" s="19"/>
      <c r="J597" s="19"/>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c r="AN597" s="18"/>
      <c r="AO597" s="18"/>
      <c r="AP597" s="18"/>
      <c r="AQ597" s="18"/>
      <c r="AR597" s="18"/>
      <c r="AS597" s="18"/>
      <c r="AT597" s="18"/>
      <c r="AU597" s="18"/>
      <c r="AV597" s="18"/>
      <c r="AW597" s="18"/>
      <c r="AX597" s="18"/>
      <c r="AY597" s="18"/>
      <c r="AZ597" s="18"/>
      <c r="BA597" s="18"/>
      <c r="BB597" s="18"/>
      <c r="BC597" s="18"/>
      <c r="BD597" s="18"/>
      <c r="BE597" s="18"/>
      <c r="BF597" s="18"/>
      <c r="BG597" s="18"/>
      <c r="BH597" s="18"/>
      <c r="BI597" s="18"/>
      <c r="BJ597" s="18"/>
      <c r="BK597" s="18"/>
      <c r="BL597" s="18"/>
      <c r="BM597" s="18"/>
      <c r="BN597" s="18"/>
      <c r="BO597" s="18"/>
      <c r="BP597" s="18"/>
      <c r="BQ597" s="18"/>
      <c r="BR597" s="18"/>
      <c r="BS597" s="18"/>
      <c r="BT597" s="18"/>
      <c r="BU597" s="18"/>
      <c r="BV597" s="18"/>
      <c r="BW597" s="18"/>
      <c r="BX597" s="18"/>
      <c r="BY597" s="18"/>
      <c r="BZ597" s="18"/>
      <c r="CA597" s="18"/>
      <c r="CB597" s="18"/>
      <c r="CC597" s="18"/>
      <c r="CD597" s="18"/>
      <c r="CE597" s="18"/>
      <c r="CF597" s="18"/>
      <c r="CG597" s="18"/>
      <c r="CH597" s="18"/>
      <c r="CI597" s="18"/>
      <c r="CJ597" s="18"/>
      <c r="CK597" s="18"/>
      <c r="CL597" s="18"/>
      <c r="CM597" s="18"/>
      <c r="CN597" s="18"/>
      <c r="CO597" s="18"/>
      <c r="CP597" s="18"/>
      <c r="CQ597" s="18"/>
      <c r="CR597" s="18"/>
      <c r="CS597" s="18"/>
      <c r="CT597" s="18"/>
      <c r="CU597" s="18"/>
    </row>
    <row r="598" spans="1:99">
      <c r="A598" s="19"/>
      <c r="B598" s="19"/>
      <c r="C598" s="19"/>
      <c r="D598" s="19"/>
      <c r="E598" s="19"/>
      <c r="F598" s="19"/>
      <c r="G598" s="19"/>
      <c r="H598" s="19"/>
      <c r="I598" s="19"/>
      <c r="J598" s="19"/>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c r="AN598" s="18"/>
      <c r="AO598" s="18"/>
      <c r="AP598" s="18"/>
      <c r="AQ598" s="18"/>
      <c r="AR598" s="18"/>
      <c r="AS598" s="18"/>
      <c r="AT598" s="18"/>
      <c r="AU598" s="18"/>
      <c r="AV598" s="18"/>
      <c r="AW598" s="18"/>
      <c r="AX598" s="18"/>
      <c r="AY598" s="18"/>
      <c r="AZ598" s="18"/>
      <c r="BA598" s="18"/>
      <c r="BB598" s="18"/>
      <c r="BC598" s="18"/>
      <c r="BD598" s="18"/>
      <c r="BE598" s="18"/>
      <c r="BF598" s="18"/>
      <c r="BG598" s="18"/>
      <c r="BH598" s="18"/>
      <c r="BI598" s="18"/>
      <c r="BJ598" s="18"/>
      <c r="BK598" s="18"/>
      <c r="BL598" s="18"/>
      <c r="BM598" s="18"/>
      <c r="BN598" s="18"/>
      <c r="BO598" s="18"/>
      <c r="BP598" s="18"/>
      <c r="BQ598" s="18"/>
      <c r="BR598" s="18"/>
      <c r="BS598" s="18"/>
      <c r="BT598" s="18"/>
      <c r="BU598" s="18"/>
      <c r="BV598" s="18"/>
      <c r="BW598" s="18"/>
      <c r="BX598" s="18"/>
      <c r="BY598" s="18"/>
      <c r="BZ598" s="18"/>
      <c r="CA598" s="18"/>
      <c r="CB598" s="18"/>
      <c r="CC598" s="18"/>
      <c r="CD598" s="18"/>
      <c r="CE598" s="18"/>
      <c r="CF598" s="18"/>
      <c r="CG598" s="18"/>
      <c r="CH598" s="18"/>
      <c r="CI598" s="18"/>
      <c r="CJ598" s="18"/>
      <c r="CK598" s="18"/>
      <c r="CL598" s="18"/>
      <c r="CM598" s="18"/>
      <c r="CN598" s="18"/>
      <c r="CO598" s="18"/>
      <c r="CP598" s="18"/>
      <c r="CQ598" s="18"/>
      <c r="CR598" s="18"/>
      <c r="CS598" s="18"/>
      <c r="CT598" s="18"/>
      <c r="CU598" s="18"/>
    </row>
    <row r="599" spans="1:99">
      <c r="A599" s="19"/>
      <c r="B599" s="19"/>
      <c r="C599" s="19"/>
      <c r="D599" s="19"/>
      <c r="E599" s="19"/>
      <c r="F599" s="19"/>
      <c r="G599" s="19"/>
      <c r="H599" s="19"/>
      <c r="I599" s="19"/>
      <c r="J599" s="19"/>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c r="AN599" s="18"/>
      <c r="AO599" s="18"/>
      <c r="AP599" s="18"/>
      <c r="AQ599" s="18"/>
      <c r="AR599" s="18"/>
      <c r="AS599" s="18"/>
      <c r="AT599" s="18"/>
      <c r="AU599" s="18"/>
      <c r="AV599" s="18"/>
      <c r="AW599" s="18"/>
      <c r="AX599" s="18"/>
      <c r="AY599" s="18"/>
      <c r="AZ599" s="18"/>
      <c r="BA599" s="18"/>
      <c r="BB599" s="18"/>
      <c r="BC599" s="18"/>
      <c r="BD599" s="18"/>
      <c r="BE599" s="18"/>
      <c r="BF599" s="18"/>
      <c r="BG599" s="18"/>
      <c r="BH599" s="18"/>
      <c r="BI599" s="18"/>
      <c r="BJ599" s="18"/>
      <c r="BK599" s="18"/>
      <c r="BL599" s="18"/>
      <c r="BM599" s="18"/>
      <c r="BN599" s="18"/>
      <c r="BO599" s="18"/>
      <c r="BP599" s="18"/>
      <c r="BQ599" s="18"/>
      <c r="BR599" s="18"/>
      <c r="BS599" s="18"/>
      <c r="BT599" s="18"/>
      <c r="BU599" s="18"/>
      <c r="BV599" s="18"/>
      <c r="BW599" s="18"/>
      <c r="BX599" s="18"/>
      <c r="BY599" s="18"/>
      <c r="BZ599" s="18"/>
      <c r="CA599" s="18"/>
      <c r="CB599" s="18"/>
      <c r="CC599" s="18"/>
      <c r="CD599" s="18"/>
      <c r="CE599" s="18"/>
      <c r="CF599" s="18"/>
      <c r="CG599" s="18"/>
      <c r="CH599" s="18"/>
      <c r="CI599" s="18"/>
      <c r="CJ599" s="18"/>
      <c r="CK599" s="18"/>
      <c r="CL599" s="18"/>
      <c r="CM599" s="18"/>
      <c r="CN599" s="18"/>
      <c r="CO599" s="18"/>
      <c r="CP599" s="18"/>
      <c r="CQ599" s="18"/>
      <c r="CR599" s="18"/>
      <c r="CS599" s="18"/>
      <c r="CT599" s="18"/>
      <c r="CU599" s="18"/>
    </row>
    <row r="600" spans="1:99">
      <c r="A600" s="19"/>
      <c r="B600" s="19"/>
      <c r="C600" s="19"/>
      <c r="D600" s="19"/>
      <c r="E600" s="19"/>
      <c r="F600" s="19"/>
      <c r="G600" s="19"/>
      <c r="H600" s="19"/>
      <c r="I600" s="19"/>
      <c r="J600" s="19"/>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c r="AZ600" s="18"/>
      <c r="BA600" s="18"/>
      <c r="BB600" s="18"/>
      <c r="BC600" s="18"/>
      <c r="BD600" s="18"/>
      <c r="BE600" s="18"/>
      <c r="BF600" s="18"/>
      <c r="BG600" s="18"/>
      <c r="BH600" s="18"/>
      <c r="BI600" s="18"/>
      <c r="BJ600" s="18"/>
      <c r="BK600" s="18"/>
      <c r="BL600" s="18"/>
      <c r="BM600" s="18"/>
      <c r="BN600" s="18"/>
      <c r="BO600" s="18"/>
      <c r="BP600" s="18"/>
      <c r="BQ600" s="18"/>
      <c r="BR600" s="18"/>
      <c r="BS600" s="18"/>
      <c r="BT600" s="18"/>
      <c r="BU600" s="18"/>
      <c r="BV600" s="18"/>
      <c r="BW600" s="18"/>
      <c r="BX600" s="18"/>
      <c r="BY600" s="18"/>
      <c r="BZ600" s="18"/>
      <c r="CA600" s="18"/>
      <c r="CB600" s="18"/>
      <c r="CC600" s="18"/>
      <c r="CD600" s="18"/>
      <c r="CE600" s="18"/>
      <c r="CF600" s="18"/>
      <c r="CG600" s="18"/>
      <c r="CH600" s="18"/>
      <c r="CI600" s="18"/>
      <c r="CJ600" s="18"/>
      <c r="CK600" s="18"/>
      <c r="CL600" s="18"/>
      <c r="CM600" s="18"/>
      <c r="CN600" s="18"/>
      <c r="CO600" s="18"/>
      <c r="CP600" s="18"/>
      <c r="CQ600" s="18"/>
      <c r="CR600" s="18"/>
      <c r="CS600" s="18"/>
      <c r="CT600" s="18"/>
      <c r="CU600" s="18"/>
    </row>
    <row r="601" spans="1:99">
      <c r="A601" s="19"/>
      <c r="B601" s="19"/>
      <c r="C601" s="19"/>
      <c r="D601" s="19"/>
      <c r="E601" s="19"/>
      <c r="F601" s="19"/>
      <c r="G601" s="19"/>
      <c r="H601" s="19"/>
      <c r="I601" s="19"/>
      <c r="J601" s="19"/>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c r="AN601" s="18"/>
      <c r="AO601" s="18"/>
      <c r="AP601" s="18"/>
      <c r="AQ601" s="18"/>
      <c r="AR601" s="18"/>
      <c r="AS601" s="18"/>
      <c r="AT601" s="18"/>
      <c r="AU601" s="18"/>
      <c r="AV601" s="18"/>
      <c r="AW601" s="18"/>
      <c r="AX601" s="18"/>
      <c r="AY601" s="18"/>
      <c r="AZ601" s="18"/>
      <c r="BA601" s="18"/>
      <c r="BB601" s="18"/>
      <c r="BC601" s="18"/>
      <c r="BD601" s="18"/>
      <c r="BE601" s="18"/>
      <c r="BF601" s="18"/>
      <c r="BG601" s="18"/>
      <c r="BH601" s="18"/>
      <c r="BI601" s="18"/>
      <c r="BJ601" s="18"/>
      <c r="BK601" s="18"/>
      <c r="BL601" s="18"/>
      <c r="BM601" s="18"/>
      <c r="BN601" s="18"/>
      <c r="BO601" s="18"/>
      <c r="BP601" s="18"/>
      <c r="BQ601" s="18"/>
      <c r="BR601" s="18"/>
      <c r="BS601" s="18"/>
      <c r="BT601" s="18"/>
      <c r="BU601" s="18"/>
      <c r="BV601" s="18"/>
      <c r="BW601" s="18"/>
      <c r="BX601" s="18"/>
      <c r="BY601" s="18"/>
      <c r="BZ601" s="18"/>
      <c r="CA601" s="18"/>
      <c r="CB601" s="18"/>
      <c r="CC601" s="18"/>
      <c r="CD601" s="18"/>
      <c r="CE601" s="18"/>
      <c r="CF601" s="18"/>
      <c r="CG601" s="18"/>
      <c r="CH601" s="18"/>
      <c r="CI601" s="18"/>
      <c r="CJ601" s="18"/>
      <c r="CK601" s="18"/>
      <c r="CL601" s="18"/>
      <c r="CM601" s="18"/>
      <c r="CN601" s="18"/>
      <c r="CO601" s="18"/>
      <c r="CP601" s="18"/>
      <c r="CQ601" s="18"/>
      <c r="CR601" s="18"/>
      <c r="CS601" s="18"/>
      <c r="CT601" s="18"/>
      <c r="CU601" s="18"/>
    </row>
    <row r="602" spans="1:99">
      <c r="A602" s="19"/>
      <c r="B602" s="19"/>
      <c r="C602" s="19"/>
      <c r="D602" s="19"/>
      <c r="E602" s="19"/>
      <c r="F602" s="19"/>
      <c r="G602" s="19"/>
      <c r="H602" s="19"/>
      <c r="I602" s="19"/>
      <c r="J602" s="19"/>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c r="AN602" s="18"/>
      <c r="AO602" s="18"/>
      <c r="AP602" s="18"/>
      <c r="AQ602" s="18"/>
      <c r="AR602" s="18"/>
      <c r="AS602" s="18"/>
      <c r="AT602" s="18"/>
      <c r="AU602" s="18"/>
      <c r="AV602" s="18"/>
      <c r="AW602" s="18"/>
      <c r="AX602" s="18"/>
      <c r="AY602" s="18"/>
      <c r="AZ602" s="18"/>
      <c r="BA602" s="18"/>
      <c r="BB602" s="18"/>
      <c r="BC602" s="18"/>
      <c r="BD602" s="18"/>
      <c r="BE602" s="18"/>
      <c r="BF602" s="18"/>
      <c r="BG602" s="18"/>
      <c r="BH602" s="18"/>
      <c r="BI602" s="18"/>
      <c r="BJ602" s="18"/>
      <c r="BK602" s="18"/>
      <c r="BL602" s="18"/>
      <c r="BM602" s="18"/>
      <c r="BN602" s="18"/>
      <c r="BO602" s="18"/>
      <c r="BP602" s="18"/>
      <c r="BQ602" s="18"/>
      <c r="BR602" s="18"/>
      <c r="BS602" s="18"/>
      <c r="BT602" s="18"/>
      <c r="BU602" s="18"/>
      <c r="BV602" s="18"/>
      <c r="BW602" s="18"/>
      <c r="BX602" s="18"/>
      <c r="BY602" s="18"/>
      <c r="BZ602" s="18"/>
      <c r="CA602" s="18"/>
      <c r="CB602" s="18"/>
      <c r="CC602" s="18"/>
      <c r="CD602" s="18"/>
      <c r="CE602" s="18"/>
      <c r="CF602" s="18"/>
      <c r="CG602" s="18"/>
      <c r="CH602" s="18"/>
      <c r="CI602" s="18"/>
      <c r="CJ602" s="18"/>
      <c r="CK602" s="18"/>
      <c r="CL602" s="18"/>
      <c r="CM602" s="18"/>
      <c r="CN602" s="18"/>
      <c r="CO602" s="18"/>
      <c r="CP602" s="18"/>
      <c r="CQ602" s="18"/>
      <c r="CR602" s="18"/>
      <c r="CS602" s="18"/>
      <c r="CT602" s="18"/>
      <c r="CU602" s="18"/>
    </row>
    <row r="603" spans="1:99">
      <c r="A603" s="19"/>
      <c r="B603" s="19"/>
      <c r="C603" s="19"/>
      <c r="D603" s="19"/>
      <c r="E603" s="19"/>
      <c r="F603" s="19"/>
      <c r="G603" s="19"/>
      <c r="H603" s="19"/>
      <c r="I603" s="19"/>
      <c r="J603" s="19"/>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c r="AN603" s="18"/>
      <c r="AO603" s="18"/>
      <c r="AP603" s="18"/>
      <c r="AQ603" s="18"/>
      <c r="AR603" s="18"/>
      <c r="AS603" s="18"/>
      <c r="AT603" s="18"/>
      <c r="AU603" s="18"/>
      <c r="AV603" s="18"/>
      <c r="AW603" s="18"/>
      <c r="AX603" s="18"/>
      <c r="AY603" s="18"/>
      <c r="AZ603" s="18"/>
      <c r="BA603" s="18"/>
      <c r="BB603" s="18"/>
      <c r="BC603" s="18"/>
      <c r="BD603" s="18"/>
      <c r="BE603" s="18"/>
      <c r="BF603" s="18"/>
      <c r="BG603" s="18"/>
      <c r="BH603" s="18"/>
      <c r="BI603" s="18"/>
      <c r="BJ603" s="18"/>
      <c r="BK603" s="18"/>
      <c r="BL603" s="18"/>
      <c r="BM603" s="18"/>
      <c r="BN603" s="18"/>
      <c r="BO603" s="18"/>
      <c r="BP603" s="18"/>
      <c r="BQ603" s="18"/>
      <c r="BR603" s="18"/>
      <c r="BS603" s="18"/>
      <c r="BT603" s="18"/>
      <c r="BU603" s="18"/>
      <c r="BV603" s="18"/>
      <c r="BW603" s="18"/>
      <c r="BX603" s="18"/>
      <c r="BY603" s="18"/>
      <c r="BZ603" s="18"/>
      <c r="CA603" s="18"/>
      <c r="CB603" s="18"/>
      <c r="CC603" s="18"/>
      <c r="CD603" s="18"/>
      <c r="CE603" s="18"/>
      <c r="CF603" s="18"/>
      <c r="CG603" s="18"/>
      <c r="CH603" s="18"/>
      <c r="CI603" s="18"/>
      <c r="CJ603" s="18"/>
      <c r="CK603" s="18"/>
      <c r="CL603" s="18"/>
      <c r="CM603" s="18"/>
      <c r="CN603" s="18"/>
      <c r="CO603" s="18"/>
      <c r="CP603" s="18"/>
      <c r="CQ603" s="18"/>
      <c r="CR603" s="18"/>
      <c r="CS603" s="18"/>
      <c r="CT603" s="18"/>
      <c r="CU603" s="18"/>
    </row>
    <row r="604" spans="1:99">
      <c r="A604" s="19"/>
      <c r="B604" s="19"/>
      <c r="C604" s="19"/>
      <c r="D604" s="19"/>
      <c r="E604" s="19"/>
      <c r="F604" s="19"/>
      <c r="G604" s="19"/>
      <c r="H604" s="19"/>
      <c r="I604" s="19"/>
      <c r="J604" s="19"/>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c r="AN604" s="18"/>
      <c r="AO604" s="18"/>
      <c r="AP604" s="18"/>
      <c r="AQ604" s="18"/>
      <c r="AR604" s="18"/>
      <c r="AS604" s="18"/>
      <c r="AT604" s="18"/>
      <c r="AU604" s="18"/>
      <c r="AV604" s="18"/>
      <c r="AW604" s="18"/>
      <c r="AX604" s="18"/>
      <c r="AY604" s="18"/>
      <c r="AZ604" s="18"/>
      <c r="BA604" s="18"/>
      <c r="BB604" s="18"/>
      <c r="BC604" s="18"/>
      <c r="BD604" s="18"/>
      <c r="BE604" s="18"/>
      <c r="BF604" s="18"/>
      <c r="BG604" s="18"/>
      <c r="BH604" s="18"/>
      <c r="BI604" s="18"/>
      <c r="BJ604" s="18"/>
      <c r="BK604" s="18"/>
      <c r="BL604" s="18"/>
      <c r="BM604" s="18"/>
      <c r="BN604" s="18"/>
      <c r="BO604" s="18"/>
      <c r="BP604" s="18"/>
      <c r="BQ604" s="18"/>
      <c r="BR604" s="18"/>
      <c r="BS604" s="18"/>
      <c r="BT604" s="18"/>
      <c r="BU604" s="18"/>
      <c r="BV604" s="18"/>
      <c r="BW604" s="18"/>
      <c r="BX604" s="18"/>
      <c r="BY604" s="18"/>
      <c r="BZ604" s="18"/>
      <c r="CA604" s="18"/>
      <c r="CB604" s="18"/>
      <c r="CC604" s="18"/>
      <c r="CD604" s="18"/>
      <c r="CE604" s="18"/>
      <c r="CF604" s="18"/>
      <c r="CG604" s="18"/>
      <c r="CH604" s="18"/>
      <c r="CI604" s="18"/>
      <c r="CJ604" s="18"/>
      <c r="CK604" s="18"/>
      <c r="CL604" s="18"/>
      <c r="CM604" s="18"/>
      <c r="CN604" s="18"/>
      <c r="CO604" s="18"/>
      <c r="CP604" s="18"/>
      <c r="CQ604" s="18"/>
      <c r="CR604" s="18"/>
      <c r="CS604" s="18"/>
      <c r="CT604" s="18"/>
      <c r="CU604" s="18"/>
    </row>
    <row r="605" spans="1:99">
      <c r="A605" s="19"/>
      <c r="B605" s="19"/>
      <c r="C605" s="19"/>
      <c r="D605" s="19"/>
      <c r="E605" s="19"/>
      <c r="F605" s="19"/>
      <c r="G605" s="19"/>
      <c r="H605" s="19"/>
      <c r="I605" s="19"/>
      <c r="J605" s="19"/>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c r="AN605" s="18"/>
      <c r="AO605" s="18"/>
      <c r="AP605" s="18"/>
      <c r="AQ605" s="18"/>
      <c r="AR605" s="18"/>
      <c r="AS605" s="18"/>
      <c r="AT605" s="18"/>
      <c r="AU605" s="18"/>
      <c r="AV605" s="18"/>
      <c r="AW605" s="18"/>
      <c r="AX605" s="18"/>
      <c r="AY605" s="18"/>
      <c r="AZ605" s="18"/>
      <c r="BA605" s="18"/>
      <c r="BB605" s="18"/>
      <c r="BC605" s="18"/>
      <c r="BD605" s="18"/>
      <c r="BE605" s="18"/>
      <c r="BF605" s="18"/>
      <c r="BG605" s="18"/>
      <c r="BH605" s="18"/>
      <c r="BI605" s="18"/>
      <c r="BJ605" s="18"/>
      <c r="BK605" s="18"/>
      <c r="BL605" s="18"/>
      <c r="BM605" s="18"/>
      <c r="BN605" s="18"/>
      <c r="BO605" s="18"/>
      <c r="BP605" s="18"/>
      <c r="BQ605" s="18"/>
      <c r="BR605" s="18"/>
      <c r="BS605" s="18"/>
      <c r="BT605" s="18"/>
      <c r="BU605" s="18"/>
      <c r="BV605" s="18"/>
      <c r="BW605" s="18"/>
      <c r="BX605" s="18"/>
      <c r="BY605" s="18"/>
      <c r="BZ605" s="18"/>
      <c r="CA605" s="18"/>
      <c r="CB605" s="18"/>
      <c r="CC605" s="18"/>
      <c r="CD605" s="18"/>
      <c r="CE605" s="18"/>
      <c r="CF605" s="18"/>
      <c r="CG605" s="18"/>
      <c r="CH605" s="18"/>
      <c r="CI605" s="18"/>
      <c r="CJ605" s="18"/>
      <c r="CK605" s="18"/>
      <c r="CL605" s="18"/>
      <c r="CM605" s="18"/>
      <c r="CN605" s="18"/>
      <c r="CO605" s="18"/>
      <c r="CP605" s="18"/>
      <c r="CQ605" s="18"/>
      <c r="CR605" s="18"/>
      <c r="CS605" s="18"/>
      <c r="CT605" s="18"/>
      <c r="CU605" s="18"/>
    </row>
    <row r="606" spans="1:99">
      <c r="A606" s="19"/>
      <c r="B606" s="19"/>
      <c r="C606" s="19"/>
      <c r="D606" s="19"/>
      <c r="E606" s="19"/>
      <c r="F606" s="19"/>
      <c r="G606" s="19"/>
      <c r="H606" s="19"/>
      <c r="I606" s="19"/>
      <c r="J606" s="19"/>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c r="BC606" s="18"/>
      <c r="BD606" s="18"/>
      <c r="BE606" s="18"/>
      <c r="BF606" s="18"/>
      <c r="BG606" s="18"/>
      <c r="BH606" s="18"/>
      <c r="BI606" s="18"/>
      <c r="BJ606" s="18"/>
      <c r="BK606" s="18"/>
      <c r="BL606" s="18"/>
      <c r="BM606" s="18"/>
      <c r="BN606" s="18"/>
      <c r="BO606" s="18"/>
      <c r="BP606" s="18"/>
      <c r="BQ606" s="18"/>
      <c r="BR606" s="18"/>
      <c r="BS606" s="18"/>
      <c r="BT606" s="18"/>
      <c r="BU606" s="18"/>
      <c r="BV606" s="18"/>
      <c r="BW606" s="18"/>
      <c r="BX606" s="18"/>
      <c r="BY606" s="18"/>
      <c r="BZ606" s="18"/>
      <c r="CA606" s="18"/>
      <c r="CB606" s="18"/>
      <c r="CC606" s="18"/>
      <c r="CD606" s="18"/>
      <c r="CE606" s="18"/>
      <c r="CF606" s="18"/>
      <c r="CG606" s="18"/>
      <c r="CH606" s="18"/>
      <c r="CI606" s="18"/>
      <c r="CJ606" s="18"/>
      <c r="CK606" s="18"/>
      <c r="CL606" s="18"/>
      <c r="CM606" s="18"/>
      <c r="CN606" s="18"/>
      <c r="CO606" s="18"/>
      <c r="CP606" s="18"/>
      <c r="CQ606" s="18"/>
      <c r="CR606" s="18"/>
      <c r="CS606" s="18"/>
      <c r="CT606" s="18"/>
      <c r="CU606" s="18"/>
    </row>
    <row r="607" spans="1:99">
      <c r="A607" s="19"/>
      <c r="B607" s="19"/>
      <c r="C607" s="19"/>
      <c r="D607" s="19"/>
      <c r="E607" s="19"/>
      <c r="F607" s="19"/>
      <c r="G607" s="19"/>
      <c r="H607" s="19"/>
      <c r="I607" s="19"/>
      <c r="J607" s="19"/>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c r="AN607" s="18"/>
      <c r="AO607" s="18"/>
      <c r="AP607" s="18"/>
      <c r="AQ607" s="18"/>
      <c r="AR607" s="18"/>
      <c r="AS607" s="18"/>
      <c r="AT607" s="18"/>
      <c r="AU607" s="18"/>
      <c r="AV607" s="18"/>
      <c r="AW607" s="18"/>
      <c r="AX607" s="18"/>
      <c r="AY607" s="18"/>
      <c r="AZ607" s="18"/>
      <c r="BA607" s="18"/>
      <c r="BB607" s="18"/>
      <c r="BC607" s="18"/>
      <c r="BD607" s="18"/>
      <c r="BE607" s="18"/>
      <c r="BF607" s="18"/>
      <c r="BG607" s="18"/>
      <c r="BH607" s="18"/>
      <c r="BI607" s="18"/>
      <c r="BJ607" s="18"/>
      <c r="BK607" s="18"/>
      <c r="BL607" s="18"/>
      <c r="BM607" s="18"/>
      <c r="BN607" s="18"/>
      <c r="BO607" s="18"/>
      <c r="BP607" s="18"/>
      <c r="BQ607" s="18"/>
      <c r="BR607" s="18"/>
      <c r="BS607" s="18"/>
      <c r="BT607" s="18"/>
      <c r="BU607" s="18"/>
      <c r="BV607" s="18"/>
      <c r="BW607" s="18"/>
      <c r="BX607" s="18"/>
      <c r="BY607" s="18"/>
      <c r="BZ607" s="18"/>
      <c r="CA607" s="18"/>
      <c r="CB607" s="18"/>
      <c r="CC607" s="18"/>
      <c r="CD607" s="18"/>
      <c r="CE607" s="18"/>
      <c r="CF607" s="18"/>
      <c r="CG607" s="18"/>
      <c r="CH607" s="18"/>
      <c r="CI607" s="18"/>
      <c r="CJ607" s="18"/>
      <c r="CK607" s="18"/>
      <c r="CL607" s="18"/>
      <c r="CM607" s="18"/>
      <c r="CN607" s="18"/>
      <c r="CO607" s="18"/>
      <c r="CP607" s="18"/>
      <c r="CQ607" s="18"/>
      <c r="CR607" s="18"/>
      <c r="CS607" s="18"/>
      <c r="CT607" s="18"/>
      <c r="CU607" s="18"/>
    </row>
    <row r="608" spans="1:99">
      <c r="A608" s="19"/>
      <c r="B608" s="19"/>
      <c r="C608" s="19"/>
      <c r="D608" s="19"/>
      <c r="E608" s="19"/>
      <c r="F608" s="19"/>
      <c r="G608" s="19"/>
      <c r="H608" s="19"/>
      <c r="I608" s="19"/>
      <c r="J608" s="19"/>
      <c r="K608" s="18"/>
      <c r="L608" s="18"/>
      <c r="M608" s="18"/>
      <c r="N608" s="18"/>
      <c r="O608" s="18"/>
      <c r="P608" s="18"/>
      <c r="Q608" s="18"/>
      <c r="R608" s="18"/>
      <c r="S608" s="18"/>
      <c r="T608" s="18"/>
      <c r="U608" s="18"/>
      <c r="V608" s="18"/>
      <c r="W608" s="18"/>
      <c r="X608" s="18"/>
      <c r="Y608" s="18"/>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c r="BC608" s="18"/>
      <c r="BD608" s="18"/>
      <c r="BE608" s="18"/>
      <c r="BF608" s="18"/>
      <c r="BG608" s="18"/>
      <c r="BH608" s="18"/>
      <c r="BI608" s="18"/>
      <c r="BJ608" s="18"/>
      <c r="BK608" s="18"/>
      <c r="BL608" s="18"/>
      <c r="BM608" s="18"/>
      <c r="BN608" s="18"/>
      <c r="BO608" s="18"/>
      <c r="BP608" s="18"/>
      <c r="BQ608" s="18"/>
      <c r="BR608" s="18"/>
      <c r="BS608" s="18"/>
      <c r="BT608" s="18"/>
      <c r="BU608" s="18"/>
      <c r="BV608" s="18"/>
      <c r="BW608" s="18"/>
      <c r="BX608" s="18"/>
      <c r="BY608" s="18"/>
      <c r="BZ608" s="18"/>
      <c r="CA608" s="18"/>
      <c r="CB608" s="18"/>
      <c r="CC608" s="18"/>
      <c r="CD608" s="18"/>
      <c r="CE608" s="18"/>
      <c r="CF608" s="18"/>
      <c r="CG608" s="18"/>
      <c r="CH608" s="18"/>
      <c r="CI608" s="18"/>
      <c r="CJ608" s="18"/>
      <c r="CK608" s="18"/>
      <c r="CL608" s="18"/>
      <c r="CM608" s="18"/>
      <c r="CN608" s="18"/>
      <c r="CO608" s="18"/>
      <c r="CP608" s="18"/>
      <c r="CQ608" s="18"/>
      <c r="CR608" s="18"/>
      <c r="CS608" s="18"/>
      <c r="CT608" s="18"/>
      <c r="CU608" s="18"/>
    </row>
    <row r="609" spans="1:99">
      <c r="A609" s="19"/>
      <c r="B609" s="19"/>
      <c r="C609" s="19"/>
      <c r="D609" s="19"/>
      <c r="E609" s="19"/>
      <c r="F609" s="19"/>
      <c r="G609" s="19"/>
      <c r="H609" s="19"/>
      <c r="I609" s="19"/>
      <c r="J609" s="19"/>
      <c r="K609" s="18"/>
      <c r="L609" s="18"/>
      <c r="M609" s="18"/>
      <c r="N609" s="18"/>
      <c r="O609" s="18"/>
      <c r="P609" s="18"/>
      <c r="Q609" s="18"/>
      <c r="R609" s="18"/>
      <c r="S609" s="18"/>
      <c r="T609" s="18"/>
      <c r="U609" s="18"/>
      <c r="V609" s="18"/>
      <c r="W609" s="18"/>
      <c r="X609" s="18"/>
      <c r="Y609" s="18"/>
      <c r="Z609" s="18"/>
      <c r="AA609" s="18"/>
      <c r="AB609" s="18"/>
      <c r="AC609" s="18"/>
      <c r="AD609" s="18"/>
      <c r="AE609" s="18"/>
      <c r="AF609" s="18"/>
      <c r="AG609" s="18"/>
      <c r="AH609" s="18"/>
      <c r="AI609" s="18"/>
      <c r="AJ609" s="18"/>
      <c r="AK609" s="18"/>
      <c r="AL609" s="18"/>
      <c r="AM609" s="18"/>
      <c r="AN609" s="18"/>
      <c r="AO609" s="18"/>
      <c r="AP609" s="18"/>
      <c r="AQ609" s="18"/>
      <c r="AR609" s="18"/>
      <c r="AS609" s="18"/>
      <c r="AT609" s="18"/>
      <c r="AU609" s="18"/>
      <c r="AV609" s="18"/>
      <c r="AW609" s="18"/>
      <c r="AX609" s="18"/>
      <c r="AY609" s="18"/>
      <c r="AZ609" s="18"/>
      <c r="BA609" s="18"/>
      <c r="BB609" s="18"/>
      <c r="BC609" s="18"/>
      <c r="BD609" s="18"/>
      <c r="BE609" s="18"/>
      <c r="BF609" s="18"/>
      <c r="BG609" s="18"/>
      <c r="BH609" s="18"/>
      <c r="BI609" s="18"/>
      <c r="BJ609" s="18"/>
      <c r="BK609" s="18"/>
      <c r="BL609" s="18"/>
      <c r="BM609" s="18"/>
      <c r="BN609" s="18"/>
      <c r="BO609" s="18"/>
      <c r="BP609" s="18"/>
      <c r="BQ609" s="18"/>
      <c r="BR609" s="18"/>
      <c r="BS609" s="18"/>
      <c r="BT609" s="18"/>
      <c r="BU609" s="18"/>
      <c r="BV609" s="18"/>
      <c r="BW609" s="18"/>
      <c r="BX609" s="18"/>
      <c r="BY609" s="18"/>
      <c r="BZ609" s="18"/>
      <c r="CA609" s="18"/>
      <c r="CB609" s="18"/>
      <c r="CC609" s="18"/>
      <c r="CD609" s="18"/>
      <c r="CE609" s="18"/>
      <c r="CF609" s="18"/>
      <c r="CG609" s="18"/>
      <c r="CH609" s="18"/>
      <c r="CI609" s="18"/>
      <c r="CJ609" s="18"/>
      <c r="CK609" s="18"/>
      <c r="CL609" s="18"/>
      <c r="CM609" s="18"/>
      <c r="CN609" s="18"/>
      <c r="CO609" s="18"/>
      <c r="CP609" s="18"/>
      <c r="CQ609" s="18"/>
      <c r="CR609" s="18"/>
      <c r="CS609" s="18"/>
      <c r="CT609" s="18"/>
      <c r="CU609" s="18"/>
    </row>
    <row r="610" spans="1:99">
      <c r="A610" s="19"/>
      <c r="B610" s="19"/>
      <c r="C610" s="19"/>
      <c r="D610" s="19"/>
      <c r="E610" s="19"/>
      <c r="F610" s="19"/>
      <c r="G610" s="19"/>
      <c r="H610" s="19"/>
      <c r="I610" s="19"/>
      <c r="J610" s="19"/>
      <c r="K610" s="18"/>
      <c r="L610" s="18"/>
      <c r="M610" s="18"/>
      <c r="N610" s="18"/>
      <c r="O610" s="18"/>
      <c r="P610" s="18"/>
      <c r="Q610" s="18"/>
      <c r="R610" s="18"/>
      <c r="S610" s="18"/>
      <c r="T610" s="18"/>
      <c r="U610" s="18"/>
      <c r="V610" s="18"/>
      <c r="W610" s="18"/>
      <c r="X610" s="18"/>
      <c r="Y610" s="18"/>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c r="BC610" s="18"/>
      <c r="BD610" s="18"/>
      <c r="BE610" s="18"/>
      <c r="BF610" s="18"/>
      <c r="BG610" s="18"/>
      <c r="BH610" s="18"/>
      <c r="BI610" s="18"/>
      <c r="BJ610" s="18"/>
      <c r="BK610" s="18"/>
      <c r="BL610" s="18"/>
      <c r="BM610" s="18"/>
      <c r="BN610" s="18"/>
      <c r="BO610" s="18"/>
      <c r="BP610" s="18"/>
      <c r="BQ610" s="18"/>
      <c r="BR610" s="18"/>
      <c r="BS610" s="18"/>
      <c r="BT610" s="18"/>
      <c r="BU610" s="18"/>
      <c r="BV610" s="18"/>
      <c r="BW610" s="18"/>
      <c r="BX610" s="18"/>
      <c r="BY610" s="18"/>
      <c r="BZ610" s="18"/>
      <c r="CA610" s="18"/>
      <c r="CB610" s="18"/>
      <c r="CC610" s="18"/>
      <c r="CD610" s="18"/>
      <c r="CE610" s="18"/>
      <c r="CF610" s="18"/>
      <c r="CG610" s="18"/>
      <c r="CH610" s="18"/>
      <c r="CI610" s="18"/>
      <c r="CJ610" s="18"/>
      <c r="CK610" s="18"/>
      <c r="CL610" s="18"/>
      <c r="CM610" s="18"/>
      <c r="CN610" s="18"/>
      <c r="CO610" s="18"/>
      <c r="CP610" s="18"/>
      <c r="CQ610" s="18"/>
      <c r="CR610" s="18"/>
      <c r="CS610" s="18"/>
      <c r="CT610" s="18"/>
      <c r="CU610" s="18"/>
    </row>
    <row r="611" spans="1:99">
      <c r="A611" s="19"/>
      <c r="B611" s="19"/>
      <c r="C611" s="19"/>
      <c r="D611" s="19"/>
      <c r="E611" s="19"/>
      <c r="F611" s="19"/>
      <c r="G611" s="19"/>
      <c r="H611" s="19"/>
      <c r="I611" s="19"/>
      <c r="J611" s="19"/>
      <c r="K611" s="18"/>
      <c r="L611" s="18"/>
      <c r="M611" s="18"/>
      <c r="N611" s="18"/>
      <c r="O611" s="18"/>
      <c r="P611" s="18"/>
      <c r="Q611" s="18"/>
      <c r="R611" s="18"/>
      <c r="S611" s="18"/>
      <c r="T611" s="18"/>
      <c r="U611" s="18"/>
      <c r="V611" s="18"/>
      <c r="W611" s="18"/>
      <c r="X611" s="18"/>
      <c r="Y611" s="18"/>
      <c r="Z611" s="18"/>
      <c r="AA611" s="18"/>
      <c r="AB611" s="18"/>
      <c r="AC611" s="18"/>
      <c r="AD611" s="18"/>
      <c r="AE611" s="18"/>
      <c r="AF611" s="18"/>
      <c r="AG611" s="18"/>
      <c r="AH611" s="18"/>
      <c r="AI611" s="18"/>
      <c r="AJ611" s="18"/>
      <c r="AK611" s="18"/>
      <c r="AL611" s="18"/>
      <c r="AM611" s="18"/>
      <c r="AN611" s="18"/>
      <c r="AO611" s="18"/>
      <c r="AP611" s="18"/>
      <c r="AQ611" s="18"/>
      <c r="AR611" s="18"/>
      <c r="AS611" s="18"/>
      <c r="AT611" s="18"/>
      <c r="AU611" s="18"/>
      <c r="AV611" s="18"/>
      <c r="AW611" s="18"/>
      <c r="AX611" s="18"/>
      <c r="AY611" s="18"/>
      <c r="AZ611" s="18"/>
      <c r="BA611" s="18"/>
      <c r="BB611" s="18"/>
      <c r="BC611" s="18"/>
      <c r="BD611" s="18"/>
      <c r="BE611" s="18"/>
      <c r="BF611" s="18"/>
      <c r="BG611" s="18"/>
      <c r="BH611" s="18"/>
      <c r="BI611" s="18"/>
      <c r="BJ611" s="18"/>
      <c r="BK611" s="18"/>
      <c r="BL611" s="18"/>
      <c r="BM611" s="18"/>
      <c r="BN611" s="18"/>
      <c r="BO611" s="18"/>
      <c r="BP611" s="18"/>
      <c r="BQ611" s="18"/>
      <c r="BR611" s="18"/>
      <c r="BS611" s="18"/>
      <c r="BT611" s="18"/>
      <c r="BU611" s="18"/>
      <c r="BV611" s="18"/>
      <c r="BW611" s="18"/>
      <c r="BX611" s="18"/>
      <c r="BY611" s="18"/>
      <c r="BZ611" s="18"/>
      <c r="CA611" s="18"/>
      <c r="CB611" s="18"/>
      <c r="CC611" s="18"/>
      <c r="CD611" s="18"/>
      <c r="CE611" s="18"/>
      <c r="CF611" s="18"/>
      <c r="CG611" s="18"/>
      <c r="CH611" s="18"/>
      <c r="CI611" s="18"/>
      <c r="CJ611" s="18"/>
      <c r="CK611" s="18"/>
      <c r="CL611" s="18"/>
      <c r="CM611" s="18"/>
      <c r="CN611" s="18"/>
      <c r="CO611" s="18"/>
      <c r="CP611" s="18"/>
      <c r="CQ611" s="18"/>
      <c r="CR611" s="18"/>
      <c r="CS611" s="18"/>
      <c r="CT611" s="18"/>
      <c r="CU611" s="18"/>
    </row>
    <row r="612" spans="1:99">
      <c r="A612" s="19"/>
      <c r="B612" s="19"/>
      <c r="C612" s="19"/>
      <c r="D612" s="19"/>
      <c r="E612" s="19"/>
      <c r="F612" s="19"/>
      <c r="G612" s="19"/>
      <c r="H612" s="19"/>
      <c r="I612" s="19"/>
      <c r="J612" s="19"/>
      <c r="K612" s="18"/>
      <c r="L612" s="18"/>
      <c r="M612" s="18"/>
      <c r="N612" s="18"/>
      <c r="O612" s="18"/>
      <c r="P612" s="18"/>
      <c r="Q612" s="18"/>
      <c r="R612" s="18"/>
      <c r="S612" s="18"/>
      <c r="T612" s="18"/>
      <c r="U612" s="18"/>
      <c r="V612" s="18"/>
      <c r="W612" s="18"/>
      <c r="X612" s="18"/>
      <c r="Y612" s="18"/>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c r="BC612" s="18"/>
      <c r="BD612" s="18"/>
      <c r="BE612" s="18"/>
      <c r="BF612" s="18"/>
      <c r="BG612" s="18"/>
      <c r="BH612" s="18"/>
      <c r="BI612" s="18"/>
      <c r="BJ612" s="18"/>
      <c r="BK612" s="18"/>
      <c r="BL612" s="18"/>
      <c r="BM612" s="18"/>
      <c r="BN612" s="18"/>
      <c r="BO612" s="18"/>
      <c r="BP612" s="18"/>
      <c r="BQ612" s="18"/>
      <c r="BR612" s="18"/>
      <c r="BS612" s="18"/>
      <c r="BT612" s="18"/>
      <c r="BU612" s="18"/>
      <c r="BV612" s="18"/>
      <c r="BW612" s="18"/>
      <c r="BX612" s="18"/>
      <c r="BY612" s="18"/>
      <c r="BZ612" s="18"/>
      <c r="CA612" s="18"/>
      <c r="CB612" s="18"/>
      <c r="CC612" s="18"/>
      <c r="CD612" s="18"/>
      <c r="CE612" s="18"/>
      <c r="CF612" s="18"/>
      <c r="CG612" s="18"/>
      <c r="CH612" s="18"/>
      <c r="CI612" s="18"/>
      <c r="CJ612" s="18"/>
      <c r="CK612" s="18"/>
      <c r="CL612" s="18"/>
      <c r="CM612" s="18"/>
      <c r="CN612" s="18"/>
      <c r="CO612" s="18"/>
      <c r="CP612" s="18"/>
      <c r="CQ612" s="18"/>
      <c r="CR612" s="18"/>
      <c r="CS612" s="18"/>
      <c r="CT612" s="18"/>
      <c r="CU612" s="18"/>
    </row>
    <row r="613" spans="1:99">
      <c r="A613" s="19"/>
      <c r="B613" s="19"/>
      <c r="C613" s="19"/>
      <c r="D613" s="19"/>
      <c r="E613" s="19"/>
      <c r="F613" s="19"/>
      <c r="G613" s="19"/>
      <c r="H613" s="19"/>
      <c r="I613" s="19"/>
      <c r="J613" s="19"/>
      <c r="K613" s="18"/>
      <c r="L613" s="18"/>
      <c r="M613" s="18"/>
      <c r="N613" s="18"/>
      <c r="O613" s="18"/>
      <c r="P613" s="18"/>
      <c r="Q613" s="18"/>
      <c r="R613" s="18"/>
      <c r="S613" s="18"/>
      <c r="T613" s="18"/>
      <c r="U613" s="18"/>
      <c r="V613" s="18"/>
      <c r="W613" s="18"/>
      <c r="X613" s="18"/>
      <c r="Y613" s="18"/>
      <c r="Z613" s="18"/>
      <c r="AA613" s="18"/>
      <c r="AB613" s="18"/>
      <c r="AC613" s="18"/>
      <c r="AD613" s="18"/>
      <c r="AE613" s="18"/>
      <c r="AF613" s="18"/>
      <c r="AG613" s="18"/>
      <c r="AH613" s="18"/>
      <c r="AI613" s="18"/>
      <c r="AJ613" s="18"/>
      <c r="AK613" s="18"/>
      <c r="AL613" s="18"/>
      <c r="AM613" s="18"/>
      <c r="AN613" s="18"/>
      <c r="AO613" s="18"/>
      <c r="AP613" s="18"/>
      <c r="AQ613" s="18"/>
      <c r="AR613" s="18"/>
      <c r="AS613" s="18"/>
      <c r="AT613" s="18"/>
      <c r="AU613" s="18"/>
      <c r="AV613" s="18"/>
      <c r="AW613" s="18"/>
      <c r="AX613" s="18"/>
      <c r="AY613" s="18"/>
      <c r="AZ613" s="18"/>
      <c r="BA613" s="18"/>
      <c r="BB613" s="18"/>
      <c r="BC613" s="18"/>
      <c r="BD613" s="18"/>
      <c r="BE613" s="18"/>
      <c r="BF613" s="18"/>
      <c r="BG613" s="18"/>
      <c r="BH613" s="18"/>
      <c r="BI613" s="18"/>
      <c r="BJ613" s="18"/>
      <c r="BK613" s="18"/>
      <c r="BL613" s="18"/>
      <c r="BM613" s="18"/>
      <c r="BN613" s="18"/>
      <c r="BO613" s="18"/>
      <c r="BP613" s="18"/>
      <c r="BQ613" s="18"/>
      <c r="BR613" s="18"/>
      <c r="BS613" s="18"/>
      <c r="BT613" s="18"/>
      <c r="BU613" s="18"/>
      <c r="BV613" s="18"/>
      <c r="BW613" s="18"/>
      <c r="BX613" s="18"/>
      <c r="BY613" s="18"/>
      <c r="BZ613" s="18"/>
      <c r="CA613" s="18"/>
      <c r="CB613" s="18"/>
      <c r="CC613" s="18"/>
      <c r="CD613" s="18"/>
      <c r="CE613" s="18"/>
      <c r="CF613" s="18"/>
      <c r="CG613" s="18"/>
      <c r="CH613" s="18"/>
      <c r="CI613" s="18"/>
      <c r="CJ613" s="18"/>
      <c r="CK613" s="18"/>
      <c r="CL613" s="18"/>
      <c r="CM613" s="18"/>
      <c r="CN613" s="18"/>
      <c r="CO613" s="18"/>
      <c r="CP613" s="18"/>
      <c r="CQ613" s="18"/>
      <c r="CR613" s="18"/>
      <c r="CS613" s="18"/>
      <c r="CT613" s="18"/>
      <c r="CU613" s="18"/>
    </row>
    <row r="614" spans="1:99">
      <c r="A614" s="19"/>
      <c r="B614" s="19"/>
      <c r="C614" s="19"/>
      <c r="D614" s="19"/>
      <c r="E614" s="19"/>
      <c r="F614" s="19"/>
      <c r="G614" s="19"/>
      <c r="H614" s="19"/>
      <c r="I614" s="19"/>
      <c r="J614" s="19"/>
      <c r="K614" s="18"/>
      <c r="L614" s="18"/>
      <c r="M614" s="18"/>
      <c r="N614" s="18"/>
      <c r="O614" s="18"/>
      <c r="P614" s="18"/>
      <c r="Q614" s="18"/>
      <c r="R614" s="18"/>
      <c r="S614" s="18"/>
      <c r="T614" s="18"/>
      <c r="U614" s="18"/>
      <c r="V614" s="18"/>
      <c r="W614" s="18"/>
      <c r="X614" s="18"/>
      <c r="Y614" s="18"/>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c r="BC614" s="18"/>
      <c r="BD614" s="18"/>
      <c r="BE614" s="18"/>
      <c r="BF614" s="18"/>
      <c r="BG614" s="18"/>
      <c r="BH614" s="18"/>
      <c r="BI614" s="18"/>
      <c r="BJ614" s="18"/>
      <c r="BK614" s="18"/>
      <c r="BL614" s="18"/>
      <c r="BM614" s="18"/>
      <c r="BN614" s="18"/>
      <c r="BO614" s="18"/>
      <c r="BP614" s="18"/>
      <c r="BQ614" s="18"/>
      <c r="BR614" s="18"/>
      <c r="BS614" s="18"/>
      <c r="BT614" s="18"/>
      <c r="BU614" s="18"/>
      <c r="BV614" s="18"/>
      <c r="BW614" s="18"/>
      <c r="BX614" s="18"/>
      <c r="BY614" s="18"/>
      <c r="BZ614" s="18"/>
      <c r="CA614" s="18"/>
      <c r="CB614" s="18"/>
      <c r="CC614" s="18"/>
      <c r="CD614" s="18"/>
      <c r="CE614" s="18"/>
      <c r="CF614" s="18"/>
      <c r="CG614" s="18"/>
      <c r="CH614" s="18"/>
      <c r="CI614" s="18"/>
      <c r="CJ614" s="18"/>
      <c r="CK614" s="18"/>
      <c r="CL614" s="18"/>
      <c r="CM614" s="18"/>
      <c r="CN614" s="18"/>
      <c r="CO614" s="18"/>
      <c r="CP614" s="18"/>
      <c r="CQ614" s="18"/>
      <c r="CR614" s="18"/>
      <c r="CS614" s="18"/>
      <c r="CT614" s="18"/>
      <c r="CU614" s="18"/>
    </row>
    <row r="615" spans="1:99">
      <c r="A615" s="19"/>
      <c r="B615" s="19"/>
      <c r="C615" s="19"/>
      <c r="D615" s="19"/>
      <c r="E615" s="19"/>
      <c r="F615" s="19"/>
      <c r="G615" s="19"/>
      <c r="H615" s="19"/>
      <c r="I615" s="19"/>
      <c r="J615" s="19"/>
      <c r="K615" s="18"/>
      <c r="L615" s="18"/>
      <c r="M615" s="18"/>
      <c r="N615" s="18"/>
      <c r="O615" s="18"/>
      <c r="P615" s="18"/>
      <c r="Q615" s="18"/>
      <c r="R615" s="18"/>
      <c r="S615" s="18"/>
      <c r="T615" s="18"/>
      <c r="U615" s="18"/>
      <c r="V615" s="18"/>
      <c r="W615" s="18"/>
      <c r="X615" s="18"/>
      <c r="Y615" s="18"/>
      <c r="Z615" s="18"/>
      <c r="AA615" s="18"/>
      <c r="AB615" s="18"/>
      <c r="AC615" s="18"/>
      <c r="AD615" s="18"/>
      <c r="AE615" s="18"/>
      <c r="AF615" s="18"/>
      <c r="AG615" s="18"/>
      <c r="AH615" s="18"/>
      <c r="AI615" s="18"/>
      <c r="AJ615" s="18"/>
      <c r="AK615" s="18"/>
      <c r="AL615" s="18"/>
      <c r="AM615" s="18"/>
      <c r="AN615" s="18"/>
      <c r="AO615" s="18"/>
      <c r="AP615" s="18"/>
      <c r="AQ615" s="18"/>
      <c r="AR615" s="18"/>
      <c r="AS615" s="18"/>
      <c r="AT615" s="18"/>
      <c r="AU615" s="18"/>
      <c r="AV615" s="18"/>
      <c r="AW615" s="18"/>
      <c r="AX615" s="18"/>
      <c r="AY615" s="18"/>
      <c r="AZ615" s="18"/>
      <c r="BA615" s="18"/>
      <c r="BB615" s="18"/>
      <c r="BC615" s="18"/>
      <c r="BD615" s="18"/>
      <c r="BE615" s="18"/>
      <c r="BF615" s="18"/>
      <c r="BG615" s="18"/>
      <c r="BH615" s="18"/>
      <c r="BI615" s="18"/>
      <c r="BJ615" s="18"/>
      <c r="BK615" s="18"/>
      <c r="BL615" s="18"/>
      <c r="BM615" s="18"/>
      <c r="BN615" s="18"/>
      <c r="BO615" s="18"/>
      <c r="BP615" s="18"/>
      <c r="BQ615" s="18"/>
      <c r="BR615" s="18"/>
      <c r="BS615" s="18"/>
      <c r="BT615" s="18"/>
      <c r="BU615" s="18"/>
      <c r="BV615" s="18"/>
      <c r="BW615" s="18"/>
      <c r="BX615" s="18"/>
      <c r="BY615" s="18"/>
      <c r="BZ615" s="18"/>
      <c r="CA615" s="18"/>
      <c r="CB615" s="18"/>
      <c r="CC615" s="18"/>
      <c r="CD615" s="18"/>
      <c r="CE615" s="18"/>
      <c r="CF615" s="18"/>
      <c r="CG615" s="18"/>
      <c r="CH615" s="18"/>
      <c r="CI615" s="18"/>
      <c r="CJ615" s="18"/>
      <c r="CK615" s="18"/>
      <c r="CL615" s="18"/>
      <c r="CM615" s="18"/>
      <c r="CN615" s="18"/>
      <c r="CO615" s="18"/>
      <c r="CP615" s="18"/>
      <c r="CQ615" s="18"/>
      <c r="CR615" s="18"/>
      <c r="CS615" s="18"/>
      <c r="CT615" s="18"/>
      <c r="CU615" s="18"/>
    </row>
    <row r="616" spans="1:99">
      <c r="A616" s="19"/>
      <c r="B616" s="19"/>
      <c r="C616" s="19"/>
      <c r="D616" s="19"/>
      <c r="E616" s="19"/>
      <c r="F616" s="19"/>
      <c r="G616" s="19"/>
      <c r="H616" s="19"/>
      <c r="I616" s="19"/>
      <c r="J616" s="19"/>
      <c r="K616" s="18"/>
      <c r="L616" s="18"/>
      <c r="M616" s="18"/>
      <c r="N616" s="18"/>
      <c r="O616" s="18"/>
      <c r="P616" s="18"/>
      <c r="Q616" s="18"/>
      <c r="R616" s="18"/>
      <c r="S616" s="18"/>
      <c r="T616" s="18"/>
      <c r="U616" s="18"/>
      <c r="V616" s="18"/>
      <c r="W616" s="18"/>
      <c r="X616" s="18"/>
      <c r="Y616" s="18"/>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c r="BC616" s="18"/>
      <c r="BD616" s="18"/>
      <c r="BE616" s="18"/>
      <c r="BF616" s="18"/>
      <c r="BG616" s="18"/>
      <c r="BH616" s="18"/>
      <c r="BI616" s="18"/>
      <c r="BJ616" s="18"/>
      <c r="BK616" s="18"/>
      <c r="BL616" s="18"/>
      <c r="BM616" s="18"/>
      <c r="BN616" s="18"/>
      <c r="BO616" s="18"/>
      <c r="BP616" s="18"/>
      <c r="BQ616" s="18"/>
      <c r="BR616" s="18"/>
      <c r="BS616" s="18"/>
      <c r="BT616" s="18"/>
      <c r="BU616" s="18"/>
      <c r="BV616" s="18"/>
      <c r="BW616" s="18"/>
      <c r="BX616" s="18"/>
      <c r="BY616" s="18"/>
      <c r="BZ616" s="18"/>
      <c r="CA616" s="18"/>
      <c r="CB616" s="18"/>
      <c r="CC616" s="18"/>
      <c r="CD616" s="18"/>
      <c r="CE616" s="18"/>
      <c r="CF616" s="18"/>
      <c r="CG616" s="18"/>
      <c r="CH616" s="18"/>
      <c r="CI616" s="18"/>
      <c r="CJ616" s="18"/>
      <c r="CK616" s="18"/>
      <c r="CL616" s="18"/>
      <c r="CM616" s="18"/>
      <c r="CN616" s="18"/>
      <c r="CO616" s="18"/>
      <c r="CP616" s="18"/>
      <c r="CQ616" s="18"/>
      <c r="CR616" s="18"/>
      <c r="CS616" s="18"/>
      <c r="CT616" s="18"/>
      <c r="CU616" s="18"/>
    </row>
    <row r="617" spans="1:99">
      <c r="A617" s="19"/>
      <c r="B617" s="19"/>
      <c r="C617" s="19"/>
      <c r="D617" s="19"/>
      <c r="E617" s="19"/>
      <c r="F617" s="19"/>
      <c r="G617" s="19"/>
      <c r="H617" s="19"/>
      <c r="I617" s="19"/>
      <c r="J617" s="19"/>
      <c r="K617" s="18"/>
      <c r="L617" s="18"/>
      <c r="M617" s="18"/>
      <c r="N617" s="18"/>
      <c r="O617" s="18"/>
      <c r="P617" s="18"/>
      <c r="Q617" s="18"/>
      <c r="R617" s="18"/>
      <c r="S617" s="18"/>
      <c r="T617" s="18"/>
      <c r="U617" s="18"/>
      <c r="V617" s="18"/>
      <c r="W617" s="18"/>
      <c r="X617" s="18"/>
      <c r="Y617" s="18"/>
      <c r="Z617" s="18"/>
      <c r="AA617" s="18"/>
      <c r="AB617" s="18"/>
      <c r="AC617" s="18"/>
      <c r="AD617" s="18"/>
      <c r="AE617" s="18"/>
      <c r="AF617" s="18"/>
      <c r="AG617" s="18"/>
      <c r="AH617" s="18"/>
      <c r="AI617" s="18"/>
      <c r="AJ617" s="18"/>
      <c r="AK617" s="18"/>
      <c r="AL617" s="18"/>
      <c r="AM617" s="18"/>
      <c r="AN617" s="18"/>
      <c r="AO617" s="18"/>
      <c r="AP617" s="18"/>
      <c r="AQ617" s="18"/>
      <c r="AR617" s="18"/>
      <c r="AS617" s="18"/>
      <c r="AT617" s="18"/>
      <c r="AU617" s="18"/>
      <c r="AV617" s="18"/>
      <c r="AW617" s="18"/>
      <c r="AX617" s="18"/>
      <c r="AY617" s="18"/>
      <c r="AZ617" s="18"/>
      <c r="BA617" s="18"/>
      <c r="BB617" s="18"/>
      <c r="BC617" s="18"/>
      <c r="BD617" s="18"/>
      <c r="BE617" s="18"/>
      <c r="BF617" s="18"/>
      <c r="BG617" s="18"/>
      <c r="BH617" s="18"/>
      <c r="BI617" s="18"/>
      <c r="BJ617" s="18"/>
      <c r="BK617" s="18"/>
      <c r="BL617" s="18"/>
      <c r="BM617" s="18"/>
      <c r="BN617" s="18"/>
      <c r="BO617" s="18"/>
      <c r="BP617" s="18"/>
      <c r="BQ617" s="18"/>
      <c r="BR617" s="18"/>
      <c r="BS617" s="18"/>
      <c r="BT617" s="18"/>
      <c r="BU617" s="18"/>
      <c r="BV617" s="18"/>
      <c r="BW617" s="18"/>
      <c r="BX617" s="18"/>
      <c r="BY617" s="18"/>
      <c r="BZ617" s="18"/>
      <c r="CA617" s="18"/>
      <c r="CB617" s="18"/>
      <c r="CC617" s="18"/>
      <c r="CD617" s="18"/>
      <c r="CE617" s="18"/>
      <c r="CF617" s="18"/>
      <c r="CG617" s="18"/>
      <c r="CH617" s="18"/>
      <c r="CI617" s="18"/>
      <c r="CJ617" s="18"/>
      <c r="CK617" s="18"/>
      <c r="CL617" s="18"/>
      <c r="CM617" s="18"/>
      <c r="CN617" s="18"/>
      <c r="CO617" s="18"/>
      <c r="CP617" s="18"/>
      <c r="CQ617" s="18"/>
      <c r="CR617" s="18"/>
      <c r="CS617" s="18"/>
      <c r="CT617" s="18"/>
      <c r="CU617" s="18"/>
    </row>
    <row r="618" spans="1:99">
      <c r="A618" s="19"/>
      <c r="B618" s="19"/>
      <c r="C618" s="19"/>
      <c r="D618" s="19"/>
      <c r="E618" s="19"/>
      <c r="F618" s="19"/>
      <c r="G618" s="19"/>
      <c r="H618" s="19"/>
      <c r="I618" s="19"/>
      <c r="J618" s="19"/>
      <c r="K618" s="18"/>
      <c r="L618" s="18"/>
      <c r="M618" s="18"/>
      <c r="N618" s="18"/>
      <c r="O618" s="18"/>
      <c r="P618" s="18"/>
      <c r="Q618" s="18"/>
      <c r="R618" s="18"/>
      <c r="S618" s="18"/>
      <c r="T618" s="18"/>
      <c r="U618" s="18"/>
      <c r="V618" s="18"/>
      <c r="W618" s="18"/>
      <c r="X618" s="18"/>
      <c r="Y618" s="18"/>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c r="BC618" s="18"/>
      <c r="BD618" s="18"/>
      <c r="BE618" s="18"/>
      <c r="BF618" s="18"/>
      <c r="BG618" s="18"/>
      <c r="BH618" s="18"/>
      <c r="BI618" s="18"/>
      <c r="BJ618" s="18"/>
      <c r="BK618" s="18"/>
      <c r="BL618" s="18"/>
      <c r="BM618" s="18"/>
      <c r="BN618" s="18"/>
      <c r="BO618" s="18"/>
      <c r="BP618" s="18"/>
      <c r="BQ618" s="18"/>
      <c r="BR618" s="18"/>
      <c r="BS618" s="18"/>
      <c r="BT618" s="18"/>
      <c r="BU618" s="18"/>
      <c r="BV618" s="18"/>
      <c r="BW618" s="18"/>
      <c r="BX618" s="18"/>
      <c r="BY618" s="18"/>
      <c r="BZ618" s="18"/>
      <c r="CA618" s="18"/>
      <c r="CB618" s="18"/>
      <c r="CC618" s="18"/>
      <c r="CD618" s="18"/>
      <c r="CE618" s="18"/>
      <c r="CF618" s="18"/>
      <c r="CG618" s="18"/>
      <c r="CH618" s="18"/>
      <c r="CI618" s="18"/>
      <c r="CJ618" s="18"/>
      <c r="CK618" s="18"/>
      <c r="CL618" s="18"/>
      <c r="CM618" s="18"/>
      <c r="CN618" s="18"/>
      <c r="CO618" s="18"/>
      <c r="CP618" s="18"/>
      <c r="CQ618" s="18"/>
      <c r="CR618" s="18"/>
      <c r="CS618" s="18"/>
      <c r="CT618" s="18"/>
      <c r="CU618" s="18"/>
    </row>
    <row r="619" spans="1:99">
      <c r="A619" s="19"/>
      <c r="B619" s="19"/>
      <c r="C619" s="19"/>
      <c r="D619" s="19"/>
      <c r="E619" s="19"/>
      <c r="F619" s="19"/>
      <c r="G619" s="19"/>
      <c r="H619" s="19"/>
      <c r="I619" s="19"/>
      <c r="J619" s="19"/>
      <c r="K619" s="18"/>
      <c r="L619" s="18"/>
      <c r="M619" s="18"/>
      <c r="N619" s="18"/>
      <c r="O619" s="18"/>
      <c r="P619" s="18"/>
      <c r="Q619" s="18"/>
      <c r="R619" s="18"/>
      <c r="S619" s="18"/>
      <c r="T619" s="18"/>
      <c r="U619" s="18"/>
      <c r="V619" s="18"/>
      <c r="W619" s="18"/>
      <c r="X619" s="18"/>
      <c r="Y619" s="18"/>
      <c r="Z619" s="18"/>
      <c r="AA619" s="18"/>
      <c r="AB619" s="18"/>
      <c r="AC619" s="18"/>
      <c r="AD619" s="18"/>
      <c r="AE619" s="18"/>
      <c r="AF619" s="18"/>
      <c r="AG619" s="18"/>
      <c r="AH619" s="18"/>
      <c r="AI619" s="18"/>
      <c r="AJ619" s="18"/>
      <c r="AK619" s="18"/>
      <c r="AL619" s="18"/>
      <c r="AM619" s="18"/>
      <c r="AN619" s="18"/>
      <c r="AO619" s="18"/>
      <c r="AP619" s="18"/>
      <c r="AQ619" s="18"/>
      <c r="AR619" s="18"/>
      <c r="AS619" s="18"/>
      <c r="AT619" s="18"/>
      <c r="AU619" s="18"/>
      <c r="AV619" s="18"/>
      <c r="AW619" s="18"/>
      <c r="AX619" s="18"/>
      <c r="AY619" s="18"/>
      <c r="AZ619" s="18"/>
      <c r="BA619" s="18"/>
      <c r="BB619" s="18"/>
      <c r="BC619" s="18"/>
      <c r="BD619" s="18"/>
      <c r="BE619" s="18"/>
      <c r="BF619" s="18"/>
      <c r="BG619" s="18"/>
      <c r="BH619" s="18"/>
      <c r="BI619" s="18"/>
      <c r="BJ619" s="18"/>
      <c r="BK619" s="18"/>
      <c r="BL619" s="18"/>
      <c r="BM619" s="18"/>
      <c r="BN619" s="18"/>
      <c r="BO619" s="18"/>
      <c r="BP619" s="18"/>
      <c r="BQ619" s="18"/>
      <c r="BR619" s="18"/>
      <c r="BS619" s="18"/>
      <c r="BT619" s="18"/>
      <c r="BU619" s="18"/>
      <c r="BV619" s="18"/>
      <c r="BW619" s="18"/>
      <c r="BX619" s="18"/>
      <c r="BY619" s="18"/>
      <c r="BZ619" s="18"/>
      <c r="CA619" s="18"/>
      <c r="CB619" s="18"/>
      <c r="CC619" s="18"/>
      <c r="CD619" s="18"/>
      <c r="CE619" s="18"/>
      <c r="CF619" s="18"/>
      <c r="CG619" s="18"/>
      <c r="CH619" s="18"/>
      <c r="CI619" s="18"/>
      <c r="CJ619" s="18"/>
      <c r="CK619" s="18"/>
      <c r="CL619" s="18"/>
      <c r="CM619" s="18"/>
      <c r="CN619" s="18"/>
      <c r="CO619" s="18"/>
      <c r="CP619" s="18"/>
      <c r="CQ619" s="18"/>
      <c r="CR619" s="18"/>
      <c r="CS619" s="18"/>
      <c r="CT619" s="18"/>
      <c r="CU619" s="18"/>
    </row>
    <row r="620" spans="1:99">
      <c r="A620" s="19"/>
      <c r="B620" s="19"/>
      <c r="C620" s="19"/>
      <c r="D620" s="19"/>
      <c r="E620" s="19"/>
      <c r="F620" s="19"/>
      <c r="G620" s="19"/>
      <c r="H620" s="19"/>
      <c r="I620" s="19"/>
      <c r="J620" s="19"/>
      <c r="K620" s="18"/>
      <c r="L620" s="18"/>
      <c r="M620" s="18"/>
      <c r="N620" s="18"/>
      <c r="O620" s="18"/>
      <c r="P620" s="18"/>
      <c r="Q620" s="18"/>
      <c r="R620" s="18"/>
      <c r="S620" s="18"/>
      <c r="T620" s="18"/>
      <c r="U620" s="18"/>
      <c r="V620" s="18"/>
      <c r="W620" s="18"/>
      <c r="X620" s="18"/>
      <c r="Y620" s="18"/>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c r="BC620" s="18"/>
      <c r="BD620" s="18"/>
      <c r="BE620" s="18"/>
      <c r="BF620" s="18"/>
      <c r="BG620" s="18"/>
      <c r="BH620" s="18"/>
      <c r="BI620" s="18"/>
      <c r="BJ620" s="18"/>
      <c r="BK620" s="18"/>
      <c r="BL620" s="18"/>
      <c r="BM620" s="18"/>
      <c r="BN620" s="18"/>
      <c r="BO620" s="18"/>
      <c r="BP620" s="18"/>
      <c r="BQ620" s="18"/>
      <c r="BR620" s="18"/>
      <c r="BS620" s="18"/>
      <c r="BT620" s="18"/>
      <c r="BU620" s="18"/>
      <c r="BV620" s="18"/>
      <c r="BW620" s="18"/>
      <c r="BX620" s="18"/>
      <c r="BY620" s="18"/>
      <c r="BZ620" s="18"/>
      <c r="CA620" s="18"/>
      <c r="CB620" s="18"/>
      <c r="CC620" s="18"/>
      <c r="CD620" s="18"/>
      <c r="CE620" s="18"/>
      <c r="CF620" s="18"/>
      <c r="CG620" s="18"/>
      <c r="CH620" s="18"/>
      <c r="CI620" s="18"/>
      <c r="CJ620" s="18"/>
      <c r="CK620" s="18"/>
      <c r="CL620" s="18"/>
      <c r="CM620" s="18"/>
      <c r="CN620" s="18"/>
      <c r="CO620" s="18"/>
      <c r="CP620" s="18"/>
      <c r="CQ620" s="18"/>
      <c r="CR620" s="18"/>
      <c r="CS620" s="18"/>
      <c r="CT620" s="18"/>
      <c r="CU620" s="18"/>
    </row>
    <row r="621" spans="1:99">
      <c r="A621" s="19"/>
      <c r="B621" s="19"/>
      <c r="C621" s="19"/>
      <c r="D621" s="19"/>
      <c r="E621" s="19"/>
      <c r="F621" s="19"/>
      <c r="G621" s="19"/>
      <c r="H621" s="19"/>
      <c r="I621" s="19"/>
      <c r="J621" s="19"/>
      <c r="K621" s="18"/>
      <c r="L621" s="18"/>
      <c r="M621" s="18"/>
      <c r="N621" s="18"/>
      <c r="O621" s="18"/>
      <c r="P621" s="18"/>
      <c r="Q621" s="18"/>
      <c r="R621" s="18"/>
      <c r="S621" s="18"/>
      <c r="T621" s="18"/>
      <c r="U621" s="18"/>
      <c r="V621" s="18"/>
      <c r="W621" s="18"/>
      <c r="X621" s="18"/>
      <c r="Y621" s="18"/>
      <c r="Z621" s="18"/>
      <c r="AA621" s="18"/>
      <c r="AB621" s="18"/>
      <c r="AC621" s="18"/>
      <c r="AD621" s="18"/>
      <c r="AE621" s="18"/>
      <c r="AF621" s="18"/>
      <c r="AG621" s="18"/>
      <c r="AH621" s="18"/>
      <c r="AI621" s="18"/>
      <c r="AJ621" s="18"/>
      <c r="AK621" s="18"/>
      <c r="AL621" s="18"/>
      <c r="AM621" s="18"/>
      <c r="AN621" s="18"/>
      <c r="AO621" s="18"/>
      <c r="AP621" s="18"/>
      <c r="AQ621" s="18"/>
      <c r="AR621" s="18"/>
      <c r="AS621" s="18"/>
      <c r="AT621" s="18"/>
      <c r="AU621" s="18"/>
      <c r="AV621" s="18"/>
      <c r="AW621" s="18"/>
      <c r="AX621" s="18"/>
      <c r="AY621" s="18"/>
      <c r="AZ621" s="18"/>
      <c r="BA621" s="18"/>
      <c r="BB621" s="18"/>
      <c r="BC621" s="18"/>
      <c r="BD621" s="18"/>
      <c r="BE621" s="18"/>
      <c r="BF621" s="18"/>
      <c r="BG621" s="18"/>
      <c r="BH621" s="18"/>
      <c r="BI621" s="18"/>
      <c r="BJ621" s="18"/>
      <c r="BK621" s="18"/>
      <c r="BL621" s="18"/>
      <c r="BM621" s="18"/>
      <c r="BN621" s="18"/>
      <c r="BO621" s="18"/>
      <c r="BP621" s="18"/>
      <c r="BQ621" s="18"/>
      <c r="BR621" s="18"/>
      <c r="BS621" s="18"/>
      <c r="BT621" s="18"/>
      <c r="BU621" s="18"/>
      <c r="BV621" s="18"/>
      <c r="BW621" s="18"/>
      <c r="BX621" s="18"/>
      <c r="BY621" s="18"/>
      <c r="BZ621" s="18"/>
      <c r="CA621" s="18"/>
      <c r="CB621" s="18"/>
      <c r="CC621" s="18"/>
      <c r="CD621" s="18"/>
      <c r="CE621" s="18"/>
      <c r="CF621" s="18"/>
      <c r="CG621" s="18"/>
      <c r="CH621" s="18"/>
      <c r="CI621" s="18"/>
      <c r="CJ621" s="18"/>
      <c r="CK621" s="18"/>
      <c r="CL621" s="18"/>
      <c r="CM621" s="18"/>
      <c r="CN621" s="18"/>
      <c r="CO621" s="18"/>
      <c r="CP621" s="18"/>
      <c r="CQ621" s="18"/>
      <c r="CR621" s="18"/>
      <c r="CS621" s="18"/>
      <c r="CT621" s="18"/>
      <c r="CU621" s="18"/>
    </row>
    <row r="622" spans="1:99">
      <c r="A622" s="19"/>
      <c r="B622" s="19"/>
      <c r="C622" s="19"/>
      <c r="D622" s="19"/>
      <c r="E622" s="19"/>
      <c r="F622" s="19"/>
      <c r="G622" s="19"/>
      <c r="H622" s="19"/>
      <c r="I622" s="19"/>
      <c r="J622" s="19"/>
      <c r="K622" s="18"/>
      <c r="L622" s="18"/>
      <c r="M622" s="18"/>
      <c r="N622" s="18"/>
      <c r="O622" s="18"/>
      <c r="P622" s="18"/>
      <c r="Q622" s="18"/>
      <c r="R622" s="18"/>
      <c r="S622" s="18"/>
      <c r="T622" s="18"/>
      <c r="U622" s="18"/>
      <c r="V622" s="18"/>
      <c r="W622" s="18"/>
      <c r="X622" s="18"/>
      <c r="Y622" s="18"/>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c r="BC622" s="18"/>
      <c r="BD622" s="18"/>
      <c r="BE622" s="18"/>
      <c r="BF622" s="18"/>
      <c r="BG622" s="18"/>
      <c r="BH622" s="18"/>
      <c r="BI622" s="18"/>
      <c r="BJ622" s="18"/>
      <c r="BK622" s="18"/>
      <c r="BL622" s="18"/>
      <c r="BM622" s="18"/>
      <c r="BN622" s="18"/>
      <c r="BO622" s="18"/>
      <c r="BP622" s="18"/>
      <c r="BQ622" s="18"/>
      <c r="BR622" s="18"/>
      <c r="BS622" s="18"/>
      <c r="BT622" s="18"/>
      <c r="BU622" s="18"/>
      <c r="BV622" s="18"/>
      <c r="BW622" s="18"/>
      <c r="BX622" s="18"/>
      <c r="BY622" s="18"/>
      <c r="BZ622" s="18"/>
      <c r="CA622" s="18"/>
      <c r="CB622" s="18"/>
      <c r="CC622" s="18"/>
      <c r="CD622" s="18"/>
      <c r="CE622" s="18"/>
      <c r="CF622" s="18"/>
      <c r="CG622" s="18"/>
      <c r="CH622" s="18"/>
      <c r="CI622" s="18"/>
      <c r="CJ622" s="18"/>
      <c r="CK622" s="18"/>
      <c r="CL622" s="18"/>
      <c r="CM622" s="18"/>
      <c r="CN622" s="18"/>
      <c r="CO622" s="18"/>
      <c r="CP622" s="18"/>
      <c r="CQ622" s="18"/>
      <c r="CR622" s="18"/>
      <c r="CS622" s="18"/>
      <c r="CT622" s="18"/>
      <c r="CU622" s="18"/>
    </row>
    <row r="623" spans="1:99">
      <c r="A623" s="19"/>
      <c r="B623" s="19"/>
      <c r="C623" s="19"/>
      <c r="D623" s="19"/>
      <c r="E623" s="19"/>
      <c r="F623" s="19"/>
      <c r="G623" s="19"/>
      <c r="H623" s="19"/>
      <c r="I623" s="19"/>
      <c r="J623" s="19"/>
      <c r="K623" s="18"/>
      <c r="L623" s="18"/>
      <c r="M623" s="18"/>
      <c r="N623" s="18"/>
      <c r="O623" s="18"/>
      <c r="P623" s="18"/>
      <c r="Q623" s="18"/>
      <c r="R623" s="18"/>
      <c r="S623" s="18"/>
      <c r="T623" s="18"/>
      <c r="U623" s="18"/>
      <c r="V623" s="18"/>
      <c r="W623" s="18"/>
      <c r="X623" s="18"/>
      <c r="Y623" s="18"/>
      <c r="Z623" s="18"/>
      <c r="AA623" s="18"/>
      <c r="AB623" s="18"/>
      <c r="AC623" s="18"/>
      <c r="AD623" s="18"/>
      <c r="AE623" s="18"/>
      <c r="AF623" s="18"/>
      <c r="AG623" s="18"/>
      <c r="AH623" s="18"/>
      <c r="AI623" s="18"/>
      <c r="AJ623" s="18"/>
      <c r="AK623" s="18"/>
      <c r="AL623" s="18"/>
      <c r="AM623" s="18"/>
      <c r="AN623" s="18"/>
      <c r="AO623" s="18"/>
      <c r="AP623" s="18"/>
      <c r="AQ623" s="18"/>
      <c r="AR623" s="18"/>
      <c r="AS623" s="18"/>
      <c r="AT623" s="18"/>
      <c r="AU623" s="18"/>
      <c r="AV623" s="18"/>
      <c r="AW623" s="18"/>
      <c r="AX623" s="18"/>
      <c r="AY623" s="18"/>
      <c r="AZ623" s="18"/>
      <c r="BA623" s="18"/>
      <c r="BB623" s="18"/>
      <c r="BC623" s="18"/>
      <c r="BD623" s="18"/>
      <c r="BE623" s="18"/>
      <c r="BF623" s="18"/>
      <c r="BG623" s="18"/>
      <c r="BH623" s="18"/>
      <c r="BI623" s="18"/>
      <c r="BJ623" s="18"/>
      <c r="BK623" s="18"/>
      <c r="BL623" s="18"/>
      <c r="BM623" s="18"/>
      <c r="BN623" s="18"/>
      <c r="BO623" s="18"/>
      <c r="BP623" s="18"/>
      <c r="BQ623" s="18"/>
      <c r="BR623" s="18"/>
      <c r="BS623" s="18"/>
      <c r="BT623" s="18"/>
      <c r="BU623" s="18"/>
      <c r="BV623" s="18"/>
      <c r="BW623" s="18"/>
      <c r="BX623" s="18"/>
      <c r="BY623" s="18"/>
      <c r="BZ623" s="18"/>
      <c r="CA623" s="18"/>
      <c r="CB623" s="18"/>
      <c r="CC623" s="18"/>
      <c r="CD623" s="18"/>
      <c r="CE623" s="18"/>
      <c r="CF623" s="18"/>
      <c r="CG623" s="18"/>
      <c r="CH623" s="18"/>
      <c r="CI623" s="18"/>
      <c r="CJ623" s="18"/>
      <c r="CK623" s="18"/>
      <c r="CL623" s="18"/>
      <c r="CM623" s="18"/>
      <c r="CN623" s="18"/>
      <c r="CO623" s="18"/>
      <c r="CP623" s="18"/>
      <c r="CQ623" s="18"/>
      <c r="CR623" s="18"/>
      <c r="CS623" s="18"/>
      <c r="CT623" s="18"/>
      <c r="CU623" s="18"/>
    </row>
    <row r="624" spans="1:99">
      <c r="A624" s="19"/>
      <c r="B624" s="19"/>
      <c r="C624" s="19"/>
      <c r="D624" s="19"/>
      <c r="E624" s="19"/>
      <c r="F624" s="19"/>
      <c r="G624" s="19"/>
      <c r="H624" s="19"/>
      <c r="I624" s="19"/>
      <c r="J624" s="19"/>
      <c r="K624" s="18"/>
      <c r="L624" s="18"/>
      <c r="M624" s="18"/>
      <c r="N624" s="18"/>
      <c r="O624" s="18"/>
      <c r="P624" s="18"/>
      <c r="Q624" s="18"/>
      <c r="R624" s="18"/>
      <c r="S624" s="18"/>
      <c r="T624" s="18"/>
      <c r="U624" s="18"/>
      <c r="V624" s="18"/>
      <c r="W624" s="18"/>
      <c r="X624" s="18"/>
      <c r="Y624" s="18"/>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c r="BC624" s="18"/>
      <c r="BD624" s="18"/>
      <c r="BE624" s="18"/>
      <c r="BF624" s="18"/>
      <c r="BG624" s="18"/>
      <c r="BH624" s="18"/>
      <c r="BI624" s="18"/>
      <c r="BJ624" s="18"/>
      <c r="BK624" s="18"/>
      <c r="BL624" s="18"/>
      <c r="BM624" s="18"/>
      <c r="BN624" s="18"/>
      <c r="BO624" s="18"/>
      <c r="BP624" s="18"/>
      <c r="BQ624" s="18"/>
      <c r="BR624" s="18"/>
      <c r="BS624" s="18"/>
      <c r="BT624" s="18"/>
      <c r="BU624" s="18"/>
      <c r="BV624" s="18"/>
      <c r="BW624" s="18"/>
      <c r="BX624" s="18"/>
      <c r="BY624" s="18"/>
      <c r="BZ624" s="18"/>
      <c r="CA624" s="18"/>
      <c r="CB624" s="18"/>
      <c r="CC624" s="18"/>
      <c r="CD624" s="18"/>
      <c r="CE624" s="18"/>
      <c r="CF624" s="18"/>
      <c r="CG624" s="18"/>
      <c r="CH624" s="18"/>
      <c r="CI624" s="18"/>
      <c r="CJ624" s="18"/>
      <c r="CK624" s="18"/>
      <c r="CL624" s="18"/>
      <c r="CM624" s="18"/>
      <c r="CN624" s="18"/>
      <c r="CO624" s="18"/>
      <c r="CP624" s="18"/>
      <c r="CQ624" s="18"/>
      <c r="CR624" s="18"/>
      <c r="CS624" s="18"/>
      <c r="CT624" s="18"/>
      <c r="CU624" s="18"/>
    </row>
    <row r="625" spans="1:99">
      <c r="A625" s="19"/>
      <c r="B625" s="19"/>
      <c r="C625" s="19"/>
      <c r="D625" s="19"/>
      <c r="E625" s="19"/>
      <c r="F625" s="19"/>
      <c r="G625" s="19"/>
      <c r="H625" s="19"/>
      <c r="I625" s="19"/>
      <c r="J625" s="19"/>
      <c r="K625" s="18"/>
      <c r="L625" s="18"/>
      <c r="M625" s="18"/>
      <c r="N625" s="18"/>
      <c r="O625" s="18"/>
      <c r="P625" s="18"/>
      <c r="Q625" s="18"/>
      <c r="R625" s="18"/>
      <c r="S625" s="18"/>
      <c r="T625" s="18"/>
      <c r="U625" s="18"/>
      <c r="V625" s="18"/>
      <c r="W625" s="18"/>
      <c r="X625" s="18"/>
      <c r="Y625" s="18"/>
      <c r="Z625" s="18"/>
      <c r="AA625" s="18"/>
      <c r="AB625" s="18"/>
      <c r="AC625" s="18"/>
      <c r="AD625" s="18"/>
      <c r="AE625" s="18"/>
      <c r="AF625" s="18"/>
      <c r="AG625" s="18"/>
      <c r="AH625" s="18"/>
      <c r="AI625" s="18"/>
      <c r="AJ625" s="18"/>
      <c r="AK625" s="18"/>
      <c r="AL625" s="18"/>
      <c r="AM625" s="18"/>
      <c r="AN625" s="18"/>
      <c r="AO625" s="18"/>
      <c r="AP625" s="18"/>
      <c r="AQ625" s="18"/>
      <c r="AR625" s="18"/>
      <c r="AS625" s="18"/>
      <c r="AT625" s="18"/>
      <c r="AU625" s="18"/>
      <c r="AV625" s="18"/>
      <c r="AW625" s="18"/>
      <c r="AX625" s="18"/>
      <c r="AY625" s="18"/>
      <c r="AZ625" s="18"/>
      <c r="BA625" s="18"/>
      <c r="BB625" s="18"/>
      <c r="BC625" s="18"/>
      <c r="BD625" s="18"/>
      <c r="BE625" s="18"/>
      <c r="BF625" s="18"/>
      <c r="BG625" s="18"/>
      <c r="BH625" s="18"/>
      <c r="BI625" s="18"/>
      <c r="BJ625" s="18"/>
      <c r="BK625" s="18"/>
      <c r="BL625" s="18"/>
      <c r="BM625" s="18"/>
      <c r="BN625" s="18"/>
      <c r="BO625" s="18"/>
      <c r="BP625" s="18"/>
      <c r="BQ625" s="18"/>
      <c r="BR625" s="18"/>
      <c r="BS625" s="18"/>
      <c r="BT625" s="18"/>
      <c r="BU625" s="18"/>
      <c r="BV625" s="18"/>
      <c r="BW625" s="18"/>
      <c r="BX625" s="18"/>
      <c r="BY625" s="18"/>
      <c r="BZ625" s="18"/>
      <c r="CA625" s="18"/>
      <c r="CB625" s="18"/>
      <c r="CC625" s="18"/>
      <c r="CD625" s="18"/>
      <c r="CE625" s="18"/>
      <c r="CF625" s="18"/>
      <c r="CG625" s="18"/>
      <c r="CH625" s="18"/>
      <c r="CI625" s="18"/>
      <c r="CJ625" s="18"/>
      <c r="CK625" s="18"/>
      <c r="CL625" s="18"/>
      <c r="CM625" s="18"/>
      <c r="CN625" s="18"/>
      <c r="CO625" s="18"/>
      <c r="CP625" s="18"/>
      <c r="CQ625" s="18"/>
      <c r="CR625" s="18"/>
      <c r="CS625" s="18"/>
      <c r="CT625" s="18"/>
      <c r="CU625" s="18"/>
    </row>
    <row r="626" spans="1:99">
      <c r="A626" s="19"/>
      <c r="B626" s="19"/>
      <c r="C626" s="19"/>
      <c r="D626" s="19"/>
      <c r="E626" s="19"/>
      <c r="F626" s="19"/>
      <c r="G626" s="19"/>
      <c r="H626" s="19"/>
      <c r="I626" s="19"/>
      <c r="J626" s="19"/>
      <c r="K626" s="18"/>
      <c r="L626" s="18"/>
      <c r="M626" s="18"/>
      <c r="N626" s="18"/>
      <c r="O626" s="18"/>
      <c r="P626" s="18"/>
      <c r="Q626" s="18"/>
      <c r="R626" s="18"/>
      <c r="S626" s="18"/>
      <c r="T626" s="18"/>
      <c r="U626" s="18"/>
      <c r="V626" s="18"/>
      <c r="W626" s="18"/>
      <c r="X626" s="18"/>
      <c r="Y626" s="18"/>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c r="BC626" s="18"/>
      <c r="BD626" s="18"/>
      <c r="BE626" s="18"/>
      <c r="BF626" s="18"/>
      <c r="BG626" s="18"/>
      <c r="BH626" s="18"/>
      <c r="BI626" s="18"/>
      <c r="BJ626" s="18"/>
      <c r="BK626" s="18"/>
      <c r="BL626" s="18"/>
      <c r="BM626" s="18"/>
      <c r="BN626" s="18"/>
      <c r="BO626" s="18"/>
      <c r="BP626" s="18"/>
      <c r="BQ626" s="18"/>
      <c r="BR626" s="18"/>
      <c r="BS626" s="18"/>
      <c r="BT626" s="18"/>
      <c r="BU626" s="18"/>
      <c r="BV626" s="18"/>
      <c r="BW626" s="18"/>
      <c r="BX626" s="18"/>
      <c r="BY626" s="18"/>
      <c r="BZ626" s="18"/>
      <c r="CA626" s="18"/>
      <c r="CB626" s="18"/>
      <c r="CC626" s="18"/>
      <c r="CD626" s="18"/>
      <c r="CE626" s="18"/>
      <c r="CF626" s="18"/>
      <c r="CG626" s="18"/>
      <c r="CH626" s="18"/>
      <c r="CI626" s="18"/>
      <c r="CJ626" s="18"/>
      <c r="CK626" s="18"/>
      <c r="CL626" s="18"/>
      <c r="CM626" s="18"/>
      <c r="CN626" s="18"/>
      <c r="CO626" s="18"/>
      <c r="CP626" s="18"/>
      <c r="CQ626" s="18"/>
      <c r="CR626" s="18"/>
      <c r="CS626" s="18"/>
      <c r="CT626" s="18"/>
      <c r="CU626" s="18"/>
    </row>
    <row r="627" spans="1:99">
      <c r="A627" s="19"/>
      <c r="B627" s="19"/>
      <c r="C627" s="19"/>
      <c r="D627" s="19"/>
      <c r="E627" s="19"/>
      <c r="F627" s="19"/>
      <c r="G627" s="19"/>
      <c r="H627" s="19"/>
      <c r="I627" s="19"/>
      <c r="J627" s="19"/>
      <c r="K627" s="18"/>
      <c r="L627" s="18"/>
      <c r="M627" s="18"/>
      <c r="N627" s="18"/>
      <c r="O627" s="18"/>
      <c r="P627" s="18"/>
      <c r="Q627" s="18"/>
      <c r="R627" s="18"/>
      <c r="S627" s="18"/>
      <c r="T627" s="18"/>
      <c r="U627" s="18"/>
      <c r="V627" s="18"/>
      <c r="W627" s="18"/>
      <c r="X627" s="18"/>
      <c r="Y627" s="18"/>
      <c r="Z627" s="18"/>
      <c r="AA627" s="18"/>
      <c r="AB627" s="18"/>
      <c r="AC627" s="18"/>
      <c r="AD627" s="18"/>
      <c r="AE627" s="18"/>
      <c r="AF627" s="18"/>
      <c r="AG627" s="18"/>
      <c r="AH627" s="18"/>
      <c r="AI627" s="18"/>
      <c r="AJ627" s="18"/>
      <c r="AK627" s="18"/>
      <c r="AL627" s="18"/>
      <c r="AM627" s="18"/>
      <c r="AN627" s="18"/>
      <c r="AO627" s="18"/>
      <c r="AP627" s="18"/>
      <c r="AQ627" s="18"/>
      <c r="AR627" s="18"/>
      <c r="AS627" s="18"/>
      <c r="AT627" s="18"/>
      <c r="AU627" s="18"/>
      <c r="AV627" s="18"/>
      <c r="AW627" s="18"/>
      <c r="AX627" s="18"/>
      <c r="AY627" s="18"/>
      <c r="AZ627" s="18"/>
      <c r="BA627" s="18"/>
      <c r="BB627" s="18"/>
      <c r="BC627" s="18"/>
      <c r="BD627" s="18"/>
      <c r="BE627" s="18"/>
      <c r="BF627" s="18"/>
      <c r="BG627" s="18"/>
      <c r="BH627" s="18"/>
      <c r="BI627" s="18"/>
      <c r="BJ627" s="18"/>
      <c r="BK627" s="18"/>
      <c r="BL627" s="18"/>
      <c r="BM627" s="18"/>
      <c r="BN627" s="18"/>
      <c r="BO627" s="18"/>
      <c r="BP627" s="18"/>
      <c r="BQ627" s="18"/>
      <c r="BR627" s="18"/>
      <c r="BS627" s="18"/>
      <c r="BT627" s="18"/>
      <c r="BU627" s="18"/>
      <c r="BV627" s="18"/>
      <c r="BW627" s="18"/>
      <c r="BX627" s="18"/>
      <c r="BY627" s="18"/>
      <c r="BZ627" s="18"/>
      <c r="CA627" s="18"/>
      <c r="CB627" s="18"/>
      <c r="CC627" s="18"/>
      <c r="CD627" s="18"/>
      <c r="CE627" s="18"/>
      <c r="CF627" s="18"/>
      <c r="CG627" s="18"/>
      <c r="CH627" s="18"/>
      <c r="CI627" s="18"/>
      <c r="CJ627" s="18"/>
      <c r="CK627" s="18"/>
      <c r="CL627" s="18"/>
      <c r="CM627" s="18"/>
      <c r="CN627" s="18"/>
      <c r="CO627" s="18"/>
      <c r="CP627" s="18"/>
      <c r="CQ627" s="18"/>
      <c r="CR627" s="18"/>
      <c r="CS627" s="18"/>
      <c r="CT627" s="18"/>
      <c r="CU627" s="18"/>
    </row>
    <row r="628" spans="1:99">
      <c r="A628" s="19"/>
      <c r="B628" s="19"/>
      <c r="C628" s="19"/>
      <c r="D628" s="19"/>
      <c r="E628" s="19"/>
      <c r="F628" s="19"/>
      <c r="G628" s="19"/>
      <c r="H628" s="19"/>
      <c r="I628" s="19"/>
      <c r="J628" s="19"/>
      <c r="K628" s="18"/>
      <c r="L628" s="18"/>
      <c r="M628" s="18"/>
      <c r="N628" s="18"/>
      <c r="O628" s="18"/>
      <c r="P628" s="18"/>
      <c r="Q628" s="18"/>
      <c r="R628" s="18"/>
      <c r="S628" s="18"/>
      <c r="T628" s="18"/>
      <c r="U628" s="18"/>
      <c r="V628" s="18"/>
      <c r="W628" s="18"/>
      <c r="X628" s="18"/>
      <c r="Y628" s="18"/>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c r="BC628" s="18"/>
      <c r="BD628" s="18"/>
      <c r="BE628" s="18"/>
      <c r="BF628" s="18"/>
      <c r="BG628" s="18"/>
      <c r="BH628" s="18"/>
      <c r="BI628" s="18"/>
      <c r="BJ628" s="18"/>
      <c r="BK628" s="18"/>
      <c r="BL628" s="18"/>
      <c r="BM628" s="18"/>
      <c r="BN628" s="18"/>
      <c r="BO628" s="18"/>
      <c r="BP628" s="18"/>
      <c r="BQ628" s="18"/>
      <c r="BR628" s="18"/>
      <c r="BS628" s="18"/>
      <c r="BT628" s="18"/>
      <c r="BU628" s="18"/>
      <c r="BV628" s="18"/>
      <c r="BW628" s="18"/>
      <c r="BX628" s="18"/>
      <c r="BY628" s="18"/>
      <c r="BZ628" s="18"/>
      <c r="CA628" s="18"/>
      <c r="CB628" s="18"/>
      <c r="CC628" s="18"/>
      <c r="CD628" s="18"/>
      <c r="CE628" s="18"/>
      <c r="CF628" s="18"/>
      <c r="CG628" s="18"/>
      <c r="CH628" s="18"/>
      <c r="CI628" s="18"/>
      <c r="CJ628" s="18"/>
      <c r="CK628" s="18"/>
      <c r="CL628" s="18"/>
      <c r="CM628" s="18"/>
      <c r="CN628" s="18"/>
      <c r="CO628" s="18"/>
      <c r="CP628" s="18"/>
      <c r="CQ628" s="18"/>
      <c r="CR628" s="18"/>
      <c r="CS628" s="18"/>
      <c r="CT628" s="18"/>
      <c r="CU628" s="18"/>
    </row>
    <row r="629" spans="1:99">
      <c r="A629" s="19"/>
      <c r="B629" s="19"/>
      <c r="C629" s="19"/>
      <c r="D629" s="19"/>
      <c r="E629" s="19"/>
      <c r="F629" s="19"/>
      <c r="G629" s="19"/>
      <c r="H629" s="19"/>
      <c r="I629" s="19"/>
      <c r="J629" s="19"/>
      <c r="K629" s="18"/>
      <c r="L629" s="18"/>
      <c r="M629" s="18"/>
      <c r="N629" s="18"/>
      <c r="O629" s="18"/>
      <c r="P629" s="18"/>
      <c r="Q629" s="18"/>
      <c r="R629" s="18"/>
      <c r="S629" s="18"/>
      <c r="T629" s="18"/>
      <c r="U629" s="18"/>
      <c r="V629" s="18"/>
      <c r="W629" s="18"/>
      <c r="X629" s="18"/>
      <c r="Y629" s="18"/>
      <c r="Z629" s="18"/>
      <c r="AA629" s="18"/>
      <c r="AB629" s="18"/>
      <c r="AC629" s="18"/>
      <c r="AD629" s="18"/>
      <c r="AE629" s="18"/>
      <c r="AF629" s="18"/>
      <c r="AG629" s="18"/>
      <c r="AH629" s="18"/>
      <c r="AI629" s="18"/>
      <c r="AJ629" s="18"/>
      <c r="AK629" s="18"/>
      <c r="AL629" s="18"/>
      <c r="AM629" s="18"/>
      <c r="AN629" s="18"/>
      <c r="AO629" s="18"/>
      <c r="AP629" s="18"/>
      <c r="AQ629" s="18"/>
      <c r="AR629" s="18"/>
      <c r="AS629" s="18"/>
      <c r="AT629" s="18"/>
      <c r="AU629" s="18"/>
      <c r="AV629" s="18"/>
      <c r="AW629" s="18"/>
      <c r="AX629" s="18"/>
      <c r="AY629" s="18"/>
      <c r="AZ629" s="18"/>
      <c r="BA629" s="18"/>
      <c r="BB629" s="18"/>
      <c r="BC629" s="18"/>
      <c r="BD629" s="18"/>
      <c r="BE629" s="18"/>
      <c r="BF629" s="18"/>
      <c r="BG629" s="18"/>
      <c r="BH629" s="18"/>
      <c r="BI629" s="18"/>
      <c r="BJ629" s="18"/>
      <c r="BK629" s="18"/>
      <c r="BL629" s="18"/>
      <c r="BM629" s="18"/>
      <c r="BN629" s="18"/>
      <c r="BO629" s="18"/>
      <c r="BP629" s="18"/>
      <c r="BQ629" s="18"/>
      <c r="BR629" s="18"/>
      <c r="BS629" s="18"/>
      <c r="BT629" s="18"/>
      <c r="BU629" s="18"/>
      <c r="BV629" s="18"/>
      <c r="BW629" s="18"/>
      <c r="BX629" s="18"/>
      <c r="BY629" s="18"/>
      <c r="BZ629" s="18"/>
      <c r="CA629" s="18"/>
      <c r="CB629" s="18"/>
      <c r="CC629" s="18"/>
      <c r="CD629" s="18"/>
      <c r="CE629" s="18"/>
      <c r="CF629" s="18"/>
      <c r="CG629" s="18"/>
      <c r="CH629" s="18"/>
      <c r="CI629" s="18"/>
      <c r="CJ629" s="18"/>
      <c r="CK629" s="18"/>
      <c r="CL629" s="18"/>
      <c r="CM629" s="18"/>
      <c r="CN629" s="18"/>
      <c r="CO629" s="18"/>
      <c r="CP629" s="18"/>
      <c r="CQ629" s="18"/>
      <c r="CR629" s="18"/>
      <c r="CS629" s="18"/>
      <c r="CT629" s="18"/>
      <c r="CU629" s="18"/>
    </row>
    <row r="630" spans="1:99">
      <c r="A630" s="19"/>
      <c r="B630" s="19"/>
      <c r="C630" s="19"/>
      <c r="D630" s="19"/>
      <c r="E630" s="19"/>
      <c r="F630" s="19"/>
      <c r="G630" s="19"/>
      <c r="H630" s="19"/>
      <c r="I630" s="19"/>
      <c r="J630" s="19"/>
      <c r="K630" s="18"/>
      <c r="L630" s="18"/>
      <c r="M630" s="18"/>
      <c r="N630" s="18"/>
      <c r="O630" s="18"/>
      <c r="P630" s="18"/>
      <c r="Q630" s="18"/>
      <c r="R630" s="18"/>
      <c r="S630" s="18"/>
      <c r="T630" s="18"/>
      <c r="U630" s="18"/>
      <c r="V630" s="18"/>
      <c r="W630" s="18"/>
      <c r="X630" s="18"/>
      <c r="Y630" s="18"/>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c r="BC630" s="18"/>
      <c r="BD630" s="18"/>
      <c r="BE630" s="18"/>
      <c r="BF630" s="18"/>
      <c r="BG630" s="18"/>
      <c r="BH630" s="18"/>
      <c r="BI630" s="18"/>
      <c r="BJ630" s="18"/>
      <c r="BK630" s="18"/>
      <c r="BL630" s="18"/>
      <c r="BM630" s="18"/>
      <c r="BN630" s="18"/>
      <c r="BO630" s="18"/>
      <c r="BP630" s="18"/>
      <c r="BQ630" s="18"/>
      <c r="BR630" s="18"/>
      <c r="BS630" s="18"/>
      <c r="BT630" s="18"/>
      <c r="BU630" s="18"/>
      <c r="BV630" s="18"/>
      <c r="BW630" s="18"/>
      <c r="BX630" s="18"/>
      <c r="BY630" s="18"/>
      <c r="BZ630" s="18"/>
      <c r="CA630" s="18"/>
      <c r="CB630" s="18"/>
      <c r="CC630" s="18"/>
      <c r="CD630" s="18"/>
      <c r="CE630" s="18"/>
      <c r="CF630" s="18"/>
      <c r="CG630" s="18"/>
      <c r="CH630" s="18"/>
      <c r="CI630" s="18"/>
      <c r="CJ630" s="18"/>
      <c r="CK630" s="18"/>
      <c r="CL630" s="18"/>
      <c r="CM630" s="18"/>
      <c r="CN630" s="18"/>
      <c r="CO630" s="18"/>
      <c r="CP630" s="18"/>
      <c r="CQ630" s="18"/>
      <c r="CR630" s="18"/>
      <c r="CS630" s="18"/>
      <c r="CT630" s="18"/>
      <c r="CU630" s="18"/>
    </row>
    <row r="631" spans="1:99">
      <c r="A631" s="19"/>
      <c r="B631" s="19"/>
      <c r="C631" s="19"/>
      <c r="D631" s="19"/>
      <c r="E631" s="19"/>
      <c r="F631" s="19"/>
      <c r="G631" s="19"/>
      <c r="H631" s="19"/>
      <c r="I631" s="19"/>
      <c r="J631" s="19"/>
      <c r="K631" s="18"/>
      <c r="L631" s="18"/>
      <c r="M631" s="18"/>
      <c r="N631" s="18"/>
      <c r="O631" s="18"/>
      <c r="P631" s="18"/>
      <c r="Q631" s="18"/>
      <c r="R631" s="18"/>
      <c r="S631" s="18"/>
      <c r="T631" s="18"/>
      <c r="U631" s="18"/>
      <c r="V631" s="18"/>
      <c r="W631" s="18"/>
      <c r="X631" s="18"/>
      <c r="Y631" s="18"/>
      <c r="Z631" s="18"/>
      <c r="AA631" s="18"/>
      <c r="AB631" s="18"/>
      <c r="AC631" s="18"/>
      <c r="AD631" s="18"/>
      <c r="AE631" s="18"/>
      <c r="AF631" s="18"/>
      <c r="AG631" s="18"/>
      <c r="AH631" s="18"/>
      <c r="AI631" s="18"/>
      <c r="AJ631" s="18"/>
      <c r="AK631" s="18"/>
      <c r="AL631" s="18"/>
      <c r="AM631" s="18"/>
      <c r="AN631" s="18"/>
      <c r="AO631" s="18"/>
      <c r="AP631" s="18"/>
      <c r="AQ631" s="18"/>
      <c r="AR631" s="18"/>
      <c r="AS631" s="18"/>
      <c r="AT631" s="18"/>
      <c r="AU631" s="18"/>
      <c r="AV631" s="18"/>
      <c r="AW631" s="18"/>
      <c r="AX631" s="18"/>
      <c r="AY631" s="18"/>
      <c r="AZ631" s="18"/>
      <c r="BA631" s="18"/>
      <c r="BB631" s="18"/>
      <c r="BC631" s="18"/>
      <c r="BD631" s="18"/>
      <c r="BE631" s="18"/>
      <c r="BF631" s="18"/>
      <c r="BG631" s="18"/>
      <c r="BH631" s="18"/>
      <c r="BI631" s="18"/>
      <c r="BJ631" s="18"/>
      <c r="BK631" s="18"/>
      <c r="BL631" s="18"/>
      <c r="BM631" s="18"/>
      <c r="BN631" s="18"/>
      <c r="BO631" s="18"/>
      <c r="BP631" s="18"/>
      <c r="BQ631" s="18"/>
      <c r="BR631" s="18"/>
      <c r="BS631" s="18"/>
      <c r="BT631" s="18"/>
      <c r="BU631" s="18"/>
      <c r="BV631" s="18"/>
      <c r="BW631" s="18"/>
      <c r="BX631" s="18"/>
      <c r="BY631" s="18"/>
      <c r="BZ631" s="18"/>
      <c r="CA631" s="18"/>
      <c r="CB631" s="18"/>
      <c r="CC631" s="18"/>
      <c r="CD631" s="18"/>
      <c r="CE631" s="18"/>
      <c r="CF631" s="18"/>
      <c r="CG631" s="18"/>
      <c r="CH631" s="18"/>
      <c r="CI631" s="18"/>
      <c r="CJ631" s="18"/>
      <c r="CK631" s="18"/>
      <c r="CL631" s="18"/>
      <c r="CM631" s="18"/>
      <c r="CN631" s="18"/>
      <c r="CO631" s="18"/>
      <c r="CP631" s="18"/>
      <c r="CQ631" s="18"/>
      <c r="CR631" s="18"/>
      <c r="CS631" s="18"/>
      <c r="CT631" s="18"/>
      <c r="CU631" s="18"/>
    </row>
    <row r="632" spans="1:99">
      <c r="A632" s="19"/>
      <c r="B632" s="19"/>
      <c r="C632" s="19"/>
      <c r="D632" s="19"/>
      <c r="E632" s="19"/>
      <c r="F632" s="19"/>
      <c r="G632" s="19"/>
      <c r="H632" s="19"/>
      <c r="I632" s="19"/>
      <c r="J632" s="19"/>
      <c r="K632" s="18"/>
      <c r="L632" s="18"/>
      <c r="M632" s="18"/>
      <c r="N632" s="18"/>
      <c r="O632" s="18"/>
      <c r="P632" s="18"/>
      <c r="Q632" s="18"/>
      <c r="R632" s="18"/>
      <c r="S632" s="18"/>
      <c r="T632" s="18"/>
      <c r="U632" s="18"/>
      <c r="V632" s="18"/>
      <c r="W632" s="18"/>
      <c r="X632" s="18"/>
      <c r="Y632" s="18"/>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c r="BC632" s="18"/>
      <c r="BD632" s="18"/>
      <c r="BE632" s="18"/>
      <c r="BF632" s="18"/>
      <c r="BG632" s="18"/>
      <c r="BH632" s="18"/>
      <c r="BI632" s="18"/>
      <c r="BJ632" s="18"/>
      <c r="BK632" s="18"/>
      <c r="BL632" s="18"/>
      <c r="BM632" s="18"/>
      <c r="BN632" s="18"/>
      <c r="BO632" s="18"/>
      <c r="BP632" s="18"/>
      <c r="BQ632" s="18"/>
      <c r="BR632" s="18"/>
      <c r="BS632" s="18"/>
      <c r="BT632" s="18"/>
      <c r="BU632" s="18"/>
      <c r="BV632" s="18"/>
      <c r="BW632" s="18"/>
      <c r="BX632" s="18"/>
      <c r="BY632" s="18"/>
      <c r="BZ632" s="18"/>
      <c r="CA632" s="18"/>
      <c r="CB632" s="18"/>
      <c r="CC632" s="18"/>
      <c r="CD632" s="18"/>
      <c r="CE632" s="18"/>
      <c r="CF632" s="18"/>
      <c r="CG632" s="18"/>
      <c r="CH632" s="18"/>
      <c r="CI632" s="18"/>
      <c r="CJ632" s="18"/>
      <c r="CK632" s="18"/>
      <c r="CL632" s="18"/>
      <c r="CM632" s="18"/>
      <c r="CN632" s="18"/>
      <c r="CO632" s="18"/>
      <c r="CP632" s="18"/>
      <c r="CQ632" s="18"/>
      <c r="CR632" s="18"/>
      <c r="CS632" s="18"/>
      <c r="CT632" s="18"/>
      <c r="CU632" s="18"/>
    </row>
    <row r="633" spans="1:99">
      <c r="A633" s="19"/>
      <c r="B633" s="19"/>
      <c r="C633" s="19"/>
      <c r="D633" s="19"/>
      <c r="E633" s="19"/>
      <c r="F633" s="19"/>
      <c r="G633" s="19"/>
      <c r="H633" s="19"/>
      <c r="I633" s="19"/>
      <c r="J633" s="19"/>
      <c r="K633" s="18"/>
      <c r="L633" s="18"/>
      <c r="M633" s="18"/>
      <c r="N633" s="18"/>
      <c r="O633" s="18"/>
      <c r="P633" s="18"/>
      <c r="Q633" s="18"/>
      <c r="R633" s="18"/>
      <c r="S633" s="18"/>
      <c r="T633" s="18"/>
      <c r="U633" s="18"/>
      <c r="V633" s="18"/>
      <c r="W633" s="18"/>
      <c r="X633" s="18"/>
      <c r="Y633" s="18"/>
      <c r="Z633" s="18"/>
      <c r="AA633" s="18"/>
      <c r="AB633" s="18"/>
      <c r="AC633" s="18"/>
      <c r="AD633" s="18"/>
      <c r="AE633" s="18"/>
      <c r="AF633" s="18"/>
      <c r="AG633" s="18"/>
      <c r="AH633" s="18"/>
      <c r="AI633" s="18"/>
      <c r="AJ633" s="18"/>
      <c r="AK633" s="18"/>
      <c r="AL633" s="18"/>
      <c r="AM633" s="18"/>
      <c r="AN633" s="18"/>
      <c r="AO633" s="18"/>
      <c r="AP633" s="18"/>
      <c r="AQ633" s="18"/>
      <c r="AR633" s="18"/>
      <c r="AS633" s="18"/>
      <c r="AT633" s="18"/>
      <c r="AU633" s="18"/>
      <c r="AV633" s="18"/>
      <c r="AW633" s="18"/>
      <c r="AX633" s="18"/>
      <c r="AY633" s="18"/>
      <c r="AZ633" s="18"/>
      <c r="BA633" s="18"/>
      <c r="BB633" s="18"/>
      <c r="BC633" s="18"/>
      <c r="BD633" s="18"/>
      <c r="BE633" s="18"/>
      <c r="BF633" s="18"/>
      <c r="BG633" s="18"/>
      <c r="BH633" s="18"/>
      <c r="BI633" s="18"/>
      <c r="BJ633" s="18"/>
      <c r="BK633" s="18"/>
      <c r="BL633" s="18"/>
      <c r="BM633" s="18"/>
      <c r="BN633" s="18"/>
      <c r="BO633" s="18"/>
      <c r="BP633" s="18"/>
      <c r="BQ633" s="18"/>
      <c r="BR633" s="18"/>
      <c r="BS633" s="18"/>
      <c r="BT633" s="18"/>
      <c r="BU633" s="18"/>
      <c r="BV633" s="18"/>
      <c r="BW633" s="18"/>
      <c r="BX633" s="18"/>
      <c r="BY633" s="18"/>
      <c r="BZ633" s="18"/>
      <c r="CA633" s="18"/>
      <c r="CB633" s="18"/>
      <c r="CC633" s="18"/>
      <c r="CD633" s="18"/>
      <c r="CE633" s="18"/>
      <c r="CF633" s="18"/>
      <c r="CG633" s="18"/>
      <c r="CH633" s="18"/>
      <c r="CI633" s="18"/>
      <c r="CJ633" s="18"/>
      <c r="CK633" s="18"/>
      <c r="CL633" s="18"/>
      <c r="CM633" s="18"/>
      <c r="CN633" s="18"/>
      <c r="CO633" s="18"/>
      <c r="CP633" s="18"/>
      <c r="CQ633" s="18"/>
      <c r="CR633" s="18"/>
      <c r="CS633" s="18"/>
      <c r="CT633" s="18"/>
      <c r="CU633" s="18"/>
    </row>
    <row r="634" spans="1:99">
      <c r="A634" s="19"/>
      <c r="B634" s="19"/>
      <c r="C634" s="19"/>
      <c r="D634" s="19"/>
      <c r="E634" s="19"/>
      <c r="F634" s="19"/>
      <c r="G634" s="19"/>
      <c r="H634" s="19"/>
      <c r="I634" s="19"/>
      <c r="J634" s="19"/>
      <c r="K634" s="18"/>
      <c r="L634" s="18"/>
      <c r="M634" s="18"/>
      <c r="N634" s="18"/>
      <c r="O634" s="18"/>
      <c r="P634" s="18"/>
      <c r="Q634" s="18"/>
      <c r="R634" s="18"/>
      <c r="S634" s="18"/>
      <c r="T634" s="18"/>
      <c r="U634" s="18"/>
      <c r="V634" s="18"/>
      <c r="W634" s="18"/>
      <c r="X634" s="18"/>
      <c r="Y634" s="18"/>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c r="BC634" s="18"/>
      <c r="BD634" s="18"/>
      <c r="BE634" s="18"/>
      <c r="BF634" s="18"/>
      <c r="BG634" s="18"/>
      <c r="BH634" s="18"/>
      <c r="BI634" s="18"/>
      <c r="BJ634" s="18"/>
      <c r="BK634" s="18"/>
      <c r="BL634" s="18"/>
      <c r="BM634" s="18"/>
      <c r="BN634" s="18"/>
      <c r="BO634" s="18"/>
      <c r="BP634" s="18"/>
      <c r="BQ634" s="18"/>
      <c r="BR634" s="18"/>
      <c r="BS634" s="18"/>
      <c r="BT634" s="18"/>
      <c r="BU634" s="18"/>
      <c r="BV634" s="18"/>
      <c r="BW634" s="18"/>
      <c r="BX634" s="18"/>
      <c r="BY634" s="18"/>
      <c r="BZ634" s="18"/>
      <c r="CA634" s="18"/>
      <c r="CB634" s="18"/>
      <c r="CC634" s="18"/>
      <c r="CD634" s="18"/>
      <c r="CE634" s="18"/>
      <c r="CF634" s="18"/>
      <c r="CG634" s="18"/>
      <c r="CH634" s="18"/>
      <c r="CI634" s="18"/>
      <c r="CJ634" s="18"/>
      <c r="CK634" s="18"/>
      <c r="CL634" s="18"/>
      <c r="CM634" s="18"/>
      <c r="CN634" s="18"/>
      <c r="CO634" s="18"/>
      <c r="CP634" s="18"/>
      <c r="CQ634" s="18"/>
      <c r="CR634" s="18"/>
      <c r="CS634" s="18"/>
      <c r="CT634" s="18"/>
      <c r="CU634" s="18"/>
    </row>
    <row r="635" spans="1:99">
      <c r="A635" s="19"/>
      <c r="B635" s="19"/>
      <c r="C635" s="19"/>
      <c r="D635" s="19"/>
      <c r="E635" s="19"/>
      <c r="F635" s="19"/>
      <c r="G635" s="19"/>
      <c r="H635" s="19"/>
      <c r="I635" s="19"/>
      <c r="J635" s="19"/>
      <c r="K635" s="18"/>
      <c r="L635" s="18"/>
      <c r="M635" s="18"/>
      <c r="N635" s="18"/>
      <c r="O635" s="18"/>
      <c r="P635" s="18"/>
      <c r="Q635" s="18"/>
      <c r="R635" s="18"/>
      <c r="S635" s="18"/>
      <c r="T635" s="18"/>
      <c r="U635" s="18"/>
      <c r="V635" s="18"/>
      <c r="W635" s="18"/>
      <c r="X635" s="18"/>
      <c r="Y635" s="18"/>
      <c r="Z635" s="18"/>
      <c r="AA635" s="18"/>
      <c r="AB635" s="18"/>
      <c r="AC635" s="18"/>
      <c r="AD635" s="18"/>
      <c r="AE635" s="18"/>
      <c r="AF635" s="18"/>
      <c r="AG635" s="18"/>
      <c r="AH635" s="18"/>
      <c r="AI635" s="18"/>
      <c r="AJ635" s="18"/>
      <c r="AK635" s="18"/>
      <c r="AL635" s="18"/>
      <c r="AM635" s="18"/>
      <c r="AN635" s="18"/>
      <c r="AO635" s="18"/>
      <c r="AP635" s="18"/>
      <c r="AQ635" s="18"/>
      <c r="AR635" s="18"/>
      <c r="AS635" s="18"/>
      <c r="AT635" s="18"/>
      <c r="AU635" s="18"/>
      <c r="AV635" s="18"/>
      <c r="AW635" s="18"/>
      <c r="AX635" s="18"/>
      <c r="AY635" s="18"/>
      <c r="AZ635" s="18"/>
      <c r="BA635" s="18"/>
      <c r="BB635" s="18"/>
      <c r="BC635" s="18"/>
      <c r="BD635" s="18"/>
      <c r="BE635" s="18"/>
      <c r="BF635" s="18"/>
      <c r="BG635" s="18"/>
      <c r="BH635" s="18"/>
      <c r="BI635" s="18"/>
      <c r="BJ635" s="18"/>
      <c r="BK635" s="18"/>
      <c r="BL635" s="18"/>
      <c r="BM635" s="18"/>
      <c r="BN635" s="18"/>
      <c r="BO635" s="18"/>
      <c r="BP635" s="18"/>
      <c r="BQ635" s="18"/>
      <c r="BR635" s="18"/>
      <c r="BS635" s="18"/>
      <c r="BT635" s="18"/>
      <c r="BU635" s="18"/>
      <c r="BV635" s="18"/>
      <c r="BW635" s="18"/>
      <c r="BX635" s="18"/>
      <c r="BY635" s="18"/>
      <c r="BZ635" s="18"/>
      <c r="CA635" s="18"/>
      <c r="CB635" s="18"/>
      <c r="CC635" s="18"/>
      <c r="CD635" s="18"/>
      <c r="CE635" s="18"/>
      <c r="CF635" s="18"/>
      <c r="CG635" s="18"/>
      <c r="CH635" s="18"/>
      <c r="CI635" s="18"/>
      <c r="CJ635" s="18"/>
      <c r="CK635" s="18"/>
      <c r="CL635" s="18"/>
      <c r="CM635" s="18"/>
      <c r="CN635" s="18"/>
      <c r="CO635" s="18"/>
      <c r="CP635" s="18"/>
      <c r="CQ635" s="18"/>
      <c r="CR635" s="18"/>
      <c r="CS635" s="18"/>
      <c r="CT635" s="18"/>
      <c r="CU635" s="18"/>
    </row>
    <row r="636" spans="1:99">
      <c r="A636" s="19"/>
      <c r="B636" s="19"/>
      <c r="C636" s="19"/>
      <c r="D636" s="19"/>
      <c r="E636" s="19"/>
      <c r="F636" s="19"/>
      <c r="G636" s="19"/>
      <c r="H636" s="19"/>
      <c r="I636" s="19"/>
      <c r="J636" s="19"/>
      <c r="K636" s="18"/>
      <c r="L636" s="18"/>
      <c r="M636" s="18"/>
      <c r="N636" s="18"/>
      <c r="O636" s="18"/>
      <c r="P636" s="18"/>
      <c r="Q636" s="18"/>
      <c r="R636" s="18"/>
      <c r="S636" s="18"/>
      <c r="T636" s="18"/>
      <c r="U636" s="18"/>
      <c r="V636" s="18"/>
      <c r="W636" s="18"/>
      <c r="X636" s="18"/>
      <c r="Y636" s="18"/>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c r="BC636" s="18"/>
      <c r="BD636" s="18"/>
      <c r="BE636" s="18"/>
      <c r="BF636" s="18"/>
      <c r="BG636" s="18"/>
      <c r="BH636" s="18"/>
      <c r="BI636" s="18"/>
      <c r="BJ636" s="18"/>
      <c r="BK636" s="18"/>
      <c r="BL636" s="18"/>
      <c r="BM636" s="18"/>
      <c r="BN636" s="18"/>
      <c r="BO636" s="18"/>
      <c r="BP636" s="18"/>
      <c r="BQ636" s="18"/>
      <c r="BR636" s="18"/>
      <c r="BS636" s="18"/>
      <c r="BT636" s="18"/>
      <c r="BU636" s="18"/>
      <c r="BV636" s="18"/>
      <c r="BW636" s="18"/>
      <c r="BX636" s="18"/>
      <c r="BY636" s="18"/>
      <c r="BZ636" s="18"/>
      <c r="CA636" s="18"/>
      <c r="CB636" s="18"/>
      <c r="CC636" s="18"/>
      <c r="CD636" s="18"/>
      <c r="CE636" s="18"/>
      <c r="CF636" s="18"/>
      <c r="CG636" s="18"/>
      <c r="CH636" s="18"/>
      <c r="CI636" s="18"/>
      <c r="CJ636" s="18"/>
      <c r="CK636" s="18"/>
      <c r="CL636" s="18"/>
      <c r="CM636" s="18"/>
      <c r="CN636" s="18"/>
      <c r="CO636" s="18"/>
      <c r="CP636" s="18"/>
      <c r="CQ636" s="18"/>
      <c r="CR636" s="18"/>
      <c r="CS636" s="18"/>
      <c r="CT636" s="18"/>
      <c r="CU636" s="18"/>
    </row>
    <row r="637" spans="1:99">
      <c r="A637" s="19"/>
      <c r="B637" s="19"/>
      <c r="C637" s="19"/>
      <c r="D637" s="19"/>
      <c r="E637" s="19"/>
      <c r="F637" s="19"/>
      <c r="G637" s="19"/>
      <c r="H637" s="19"/>
      <c r="I637" s="19"/>
      <c r="J637" s="19"/>
      <c r="K637" s="18"/>
      <c r="L637" s="18"/>
      <c r="M637" s="18"/>
      <c r="N637" s="18"/>
      <c r="O637" s="18"/>
      <c r="P637" s="18"/>
      <c r="Q637" s="18"/>
      <c r="R637" s="18"/>
      <c r="S637" s="18"/>
      <c r="T637" s="18"/>
      <c r="U637" s="18"/>
      <c r="V637" s="18"/>
      <c r="W637" s="18"/>
      <c r="X637" s="18"/>
      <c r="Y637" s="18"/>
      <c r="Z637" s="18"/>
      <c r="AA637" s="18"/>
      <c r="AB637" s="18"/>
      <c r="AC637" s="18"/>
      <c r="AD637" s="18"/>
      <c r="AE637" s="18"/>
      <c r="AF637" s="18"/>
      <c r="AG637" s="18"/>
      <c r="AH637" s="18"/>
      <c r="AI637" s="18"/>
      <c r="AJ637" s="18"/>
      <c r="AK637" s="18"/>
      <c r="AL637" s="18"/>
      <c r="AM637" s="18"/>
      <c r="AN637" s="18"/>
      <c r="AO637" s="18"/>
      <c r="AP637" s="18"/>
      <c r="AQ637" s="18"/>
      <c r="AR637" s="18"/>
      <c r="AS637" s="18"/>
      <c r="AT637" s="18"/>
      <c r="AU637" s="18"/>
      <c r="AV637" s="18"/>
      <c r="AW637" s="18"/>
      <c r="AX637" s="18"/>
      <c r="AY637" s="18"/>
      <c r="AZ637" s="18"/>
      <c r="BA637" s="18"/>
      <c r="BB637" s="18"/>
      <c r="BC637" s="18"/>
      <c r="BD637" s="18"/>
      <c r="BE637" s="18"/>
      <c r="BF637" s="18"/>
      <c r="BG637" s="18"/>
      <c r="BH637" s="18"/>
      <c r="BI637" s="18"/>
      <c r="BJ637" s="18"/>
      <c r="BK637" s="18"/>
      <c r="BL637" s="18"/>
      <c r="BM637" s="18"/>
      <c r="BN637" s="18"/>
      <c r="BO637" s="18"/>
      <c r="BP637" s="18"/>
      <c r="BQ637" s="18"/>
      <c r="BR637" s="18"/>
      <c r="BS637" s="18"/>
      <c r="BT637" s="18"/>
      <c r="BU637" s="18"/>
      <c r="BV637" s="18"/>
      <c r="BW637" s="18"/>
      <c r="BX637" s="18"/>
      <c r="BY637" s="18"/>
      <c r="BZ637" s="18"/>
      <c r="CA637" s="18"/>
      <c r="CB637" s="18"/>
      <c r="CC637" s="18"/>
      <c r="CD637" s="18"/>
      <c r="CE637" s="18"/>
      <c r="CF637" s="18"/>
      <c r="CG637" s="18"/>
      <c r="CH637" s="18"/>
      <c r="CI637" s="18"/>
      <c r="CJ637" s="18"/>
      <c r="CK637" s="18"/>
      <c r="CL637" s="18"/>
      <c r="CM637" s="18"/>
      <c r="CN637" s="18"/>
      <c r="CO637" s="18"/>
      <c r="CP637" s="18"/>
      <c r="CQ637" s="18"/>
      <c r="CR637" s="18"/>
      <c r="CS637" s="18"/>
      <c r="CT637" s="18"/>
      <c r="CU637" s="18"/>
    </row>
    <row r="638" spans="1:99">
      <c r="A638" s="19"/>
      <c r="B638" s="19"/>
      <c r="C638" s="19"/>
      <c r="D638" s="19"/>
      <c r="E638" s="19"/>
      <c r="F638" s="19"/>
      <c r="G638" s="19"/>
      <c r="H638" s="19"/>
      <c r="I638" s="19"/>
      <c r="J638" s="19"/>
      <c r="K638" s="18"/>
      <c r="L638" s="18"/>
      <c r="M638" s="18"/>
      <c r="N638" s="18"/>
      <c r="O638" s="18"/>
      <c r="P638" s="18"/>
      <c r="Q638" s="18"/>
      <c r="R638" s="18"/>
      <c r="S638" s="18"/>
      <c r="T638" s="18"/>
      <c r="U638" s="18"/>
      <c r="V638" s="18"/>
      <c r="W638" s="18"/>
      <c r="X638" s="18"/>
      <c r="Y638" s="18"/>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c r="BC638" s="18"/>
      <c r="BD638" s="18"/>
      <c r="BE638" s="18"/>
      <c r="BF638" s="18"/>
      <c r="BG638" s="18"/>
      <c r="BH638" s="18"/>
      <c r="BI638" s="18"/>
      <c r="BJ638" s="18"/>
      <c r="BK638" s="18"/>
      <c r="BL638" s="18"/>
      <c r="BM638" s="18"/>
      <c r="BN638" s="18"/>
      <c r="BO638" s="18"/>
      <c r="BP638" s="18"/>
      <c r="BQ638" s="18"/>
      <c r="BR638" s="18"/>
      <c r="BS638" s="18"/>
      <c r="BT638" s="18"/>
      <c r="BU638" s="18"/>
      <c r="BV638" s="18"/>
      <c r="BW638" s="18"/>
      <c r="BX638" s="18"/>
      <c r="BY638" s="18"/>
      <c r="BZ638" s="18"/>
      <c r="CA638" s="18"/>
      <c r="CB638" s="18"/>
      <c r="CC638" s="18"/>
      <c r="CD638" s="18"/>
      <c r="CE638" s="18"/>
      <c r="CF638" s="18"/>
      <c r="CG638" s="18"/>
      <c r="CH638" s="18"/>
      <c r="CI638" s="18"/>
      <c r="CJ638" s="18"/>
      <c r="CK638" s="18"/>
      <c r="CL638" s="18"/>
      <c r="CM638" s="18"/>
      <c r="CN638" s="18"/>
      <c r="CO638" s="18"/>
      <c r="CP638" s="18"/>
      <c r="CQ638" s="18"/>
      <c r="CR638" s="18"/>
      <c r="CS638" s="18"/>
      <c r="CT638" s="18"/>
      <c r="CU638" s="18"/>
    </row>
    <row r="639" spans="1:99">
      <c r="A639" s="19"/>
      <c r="B639" s="19"/>
      <c r="C639" s="19"/>
      <c r="D639" s="19"/>
      <c r="E639" s="19"/>
      <c r="F639" s="19"/>
      <c r="G639" s="19"/>
      <c r="H639" s="19"/>
      <c r="I639" s="19"/>
      <c r="J639" s="19"/>
      <c r="K639" s="18"/>
      <c r="L639" s="18"/>
      <c r="M639" s="18"/>
      <c r="N639" s="18"/>
      <c r="O639" s="18"/>
      <c r="P639" s="18"/>
      <c r="Q639" s="18"/>
      <c r="R639" s="18"/>
      <c r="S639" s="18"/>
      <c r="T639" s="18"/>
      <c r="U639" s="18"/>
      <c r="V639" s="18"/>
      <c r="W639" s="18"/>
      <c r="X639" s="18"/>
      <c r="Y639" s="18"/>
      <c r="Z639" s="18"/>
      <c r="AA639" s="18"/>
      <c r="AB639" s="18"/>
      <c r="AC639" s="18"/>
      <c r="AD639" s="18"/>
      <c r="AE639" s="18"/>
      <c r="AF639" s="18"/>
      <c r="AG639" s="18"/>
      <c r="AH639" s="18"/>
      <c r="AI639" s="18"/>
      <c r="AJ639" s="18"/>
      <c r="AK639" s="18"/>
      <c r="AL639" s="18"/>
      <c r="AM639" s="18"/>
      <c r="AN639" s="18"/>
      <c r="AO639" s="18"/>
      <c r="AP639" s="18"/>
      <c r="AQ639" s="18"/>
      <c r="AR639" s="18"/>
      <c r="AS639" s="18"/>
      <c r="AT639" s="18"/>
      <c r="AU639" s="18"/>
      <c r="AV639" s="18"/>
      <c r="AW639" s="18"/>
      <c r="AX639" s="18"/>
      <c r="AY639" s="18"/>
      <c r="AZ639" s="18"/>
      <c r="BA639" s="18"/>
      <c r="BB639" s="18"/>
      <c r="BC639" s="18"/>
      <c r="BD639" s="18"/>
      <c r="BE639" s="18"/>
      <c r="BF639" s="18"/>
      <c r="BG639" s="18"/>
      <c r="BH639" s="18"/>
      <c r="BI639" s="18"/>
      <c r="BJ639" s="18"/>
      <c r="BK639" s="18"/>
      <c r="BL639" s="18"/>
      <c r="BM639" s="18"/>
      <c r="BN639" s="18"/>
      <c r="BO639" s="18"/>
      <c r="BP639" s="18"/>
      <c r="BQ639" s="18"/>
      <c r="BR639" s="18"/>
      <c r="BS639" s="18"/>
      <c r="BT639" s="18"/>
      <c r="BU639" s="18"/>
      <c r="BV639" s="18"/>
      <c r="BW639" s="18"/>
      <c r="BX639" s="18"/>
      <c r="BY639" s="18"/>
      <c r="BZ639" s="18"/>
      <c r="CA639" s="18"/>
      <c r="CB639" s="18"/>
      <c r="CC639" s="18"/>
      <c r="CD639" s="18"/>
      <c r="CE639" s="18"/>
      <c r="CF639" s="18"/>
      <c r="CG639" s="18"/>
      <c r="CH639" s="18"/>
      <c r="CI639" s="18"/>
      <c r="CJ639" s="18"/>
      <c r="CK639" s="18"/>
      <c r="CL639" s="18"/>
      <c r="CM639" s="18"/>
      <c r="CN639" s="18"/>
      <c r="CO639" s="18"/>
      <c r="CP639" s="18"/>
      <c r="CQ639" s="18"/>
      <c r="CR639" s="18"/>
      <c r="CS639" s="18"/>
      <c r="CT639" s="18"/>
      <c r="CU639" s="18"/>
    </row>
    <row r="640" spans="1:99">
      <c r="A640" s="19"/>
      <c r="B640" s="19"/>
      <c r="C640" s="19"/>
      <c r="D640" s="19"/>
      <c r="E640" s="19"/>
      <c r="F640" s="19"/>
      <c r="G640" s="19"/>
      <c r="H640" s="19"/>
      <c r="I640" s="19"/>
      <c r="J640" s="19"/>
      <c r="K640" s="18"/>
      <c r="L640" s="18"/>
      <c r="M640" s="18"/>
      <c r="N640" s="18"/>
      <c r="O640" s="18"/>
      <c r="P640" s="18"/>
      <c r="Q640" s="18"/>
      <c r="R640" s="18"/>
      <c r="S640" s="18"/>
      <c r="T640" s="18"/>
      <c r="U640" s="18"/>
      <c r="V640" s="18"/>
      <c r="W640" s="18"/>
      <c r="X640" s="18"/>
      <c r="Y640" s="18"/>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c r="BC640" s="18"/>
      <c r="BD640" s="18"/>
      <c r="BE640" s="18"/>
      <c r="BF640" s="18"/>
      <c r="BG640" s="18"/>
      <c r="BH640" s="18"/>
      <c r="BI640" s="18"/>
      <c r="BJ640" s="18"/>
      <c r="BK640" s="18"/>
      <c r="BL640" s="18"/>
      <c r="BM640" s="18"/>
      <c r="BN640" s="18"/>
      <c r="BO640" s="18"/>
      <c r="BP640" s="18"/>
      <c r="BQ640" s="18"/>
      <c r="BR640" s="18"/>
      <c r="BS640" s="18"/>
      <c r="BT640" s="18"/>
      <c r="BU640" s="18"/>
      <c r="BV640" s="18"/>
      <c r="BW640" s="18"/>
      <c r="BX640" s="18"/>
      <c r="BY640" s="18"/>
      <c r="BZ640" s="18"/>
      <c r="CA640" s="18"/>
      <c r="CB640" s="18"/>
      <c r="CC640" s="18"/>
      <c r="CD640" s="18"/>
      <c r="CE640" s="18"/>
      <c r="CF640" s="18"/>
      <c r="CG640" s="18"/>
      <c r="CH640" s="18"/>
      <c r="CI640" s="18"/>
      <c r="CJ640" s="18"/>
      <c r="CK640" s="18"/>
      <c r="CL640" s="18"/>
      <c r="CM640" s="18"/>
      <c r="CN640" s="18"/>
      <c r="CO640" s="18"/>
      <c r="CP640" s="18"/>
      <c r="CQ640" s="18"/>
      <c r="CR640" s="18"/>
      <c r="CS640" s="18"/>
      <c r="CT640" s="18"/>
      <c r="CU640" s="18"/>
    </row>
    <row r="641" spans="1:99">
      <c r="A641" s="19"/>
      <c r="B641" s="19"/>
      <c r="C641" s="19"/>
      <c r="D641" s="19"/>
      <c r="E641" s="19"/>
      <c r="F641" s="19"/>
      <c r="G641" s="19"/>
      <c r="H641" s="19"/>
      <c r="I641" s="19"/>
      <c r="J641" s="19"/>
      <c r="K641" s="18"/>
      <c r="L641" s="18"/>
      <c r="M641" s="18"/>
      <c r="N641" s="18"/>
      <c r="O641" s="18"/>
      <c r="P641" s="18"/>
      <c r="Q641" s="18"/>
      <c r="R641" s="18"/>
      <c r="S641" s="18"/>
      <c r="T641" s="18"/>
      <c r="U641" s="18"/>
      <c r="V641" s="18"/>
      <c r="W641" s="18"/>
      <c r="X641" s="18"/>
      <c r="Y641" s="18"/>
      <c r="Z641" s="18"/>
      <c r="AA641" s="18"/>
      <c r="AB641" s="18"/>
      <c r="AC641" s="18"/>
      <c r="AD641" s="18"/>
      <c r="AE641" s="18"/>
      <c r="AF641" s="18"/>
      <c r="AG641" s="18"/>
      <c r="AH641" s="18"/>
      <c r="AI641" s="18"/>
      <c r="AJ641" s="18"/>
      <c r="AK641" s="18"/>
      <c r="AL641" s="18"/>
      <c r="AM641" s="18"/>
      <c r="AN641" s="18"/>
      <c r="AO641" s="18"/>
      <c r="AP641" s="18"/>
      <c r="AQ641" s="18"/>
      <c r="AR641" s="18"/>
      <c r="AS641" s="18"/>
      <c r="AT641" s="18"/>
      <c r="AU641" s="18"/>
      <c r="AV641" s="18"/>
      <c r="AW641" s="18"/>
      <c r="AX641" s="18"/>
      <c r="AY641" s="18"/>
      <c r="AZ641" s="18"/>
      <c r="BA641" s="18"/>
      <c r="BB641" s="18"/>
      <c r="BC641" s="18"/>
      <c r="BD641" s="18"/>
      <c r="BE641" s="18"/>
      <c r="BF641" s="18"/>
      <c r="BG641" s="18"/>
      <c r="BH641" s="18"/>
      <c r="BI641" s="18"/>
      <c r="BJ641" s="18"/>
      <c r="BK641" s="18"/>
      <c r="BL641" s="18"/>
      <c r="BM641" s="18"/>
      <c r="BN641" s="18"/>
      <c r="BO641" s="18"/>
      <c r="BP641" s="18"/>
      <c r="BQ641" s="18"/>
      <c r="BR641" s="18"/>
      <c r="BS641" s="18"/>
      <c r="BT641" s="18"/>
      <c r="BU641" s="18"/>
      <c r="BV641" s="18"/>
      <c r="BW641" s="18"/>
      <c r="BX641" s="18"/>
      <c r="BY641" s="18"/>
      <c r="BZ641" s="18"/>
      <c r="CA641" s="18"/>
      <c r="CB641" s="18"/>
      <c r="CC641" s="18"/>
      <c r="CD641" s="18"/>
      <c r="CE641" s="18"/>
      <c r="CF641" s="18"/>
      <c r="CG641" s="18"/>
      <c r="CH641" s="18"/>
      <c r="CI641" s="18"/>
      <c r="CJ641" s="18"/>
      <c r="CK641" s="18"/>
      <c r="CL641" s="18"/>
      <c r="CM641" s="18"/>
      <c r="CN641" s="18"/>
      <c r="CO641" s="18"/>
      <c r="CP641" s="18"/>
      <c r="CQ641" s="18"/>
      <c r="CR641" s="18"/>
      <c r="CS641" s="18"/>
      <c r="CT641" s="18"/>
      <c r="CU641" s="18"/>
    </row>
    <row r="642" spans="1:99">
      <c r="A642" s="19"/>
      <c r="B642" s="19"/>
      <c r="C642" s="19"/>
      <c r="D642" s="19"/>
      <c r="E642" s="19"/>
      <c r="F642" s="19"/>
      <c r="G642" s="19"/>
      <c r="H642" s="19"/>
      <c r="I642" s="19"/>
      <c r="J642" s="19"/>
      <c r="K642" s="18"/>
      <c r="L642" s="18"/>
      <c r="M642" s="18"/>
      <c r="N642" s="18"/>
      <c r="O642" s="18"/>
      <c r="P642" s="18"/>
      <c r="Q642" s="18"/>
      <c r="R642" s="18"/>
      <c r="S642" s="18"/>
      <c r="T642" s="18"/>
      <c r="U642" s="18"/>
      <c r="V642" s="18"/>
      <c r="W642" s="18"/>
      <c r="X642" s="18"/>
      <c r="Y642" s="18"/>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c r="BC642" s="18"/>
      <c r="BD642" s="18"/>
      <c r="BE642" s="18"/>
      <c r="BF642" s="18"/>
      <c r="BG642" s="18"/>
      <c r="BH642" s="18"/>
      <c r="BI642" s="18"/>
      <c r="BJ642" s="18"/>
      <c r="BK642" s="18"/>
      <c r="BL642" s="18"/>
      <c r="BM642" s="18"/>
      <c r="BN642" s="18"/>
      <c r="BO642" s="18"/>
      <c r="BP642" s="18"/>
      <c r="BQ642" s="18"/>
      <c r="BR642" s="18"/>
      <c r="BS642" s="18"/>
      <c r="BT642" s="18"/>
      <c r="BU642" s="18"/>
      <c r="BV642" s="18"/>
      <c r="BW642" s="18"/>
      <c r="BX642" s="18"/>
      <c r="BY642" s="18"/>
      <c r="BZ642" s="18"/>
      <c r="CA642" s="18"/>
      <c r="CB642" s="18"/>
      <c r="CC642" s="18"/>
      <c r="CD642" s="18"/>
      <c r="CE642" s="18"/>
      <c r="CF642" s="18"/>
      <c r="CG642" s="18"/>
      <c r="CH642" s="18"/>
      <c r="CI642" s="18"/>
      <c r="CJ642" s="18"/>
      <c r="CK642" s="18"/>
      <c r="CL642" s="18"/>
      <c r="CM642" s="18"/>
      <c r="CN642" s="18"/>
      <c r="CO642" s="18"/>
      <c r="CP642" s="18"/>
      <c r="CQ642" s="18"/>
      <c r="CR642" s="18"/>
      <c r="CS642" s="18"/>
      <c r="CT642" s="18"/>
      <c r="CU642" s="18"/>
    </row>
    <row r="643" spans="1:99">
      <c r="A643" s="19"/>
      <c r="B643" s="19"/>
      <c r="C643" s="19"/>
      <c r="D643" s="19"/>
      <c r="E643" s="19"/>
      <c r="F643" s="19"/>
      <c r="G643" s="19"/>
      <c r="H643" s="19"/>
      <c r="I643" s="19"/>
      <c r="J643" s="19"/>
      <c r="K643" s="18"/>
      <c r="L643" s="18"/>
      <c r="M643" s="18"/>
      <c r="N643" s="18"/>
      <c r="O643" s="18"/>
      <c r="P643" s="18"/>
      <c r="Q643" s="18"/>
      <c r="R643" s="18"/>
      <c r="S643" s="18"/>
      <c r="T643" s="18"/>
      <c r="U643" s="18"/>
      <c r="V643" s="18"/>
      <c r="W643" s="18"/>
      <c r="X643" s="18"/>
      <c r="Y643" s="18"/>
      <c r="Z643" s="18"/>
      <c r="AA643" s="18"/>
      <c r="AB643" s="18"/>
      <c r="AC643" s="18"/>
      <c r="AD643" s="18"/>
      <c r="AE643" s="18"/>
      <c r="AF643" s="18"/>
      <c r="AG643" s="18"/>
      <c r="AH643" s="18"/>
      <c r="AI643" s="18"/>
      <c r="AJ643" s="18"/>
      <c r="AK643" s="18"/>
      <c r="AL643" s="18"/>
      <c r="AM643" s="18"/>
      <c r="AN643" s="18"/>
      <c r="AO643" s="18"/>
      <c r="AP643" s="18"/>
      <c r="AQ643" s="18"/>
      <c r="AR643" s="18"/>
      <c r="AS643" s="18"/>
      <c r="AT643" s="18"/>
      <c r="AU643" s="18"/>
      <c r="AV643" s="18"/>
      <c r="AW643" s="18"/>
      <c r="AX643" s="18"/>
      <c r="AY643" s="18"/>
      <c r="AZ643" s="18"/>
      <c r="BA643" s="18"/>
      <c r="BB643" s="18"/>
      <c r="BC643" s="18"/>
      <c r="BD643" s="18"/>
      <c r="BE643" s="18"/>
      <c r="BF643" s="18"/>
      <c r="BG643" s="18"/>
      <c r="BH643" s="18"/>
      <c r="BI643" s="18"/>
      <c r="BJ643" s="18"/>
      <c r="BK643" s="18"/>
      <c r="BL643" s="18"/>
      <c r="BM643" s="18"/>
      <c r="BN643" s="18"/>
      <c r="BO643" s="18"/>
      <c r="BP643" s="18"/>
      <c r="BQ643" s="18"/>
      <c r="BR643" s="18"/>
      <c r="BS643" s="18"/>
      <c r="BT643" s="18"/>
      <c r="BU643" s="18"/>
      <c r="BV643" s="18"/>
      <c r="BW643" s="18"/>
      <c r="BX643" s="18"/>
      <c r="BY643" s="18"/>
      <c r="BZ643" s="18"/>
      <c r="CA643" s="18"/>
      <c r="CB643" s="18"/>
      <c r="CC643" s="18"/>
      <c r="CD643" s="18"/>
      <c r="CE643" s="18"/>
      <c r="CF643" s="18"/>
      <c r="CG643" s="18"/>
      <c r="CH643" s="18"/>
      <c r="CI643" s="18"/>
      <c r="CJ643" s="18"/>
      <c r="CK643" s="18"/>
      <c r="CL643" s="18"/>
      <c r="CM643" s="18"/>
      <c r="CN643" s="18"/>
      <c r="CO643" s="18"/>
      <c r="CP643" s="18"/>
      <c r="CQ643" s="18"/>
      <c r="CR643" s="18"/>
      <c r="CS643" s="18"/>
      <c r="CT643" s="18"/>
      <c r="CU643" s="18"/>
    </row>
    <row r="644" spans="1:99">
      <c r="A644" s="19"/>
      <c r="B644" s="19"/>
      <c r="C644" s="19"/>
      <c r="D644" s="19"/>
      <c r="E644" s="19"/>
      <c r="F644" s="19"/>
      <c r="G644" s="19"/>
      <c r="H644" s="19"/>
      <c r="I644" s="19"/>
      <c r="J644" s="19"/>
      <c r="K644" s="18"/>
      <c r="L644" s="18"/>
      <c r="M644" s="18"/>
      <c r="N644" s="18"/>
      <c r="O644" s="18"/>
      <c r="P644" s="18"/>
      <c r="Q644" s="18"/>
      <c r="R644" s="18"/>
      <c r="S644" s="18"/>
      <c r="T644" s="18"/>
      <c r="U644" s="18"/>
      <c r="V644" s="18"/>
      <c r="W644" s="18"/>
      <c r="X644" s="18"/>
      <c r="Y644" s="18"/>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c r="BC644" s="18"/>
      <c r="BD644" s="18"/>
      <c r="BE644" s="18"/>
      <c r="BF644" s="18"/>
      <c r="BG644" s="18"/>
      <c r="BH644" s="18"/>
      <c r="BI644" s="18"/>
      <c r="BJ644" s="18"/>
      <c r="BK644" s="18"/>
      <c r="BL644" s="18"/>
      <c r="BM644" s="18"/>
      <c r="BN644" s="18"/>
      <c r="BO644" s="18"/>
      <c r="BP644" s="18"/>
      <c r="BQ644" s="18"/>
      <c r="BR644" s="18"/>
      <c r="BS644" s="18"/>
      <c r="BT644" s="18"/>
      <c r="BU644" s="18"/>
      <c r="BV644" s="18"/>
      <c r="BW644" s="18"/>
      <c r="BX644" s="18"/>
      <c r="BY644" s="18"/>
      <c r="BZ644" s="18"/>
      <c r="CA644" s="18"/>
      <c r="CB644" s="18"/>
      <c r="CC644" s="18"/>
      <c r="CD644" s="18"/>
      <c r="CE644" s="18"/>
      <c r="CF644" s="18"/>
      <c r="CG644" s="18"/>
      <c r="CH644" s="18"/>
      <c r="CI644" s="18"/>
      <c r="CJ644" s="18"/>
      <c r="CK644" s="18"/>
      <c r="CL644" s="18"/>
      <c r="CM644" s="18"/>
      <c r="CN644" s="18"/>
      <c r="CO644" s="18"/>
      <c r="CP644" s="18"/>
      <c r="CQ644" s="18"/>
      <c r="CR644" s="18"/>
      <c r="CS644" s="18"/>
      <c r="CT644" s="18"/>
      <c r="CU644" s="18"/>
    </row>
    <row r="645" spans="1:99">
      <c r="A645" s="19"/>
      <c r="B645" s="19"/>
      <c r="C645" s="19"/>
      <c r="D645" s="19"/>
      <c r="E645" s="19"/>
      <c r="F645" s="19"/>
      <c r="G645" s="19"/>
      <c r="H645" s="19"/>
      <c r="I645" s="19"/>
      <c r="J645" s="19"/>
      <c r="K645" s="18"/>
      <c r="L645" s="18"/>
      <c r="M645" s="18"/>
      <c r="N645" s="18"/>
      <c r="O645" s="18"/>
      <c r="P645" s="18"/>
      <c r="Q645" s="18"/>
      <c r="R645" s="18"/>
      <c r="S645" s="18"/>
      <c r="T645" s="18"/>
      <c r="U645" s="18"/>
      <c r="V645" s="18"/>
      <c r="W645" s="18"/>
      <c r="X645" s="18"/>
      <c r="Y645" s="18"/>
      <c r="Z645" s="18"/>
      <c r="AA645" s="18"/>
      <c r="AB645" s="18"/>
      <c r="AC645" s="18"/>
      <c r="AD645" s="18"/>
      <c r="AE645" s="18"/>
      <c r="AF645" s="18"/>
      <c r="AG645" s="18"/>
      <c r="AH645" s="18"/>
      <c r="AI645" s="18"/>
      <c r="AJ645" s="18"/>
      <c r="AK645" s="18"/>
      <c r="AL645" s="18"/>
      <c r="AM645" s="18"/>
      <c r="AN645" s="18"/>
      <c r="AO645" s="18"/>
      <c r="AP645" s="18"/>
      <c r="AQ645" s="18"/>
      <c r="AR645" s="18"/>
      <c r="AS645" s="18"/>
      <c r="AT645" s="18"/>
      <c r="AU645" s="18"/>
      <c r="AV645" s="18"/>
      <c r="AW645" s="18"/>
      <c r="AX645" s="18"/>
      <c r="AY645" s="18"/>
      <c r="AZ645" s="18"/>
      <c r="BA645" s="18"/>
      <c r="BB645" s="18"/>
      <c r="BC645" s="18"/>
      <c r="BD645" s="18"/>
      <c r="BE645" s="18"/>
      <c r="BF645" s="18"/>
      <c r="BG645" s="18"/>
      <c r="BH645" s="18"/>
      <c r="BI645" s="18"/>
      <c r="BJ645" s="18"/>
      <c r="BK645" s="18"/>
      <c r="BL645" s="18"/>
      <c r="BM645" s="18"/>
      <c r="BN645" s="18"/>
      <c r="BO645" s="18"/>
      <c r="BP645" s="18"/>
      <c r="BQ645" s="18"/>
      <c r="BR645" s="18"/>
      <c r="BS645" s="18"/>
      <c r="BT645" s="18"/>
      <c r="BU645" s="18"/>
      <c r="BV645" s="18"/>
      <c r="BW645" s="18"/>
      <c r="BX645" s="18"/>
      <c r="BY645" s="18"/>
      <c r="BZ645" s="18"/>
      <c r="CA645" s="18"/>
      <c r="CB645" s="18"/>
      <c r="CC645" s="18"/>
      <c r="CD645" s="18"/>
      <c r="CE645" s="18"/>
      <c r="CF645" s="18"/>
      <c r="CG645" s="18"/>
      <c r="CH645" s="18"/>
      <c r="CI645" s="18"/>
      <c r="CJ645" s="18"/>
      <c r="CK645" s="18"/>
      <c r="CL645" s="18"/>
      <c r="CM645" s="18"/>
      <c r="CN645" s="18"/>
      <c r="CO645" s="18"/>
      <c r="CP645" s="18"/>
      <c r="CQ645" s="18"/>
      <c r="CR645" s="18"/>
      <c r="CS645" s="18"/>
      <c r="CT645" s="18"/>
      <c r="CU645" s="18"/>
    </row>
    <row r="646" spans="1:99">
      <c r="A646" s="19"/>
      <c r="B646" s="19"/>
      <c r="C646" s="19"/>
      <c r="D646" s="19"/>
      <c r="E646" s="19"/>
      <c r="F646" s="19"/>
      <c r="G646" s="19"/>
      <c r="H646" s="19"/>
      <c r="I646" s="19"/>
      <c r="J646" s="19"/>
      <c r="K646" s="18"/>
      <c r="L646" s="18"/>
      <c r="M646" s="18"/>
      <c r="N646" s="18"/>
      <c r="O646" s="18"/>
      <c r="P646" s="18"/>
      <c r="Q646" s="18"/>
      <c r="R646" s="18"/>
      <c r="S646" s="18"/>
      <c r="T646" s="18"/>
      <c r="U646" s="18"/>
      <c r="V646" s="18"/>
      <c r="W646" s="18"/>
      <c r="X646" s="18"/>
      <c r="Y646" s="18"/>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c r="BC646" s="18"/>
      <c r="BD646" s="18"/>
      <c r="BE646" s="18"/>
      <c r="BF646" s="18"/>
      <c r="BG646" s="18"/>
      <c r="BH646" s="18"/>
      <c r="BI646" s="18"/>
      <c r="BJ646" s="18"/>
      <c r="BK646" s="18"/>
      <c r="BL646" s="18"/>
      <c r="BM646" s="18"/>
      <c r="BN646" s="18"/>
      <c r="BO646" s="18"/>
      <c r="BP646" s="18"/>
      <c r="BQ646" s="18"/>
      <c r="BR646" s="18"/>
      <c r="BS646" s="18"/>
      <c r="BT646" s="18"/>
      <c r="BU646" s="18"/>
      <c r="BV646" s="18"/>
      <c r="BW646" s="18"/>
      <c r="BX646" s="18"/>
      <c r="BY646" s="18"/>
      <c r="BZ646" s="18"/>
      <c r="CA646" s="18"/>
      <c r="CB646" s="18"/>
      <c r="CC646" s="18"/>
      <c r="CD646" s="18"/>
      <c r="CE646" s="18"/>
      <c r="CF646" s="18"/>
      <c r="CG646" s="18"/>
      <c r="CH646" s="18"/>
      <c r="CI646" s="18"/>
      <c r="CJ646" s="18"/>
      <c r="CK646" s="18"/>
      <c r="CL646" s="18"/>
      <c r="CM646" s="18"/>
      <c r="CN646" s="18"/>
      <c r="CO646" s="18"/>
      <c r="CP646" s="18"/>
      <c r="CQ646" s="18"/>
      <c r="CR646" s="18"/>
      <c r="CS646" s="18"/>
      <c r="CT646" s="18"/>
      <c r="CU646" s="18"/>
    </row>
    <row r="647" spans="1:99">
      <c r="A647" s="19"/>
      <c r="B647" s="19"/>
      <c r="C647" s="19"/>
      <c r="D647" s="19"/>
      <c r="E647" s="19"/>
      <c r="F647" s="19"/>
      <c r="G647" s="19"/>
      <c r="H647" s="19"/>
      <c r="I647" s="19"/>
      <c r="J647" s="19"/>
      <c r="K647" s="18"/>
      <c r="L647" s="18"/>
      <c r="M647" s="18"/>
      <c r="N647" s="18"/>
      <c r="O647" s="18"/>
      <c r="P647" s="18"/>
      <c r="Q647" s="18"/>
      <c r="R647" s="18"/>
      <c r="S647" s="18"/>
      <c r="T647" s="18"/>
      <c r="U647" s="18"/>
      <c r="V647" s="18"/>
      <c r="W647" s="18"/>
      <c r="X647" s="18"/>
      <c r="Y647" s="18"/>
      <c r="Z647" s="18"/>
      <c r="AA647" s="18"/>
      <c r="AB647" s="18"/>
      <c r="AC647" s="18"/>
      <c r="AD647" s="18"/>
      <c r="AE647" s="18"/>
      <c r="AF647" s="18"/>
      <c r="AG647" s="18"/>
      <c r="AH647" s="18"/>
      <c r="AI647" s="18"/>
      <c r="AJ647" s="18"/>
      <c r="AK647" s="18"/>
      <c r="AL647" s="18"/>
      <c r="AM647" s="18"/>
      <c r="AN647" s="18"/>
      <c r="AO647" s="18"/>
      <c r="AP647" s="18"/>
      <c r="AQ647" s="18"/>
      <c r="AR647" s="18"/>
      <c r="AS647" s="18"/>
      <c r="AT647" s="18"/>
      <c r="AU647" s="18"/>
      <c r="AV647" s="18"/>
      <c r="AW647" s="18"/>
      <c r="AX647" s="18"/>
      <c r="AY647" s="18"/>
      <c r="AZ647" s="18"/>
      <c r="BA647" s="18"/>
      <c r="BB647" s="18"/>
      <c r="BC647" s="18"/>
      <c r="BD647" s="18"/>
      <c r="BE647" s="18"/>
      <c r="BF647" s="18"/>
      <c r="BG647" s="18"/>
      <c r="BH647" s="18"/>
      <c r="BI647" s="18"/>
      <c r="BJ647" s="18"/>
      <c r="BK647" s="18"/>
      <c r="BL647" s="18"/>
      <c r="BM647" s="18"/>
      <c r="BN647" s="18"/>
      <c r="BO647" s="18"/>
      <c r="BP647" s="18"/>
      <c r="BQ647" s="18"/>
      <c r="BR647" s="18"/>
      <c r="BS647" s="18"/>
      <c r="BT647" s="18"/>
      <c r="BU647" s="18"/>
      <c r="BV647" s="18"/>
      <c r="BW647" s="18"/>
      <c r="BX647" s="18"/>
      <c r="BY647" s="18"/>
      <c r="BZ647" s="18"/>
      <c r="CA647" s="18"/>
      <c r="CB647" s="18"/>
      <c r="CC647" s="18"/>
      <c r="CD647" s="18"/>
      <c r="CE647" s="18"/>
      <c r="CF647" s="18"/>
      <c r="CG647" s="18"/>
      <c r="CH647" s="18"/>
      <c r="CI647" s="18"/>
      <c r="CJ647" s="18"/>
      <c r="CK647" s="18"/>
      <c r="CL647" s="18"/>
      <c r="CM647" s="18"/>
      <c r="CN647" s="18"/>
      <c r="CO647" s="18"/>
      <c r="CP647" s="18"/>
      <c r="CQ647" s="18"/>
      <c r="CR647" s="18"/>
      <c r="CS647" s="18"/>
      <c r="CT647" s="18"/>
      <c r="CU647" s="18"/>
    </row>
    <row r="648" spans="1:99">
      <c r="A648" s="19"/>
      <c r="B648" s="19"/>
      <c r="C648" s="19"/>
      <c r="D648" s="19"/>
      <c r="E648" s="19"/>
      <c r="F648" s="19"/>
      <c r="G648" s="19"/>
      <c r="H648" s="19"/>
      <c r="I648" s="19"/>
      <c r="J648" s="19"/>
      <c r="K648" s="18"/>
      <c r="L648" s="18"/>
      <c r="M648" s="18"/>
      <c r="N648" s="18"/>
      <c r="O648" s="18"/>
      <c r="P648" s="18"/>
      <c r="Q648" s="18"/>
      <c r="R648" s="18"/>
      <c r="S648" s="18"/>
      <c r="T648" s="18"/>
      <c r="U648" s="18"/>
      <c r="V648" s="18"/>
      <c r="W648" s="18"/>
      <c r="X648" s="18"/>
      <c r="Y648" s="18"/>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c r="BC648" s="18"/>
      <c r="BD648" s="18"/>
      <c r="BE648" s="18"/>
      <c r="BF648" s="18"/>
      <c r="BG648" s="18"/>
      <c r="BH648" s="18"/>
      <c r="BI648" s="18"/>
      <c r="BJ648" s="18"/>
      <c r="BK648" s="18"/>
      <c r="BL648" s="18"/>
      <c r="BM648" s="18"/>
      <c r="BN648" s="18"/>
      <c r="BO648" s="18"/>
      <c r="BP648" s="18"/>
      <c r="BQ648" s="18"/>
      <c r="BR648" s="18"/>
      <c r="BS648" s="18"/>
      <c r="BT648" s="18"/>
      <c r="BU648" s="18"/>
      <c r="BV648" s="18"/>
      <c r="BW648" s="18"/>
      <c r="BX648" s="18"/>
      <c r="BY648" s="18"/>
      <c r="BZ648" s="18"/>
      <c r="CA648" s="18"/>
      <c r="CB648" s="18"/>
      <c r="CC648" s="18"/>
      <c r="CD648" s="18"/>
      <c r="CE648" s="18"/>
      <c r="CF648" s="18"/>
      <c r="CG648" s="18"/>
      <c r="CH648" s="18"/>
      <c r="CI648" s="18"/>
      <c r="CJ648" s="18"/>
      <c r="CK648" s="18"/>
      <c r="CL648" s="18"/>
      <c r="CM648" s="18"/>
      <c r="CN648" s="18"/>
      <c r="CO648" s="18"/>
      <c r="CP648" s="18"/>
      <c r="CQ648" s="18"/>
      <c r="CR648" s="18"/>
      <c r="CS648" s="18"/>
      <c r="CT648" s="18"/>
      <c r="CU648" s="18"/>
    </row>
    <row r="649" spans="1:99">
      <c r="A649" s="19"/>
      <c r="B649" s="19"/>
      <c r="C649" s="19"/>
      <c r="D649" s="19"/>
      <c r="E649" s="19"/>
      <c r="F649" s="19"/>
      <c r="G649" s="19"/>
      <c r="H649" s="19"/>
      <c r="I649" s="19"/>
      <c r="J649" s="19"/>
      <c r="K649" s="18"/>
      <c r="L649" s="18"/>
      <c r="M649" s="18"/>
      <c r="N649" s="18"/>
      <c r="O649" s="18"/>
      <c r="P649" s="18"/>
      <c r="Q649" s="18"/>
      <c r="R649" s="18"/>
      <c r="S649" s="18"/>
      <c r="T649" s="18"/>
      <c r="U649" s="18"/>
      <c r="V649" s="18"/>
      <c r="W649" s="18"/>
      <c r="X649" s="18"/>
      <c r="Y649" s="18"/>
      <c r="Z649" s="18"/>
      <c r="AA649" s="18"/>
      <c r="AB649" s="18"/>
      <c r="AC649" s="18"/>
      <c r="AD649" s="18"/>
      <c r="AE649" s="18"/>
      <c r="AF649" s="18"/>
      <c r="AG649" s="18"/>
      <c r="AH649" s="18"/>
      <c r="AI649" s="18"/>
      <c r="AJ649" s="18"/>
      <c r="AK649" s="18"/>
      <c r="AL649" s="18"/>
      <c r="AM649" s="18"/>
      <c r="AN649" s="18"/>
      <c r="AO649" s="18"/>
      <c r="AP649" s="18"/>
      <c r="AQ649" s="18"/>
      <c r="AR649" s="18"/>
      <c r="AS649" s="18"/>
      <c r="AT649" s="18"/>
      <c r="AU649" s="18"/>
      <c r="AV649" s="18"/>
      <c r="AW649" s="18"/>
      <c r="AX649" s="18"/>
      <c r="AY649" s="18"/>
      <c r="AZ649" s="18"/>
      <c r="BA649" s="18"/>
      <c r="BB649" s="18"/>
      <c r="BC649" s="18"/>
      <c r="BD649" s="18"/>
      <c r="BE649" s="18"/>
      <c r="BF649" s="18"/>
      <c r="BG649" s="18"/>
      <c r="BH649" s="18"/>
      <c r="BI649" s="18"/>
      <c r="BJ649" s="18"/>
      <c r="BK649" s="18"/>
      <c r="BL649" s="18"/>
      <c r="BM649" s="18"/>
      <c r="BN649" s="18"/>
      <c r="BO649" s="18"/>
      <c r="BP649" s="18"/>
      <c r="BQ649" s="18"/>
      <c r="BR649" s="18"/>
      <c r="BS649" s="18"/>
      <c r="BT649" s="18"/>
      <c r="BU649" s="18"/>
      <c r="BV649" s="18"/>
      <c r="BW649" s="18"/>
      <c r="BX649" s="18"/>
      <c r="BY649" s="18"/>
      <c r="BZ649" s="18"/>
      <c r="CA649" s="18"/>
      <c r="CB649" s="18"/>
      <c r="CC649" s="18"/>
      <c r="CD649" s="18"/>
      <c r="CE649" s="18"/>
      <c r="CF649" s="18"/>
      <c r="CG649" s="18"/>
      <c r="CH649" s="18"/>
      <c r="CI649" s="18"/>
      <c r="CJ649" s="18"/>
      <c r="CK649" s="18"/>
      <c r="CL649" s="18"/>
      <c r="CM649" s="18"/>
      <c r="CN649" s="18"/>
      <c r="CO649" s="18"/>
      <c r="CP649" s="18"/>
      <c r="CQ649" s="18"/>
      <c r="CR649" s="18"/>
      <c r="CS649" s="18"/>
      <c r="CT649" s="18"/>
      <c r="CU649" s="18"/>
    </row>
    <row r="650" spans="1:99">
      <c r="A650" s="19"/>
      <c r="B650" s="19"/>
      <c r="C650" s="19"/>
      <c r="D650" s="19"/>
      <c r="E650" s="19"/>
      <c r="F650" s="19"/>
      <c r="G650" s="19"/>
      <c r="H650" s="19"/>
      <c r="I650" s="19"/>
      <c r="J650" s="19"/>
      <c r="K650" s="18"/>
      <c r="L650" s="18"/>
      <c r="M650" s="18"/>
      <c r="N650" s="18"/>
      <c r="O650" s="18"/>
      <c r="P650" s="18"/>
      <c r="Q650" s="18"/>
      <c r="R650" s="18"/>
      <c r="S650" s="18"/>
      <c r="T650" s="18"/>
      <c r="U650" s="18"/>
      <c r="V650" s="18"/>
      <c r="W650" s="18"/>
      <c r="X650" s="18"/>
      <c r="Y650" s="18"/>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c r="BC650" s="18"/>
      <c r="BD650" s="18"/>
      <c r="BE650" s="18"/>
      <c r="BF650" s="18"/>
      <c r="BG650" s="18"/>
      <c r="BH650" s="18"/>
      <c r="BI650" s="18"/>
      <c r="BJ650" s="18"/>
      <c r="BK650" s="18"/>
      <c r="BL650" s="18"/>
      <c r="BM650" s="18"/>
      <c r="BN650" s="18"/>
      <c r="BO650" s="18"/>
      <c r="BP650" s="18"/>
      <c r="BQ650" s="18"/>
      <c r="BR650" s="18"/>
      <c r="BS650" s="18"/>
      <c r="BT650" s="18"/>
      <c r="BU650" s="18"/>
      <c r="BV650" s="18"/>
      <c r="BW650" s="18"/>
      <c r="BX650" s="18"/>
      <c r="BY650" s="18"/>
      <c r="BZ650" s="18"/>
      <c r="CA650" s="18"/>
      <c r="CB650" s="18"/>
      <c r="CC650" s="18"/>
      <c r="CD650" s="18"/>
      <c r="CE650" s="18"/>
      <c r="CF650" s="18"/>
      <c r="CG650" s="18"/>
      <c r="CH650" s="18"/>
      <c r="CI650" s="18"/>
      <c r="CJ650" s="18"/>
      <c r="CK650" s="18"/>
      <c r="CL650" s="18"/>
      <c r="CM650" s="18"/>
      <c r="CN650" s="18"/>
      <c r="CO650" s="18"/>
      <c r="CP650" s="18"/>
      <c r="CQ650" s="18"/>
      <c r="CR650" s="18"/>
      <c r="CS650" s="18"/>
      <c r="CT650" s="18"/>
      <c r="CU650" s="18"/>
    </row>
    <row r="651" spans="1:99">
      <c r="A651" s="19"/>
      <c r="B651" s="19"/>
      <c r="C651" s="19"/>
      <c r="D651" s="19"/>
      <c r="E651" s="19"/>
      <c r="F651" s="19"/>
      <c r="G651" s="19"/>
      <c r="H651" s="19"/>
      <c r="I651" s="19"/>
      <c r="J651" s="19"/>
      <c r="K651" s="18"/>
      <c r="L651" s="18"/>
      <c r="M651" s="18"/>
      <c r="N651" s="18"/>
      <c r="O651" s="18"/>
      <c r="P651" s="18"/>
      <c r="Q651" s="18"/>
      <c r="R651" s="18"/>
      <c r="S651" s="18"/>
      <c r="T651" s="18"/>
      <c r="U651" s="18"/>
      <c r="V651" s="18"/>
      <c r="W651" s="18"/>
      <c r="X651" s="18"/>
      <c r="Y651" s="18"/>
      <c r="Z651" s="18"/>
      <c r="AA651" s="18"/>
      <c r="AB651" s="18"/>
      <c r="AC651" s="18"/>
      <c r="AD651" s="18"/>
      <c r="AE651" s="18"/>
      <c r="AF651" s="18"/>
      <c r="AG651" s="18"/>
      <c r="AH651" s="18"/>
      <c r="AI651" s="18"/>
      <c r="AJ651" s="18"/>
      <c r="AK651" s="18"/>
      <c r="AL651" s="18"/>
      <c r="AM651" s="18"/>
      <c r="AN651" s="18"/>
      <c r="AO651" s="18"/>
      <c r="AP651" s="18"/>
      <c r="AQ651" s="18"/>
      <c r="AR651" s="18"/>
      <c r="AS651" s="18"/>
      <c r="AT651" s="18"/>
      <c r="AU651" s="18"/>
      <c r="AV651" s="18"/>
      <c r="AW651" s="18"/>
      <c r="AX651" s="18"/>
      <c r="AY651" s="18"/>
      <c r="AZ651" s="18"/>
      <c r="BA651" s="18"/>
      <c r="BB651" s="18"/>
      <c r="BC651" s="18"/>
      <c r="BD651" s="18"/>
      <c r="BE651" s="18"/>
      <c r="BF651" s="18"/>
      <c r="BG651" s="18"/>
      <c r="BH651" s="18"/>
      <c r="BI651" s="18"/>
      <c r="BJ651" s="18"/>
      <c r="BK651" s="18"/>
      <c r="BL651" s="18"/>
      <c r="BM651" s="18"/>
      <c r="BN651" s="18"/>
      <c r="BO651" s="18"/>
      <c r="BP651" s="18"/>
      <c r="BQ651" s="18"/>
      <c r="BR651" s="18"/>
      <c r="BS651" s="18"/>
      <c r="BT651" s="18"/>
      <c r="BU651" s="18"/>
      <c r="BV651" s="18"/>
      <c r="BW651" s="18"/>
      <c r="BX651" s="18"/>
      <c r="BY651" s="18"/>
      <c r="BZ651" s="18"/>
      <c r="CA651" s="18"/>
      <c r="CB651" s="18"/>
      <c r="CC651" s="18"/>
      <c r="CD651" s="18"/>
      <c r="CE651" s="18"/>
      <c r="CF651" s="18"/>
      <c r="CG651" s="18"/>
      <c r="CH651" s="18"/>
      <c r="CI651" s="18"/>
      <c r="CJ651" s="18"/>
      <c r="CK651" s="18"/>
      <c r="CL651" s="18"/>
      <c r="CM651" s="18"/>
      <c r="CN651" s="18"/>
      <c r="CO651" s="18"/>
      <c r="CP651" s="18"/>
      <c r="CQ651" s="18"/>
      <c r="CR651" s="18"/>
      <c r="CS651" s="18"/>
      <c r="CT651" s="18"/>
      <c r="CU651" s="18"/>
    </row>
    <row r="652" spans="1:99">
      <c r="A652" s="19"/>
      <c r="B652" s="19"/>
      <c r="C652" s="19"/>
      <c r="D652" s="19"/>
      <c r="E652" s="19"/>
      <c r="F652" s="19"/>
      <c r="G652" s="19"/>
      <c r="H652" s="19"/>
      <c r="I652" s="19"/>
      <c r="J652" s="19"/>
      <c r="K652" s="18"/>
      <c r="L652" s="18"/>
      <c r="M652" s="18"/>
      <c r="N652" s="18"/>
      <c r="O652" s="18"/>
      <c r="P652" s="18"/>
      <c r="Q652" s="18"/>
      <c r="R652" s="18"/>
      <c r="S652" s="18"/>
      <c r="T652" s="18"/>
      <c r="U652" s="18"/>
      <c r="V652" s="18"/>
      <c r="W652" s="18"/>
      <c r="X652" s="18"/>
      <c r="Y652" s="18"/>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c r="BC652" s="18"/>
      <c r="BD652" s="18"/>
      <c r="BE652" s="18"/>
      <c r="BF652" s="18"/>
      <c r="BG652" s="18"/>
      <c r="BH652" s="18"/>
      <c r="BI652" s="18"/>
      <c r="BJ652" s="18"/>
      <c r="BK652" s="18"/>
      <c r="BL652" s="18"/>
      <c r="BM652" s="18"/>
      <c r="BN652" s="18"/>
      <c r="BO652" s="18"/>
      <c r="BP652" s="18"/>
      <c r="BQ652" s="18"/>
      <c r="BR652" s="18"/>
      <c r="BS652" s="18"/>
      <c r="BT652" s="18"/>
      <c r="BU652" s="18"/>
      <c r="BV652" s="18"/>
      <c r="BW652" s="18"/>
      <c r="BX652" s="18"/>
      <c r="BY652" s="18"/>
      <c r="BZ652" s="18"/>
      <c r="CA652" s="18"/>
      <c r="CB652" s="18"/>
      <c r="CC652" s="18"/>
      <c r="CD652" s="18"/>
      <c r="CE652" s="18"/>
      <c r="CF652" s="18"/>
      <c r="CG652" s="18"/>
      <c r="CH652" s="18"/>
      <c r="CI652" s="18"/>
      <c r="CJ652" s="18"/>
      <c r="CK652" s="18"/>
      <c r="CL652" s="18"/>
      <c r="CM652" s="18"/>
      <c r="CN652" s="18"/>
      <c r="CO652" s="18"/>
      <c r="CP652" s="18"/>
      <c r="CQ652" s="18"/>
      <c r="CR652" s="18"/>
      <c r="CS652" s="18"/>
      <c r="CT652" s="18"/>
      <c r="CU652" s="18"/>
    </row>
    <row r="653" spans="1:99">
      <c r="A653" s="19"/>
      <c r="B653" s="19"/>
      <c r="C653" s="19"/>
      <c r="D653" s="19"/>
      <c r="E653" s="19"/>
      <c r="F653" s="19"/>
      <c r="G653" s="19"/>
      <c r="H653" s="19"/>
      <c r="I653" s="19"/>
      <c r="J653" s="19"/>
      <c r="K653" s="18"/>
      <c r="L653" s="18"/>
      <c r="M653" s="18"/>
      <c r="N653" s="18"/>
      <c r="O653" s="18"/>
      <c r="P653" s="18"/>
      <c r="Q653" s="18"/>
      <c r="R653" s="18"/>
      <c r="S653" s="18"/>
      <c r="T653" s="18"/>
      <c r="U653" s="18"/>
      <c r="V653" s="18"/>
      <c r="W653" s="18"/>
      <c r="X653" s="18"/>
      <c r="Y653" s="18"/>
      <c r="Z653" s="18"/>
      <c r="AA653" s="18"/>
      <c r="AB653" s="18"/>
      <c r="AC653" s="18"/>
      <c r="AD653" s="18"/>
      <c r="AE653" s="18"/>
      <c r="AF653" s="18"/>
      <c r="AG653" s="18"/>
      <c r="AH653" s="18"/>
      <c r="AI653" s="18"/>
      <c r="AJ653" s="18"/>
      <c r="AK653" s="18"/>
      <c r="AL653" s="18"/>
      <c r="AM653" s="18"/>
      <c r="AN653" s="18"/>
      <c r="AO653" s="18"/>
      <c r="AP653" s="18"/>
      <c r="AQ653" s="18"/>
      <c r="AR653" s="18"/>
      <c r="AS653" s="18"/>
      <c r="AT653" s="18"/>
      <c r="AU653" s="18"/>
      <c r="AV653" s="18"/>
      <c r="AW653" s="18"/>
      <c r="AX653" s="18"/>
      <c r="AY653" s="18"/>
      <c r="AZ653" s="18"/>
      <c r="BA653" s="18"/>
      <c r="BB653" s="18"/>
      <c r="BC653" s="18"/>
      <c r="BD653" s="18"/>
      <c r="BE653" s="18"/>
      <c r="BF653" s="18"/>
      <c r="BG653" s="18"/>
      <c r="BH653" s="18"/>
      <c r="BI653" s="18"/>
      <c r="BJ653" s="18"/>
      <c r="BK653" s="18"/>
      <c r="BL653" s="18"/>
      <c r="BM653" s="18"/>
      <c r="BN653" s="18"/>
      <c r="BO653" s="18"/>
      <c r="BP653" s="18"/>
      <c r="BQ653" s="18"/>
      <c r="BR653" s="18"/>
      <c r="BS653" s="18"/>
      <c r="BT653" s="18"/>
      <c r="BU653" s="18"/>
      <c r="BV653" s="18"/>
      <c r="BW653" s="18"/>
      <c r="BX653" s="18"/>
      <c r="BY653" s="18"/>
      <c r="BZ653" s="18"/>
      <c r="CA653" s="18"/>
      <c r="CB653" s="18"/>
      <c r="CC653" s="18"/>
      <c r="CD653" s="18"/>
      <c r="CE653" s="18"/>
      <c r="CF653" s="18"/>
      <c r="CG653" s="18"/>
      <c r="CH653" s="18"/>
      <c r="CI653" s="18"/>
      <c r="CJ653" s="18"/>
      <c r="CK653" s="18"/>
      <c r="CL653" s="18"/>
      <c r="CM653" s="18"/>
      <c r="CN653" s="18"/>
      <c r="CO653" s="18"/>
      <c r="CP653" s="18"/>
      <c r="CQ653" s="18"/>
      <c r="CR653" s="18"/>
      <c r="CS653" s="18"/>
      <c r="CT653" s="18"/>
      <c r="CU653" s="18"/>
    </row>
    <row r="654" spans="1:99">
      <c r="A654" s="19"/>
      <c r="B654" s="19"/>
      <c r="C654" s="19"/>
      <c r="D654" s="19"/>
      <c r="E654" s="19"/>
      <c r="F654" s="19"/>
      <c r="G654" s="19"/>
      <c r="H654" s="19"/>
      <c r="I654" s="19"/>
      <c r="J654" s="19"/>
      <c r="K654" s="18"/>
      <c r="L654" s="18"/>
      <c r="M654" s="18"/>
      <c r="N654" s="18"/>
      <c r="O654" s="18"/>
      <c r="P654" s="18"/>
      <c r="Q654" s="18"/>
      <c r="R654" s="18"/>
      <c r="S654" s="18"/>
      <c r="T654" s="18"/>
      <c r="U654" s="18"/>
      <c r="V654" s="18"/>
      <c r="W654" s="18"/>
      <c r="X654" s="18"/>
      <c r="Y654" s="18"/>
      <c r="Z654" s="18"/>
      <c r="AA654" s="18"/>
      <c r="AB654" s="18"/>
      <c r="AC654" s="18"/>
      <c r="AD654" s="18"/>
      <c r="AE654" s="18"/>
      <c r="AF654" s="18"/>
      <c r="AG654" s="18"/>
      <c r="AH654" s="18"/>
      <c r="AI654" s="18"/>
      <c r="AJ654" s="18"/>
      <c r="AK654" s="18"/>
      <c r="AL654" s="18"/>
      <c r="AM654" s="18"/>
      <c r="AN654" s="18"/>
      <c r="AO654" s="18"/>
      <c r="AP654" s="18"/>
      <c r="AQ654" s="18"/>
      <c r="AR654" s="18"/>
      <c r="AS654" s="18"/>
      <c r="AT654" s="18"/>
      <c r="AU654" s="18"/>
      <c r="AV654" s="18"/>
      <c r="AW654" s="18"/>
      <c r="AX654" s="18"/>
      <c r="AY654" s="18"/>
      <c r="AZ654" s="18"/>
      <c r="BA654" s="18"/>
      <c r="BB654" s="18"/>
      <c r="BC654" s="18"/>
      <c r="BD654" s="18"/>
      <c r="BE654" s="18"/>
      <c r="BF654" s="18"/>
      <c r="BG654" s="18"/>
      <c r="BH654" s="18"/>
      <c r="BI654" s="18"/>
      <c r="BJ654" s="18"/>
      <c r="BK654" s="18"/>
      <c r="BL654" s="18"/>
      <c r="BM654" s="18"/>
      <c r="BN654" s="18"/>
      <c r="BO654" s="18"/>
      <c r="BP654" s="18"/>
      <c r="BQ654" s="18"/>
      <c r="BR654" s="18"/>
      <c r="BS654" s="18"/>
      <c r="BT654" s="18"/>
      <c r="BU654" s="18"/>
      <c r="BV654" s="18"/>
      <c r="BW654" s="18"/>
      <c r="BX654" s="18"/>
      <c r="BY654" s="18"/>
      <c r="BZ654" s="18"/>
      <c r="CA654" s="18"/>
      <c r="CB654" s="18"/>
      <c r="CC654" s="18"/>
      <c r="CD654" s="18"/>
      <c r="CE654" s="18"/>
      <c r="CF654" s="18"/>
      <c r="CG654" s="18"/>
      <c r="CH654" s="18"/>
      <c r="CI654" s="18"/>
      <c r="CJ654" s="18"/>
      <c r="CK654" s="18"/>
      <c r="CL654" s="18"/>
      <c r="CM654" s="18"/>
      <c r="CN654" s="18"/>
      <c r="CO654" s="18"/>
      <c r="CP654" s="18"/>
      <c r="CQ654" s="18"/>
      <c r="CR654" s="18"/>
      <c r="CS654" s="18"/>
      <c r="CT654" s="18"/>
      <c r="CU654" s="18"/>
    </row>
    <row r="655" spans="1:99">
      <c r="A655" s="19"/>
      <c r="B655" s="19"/>
      <c r="C655" s="19"/>
      <c r="D655" s="19"/>
      <c r="E655" s="19"/>
      <c r="F655" s="19"/>
      <c r="G655" s="19"/>
      <c r="H655" s="19"/>
      <c r="I655" s="19"/>
      <c r="J655" s="19"/>
      <c r="K655" s="18"/>
      <c r="L655" s="18"/>
      <c r="M655" s="18"/>
      <c r="N655" s="18"/>
      <c r="O655" s="18"/>
      <c r="P655" s="18"/>
      <c r="Q655" s="18"/>
      <c r="R655" s="18"/>
      <c r="S655" s="18"/>
      <c r="T655" s="18"/>
      <c r="U655" s="18"/>
      <c r="V655" s="18"/>
      <c r="W655" s="18"/>
      <c r="X655" s="18"/>
      <c r="Y655" s="18"/>
      <c r="Z655" s="18"/>
      <c r="AA655" s="18"/>
      <c r="AB655" s="18"/>
      <c r="AC655" s="18"/>
      <c r="AD655" s="18"/>
      <c r="AE655" s="18"/>
      <c r="AF655" s="18"/>
      <c r="AG655" s="18"/>
      <c r="AH655" s="18"/>
      <c r="AI655" s="18"/>
      <c r="AJ655" s="18"/>
      <c r="AK655" s="18"/>
      <c r="AL655" s="18"/>
      <c r="AM655" s="18"/>
      <c r="AN655" s="18"/>
      <c r="AO655" s="18"/>
      <c r="AP655" s="18"/>
      <c r="AQ655" s="18"/>
      <c r="AR655" s="18"/>
      <c r="AS655" s="18"/>
      <c r="AT655" s="18"/>
      <c r="AU655" s="18"/>
      <c r="AV655" s="18"/>
      <c r="AW655" s="18"/>
      <c r="AX655" s="18"/>
      <c r="AY655" s="18"/>
      <c r="AZ655" s="18"/>
      <c r="BA655" s="18"/>
      <c r="BB655" s="18"/>
      <c r="BC655" s="18"/>
      <c r="BD655" s="18"/>
      <c r="BE655" s="18"/>
      <c r="BF655" s="18"/>
      <c r="BG655" s="18"/>
      <c r="BH655" s="18"/>
      <c r="BI655" s="18"/>
      <c r="BJ655" s="18"/>
      <c r="BK655" s="18"/>
      <c r="BL655" s="18"/>
      <c r="BM655" s="18"/>
      <c r="BN655" s="18"/>
      <c r="BO655" s="18"/>
      <c r="BP655" s="18"/>
      <c r="BQ655" s="18"/>
      <c r="BR655" s="18"/>
      <c r="BS655" s="18"/>
      <c r="BT655" s="18"/>
      <c r="BU655" s="18"/>
      <c r="BV655" s="18"/>
      <c r="BW655" s="18"/>
      <c r="BX655" s="18"/>
      <c r="BY655" s="18"/>
      <c r="BZ655" s="18"/>
      <c r="CA655" s="18"/>
      <c r="CB655" s="18"/>
      <c r="CC655" s="18"/>
      <c r="CD655" s="18"/>
      <c r="CE655" s="18"/>
      <c r="CF655" s="18"/>
      <c r="CG655" s="18"/>
      <c r="CH655" s="18"/>
      <c r="CI655" s="18"/>
      <c r="CJ655" s="18"/>
      <c r="CK655" s="18"/>
      <c r="CL655" s="18"/>
      <c r="CM655" s="18"/>
      <c r="CN655" s="18"/>
      <c r="CO655" s="18"/>
      <c r="CP655" s="18"/>
      <c r="CQ655" s="18"/>
      <c r="CR655" s="18"/>
      <c r="CS655" s="18"/>
      <c r="CT655" s="18"/>
      <c r="CU655" s="18"/>
    </row>
    <row r="656" spans="1:99">
      <c r="A656" s="19"/>
      <c r="B656" s="19"/>
      <c r="C656" s="19"/>
      <c r="D656" s="19"/>
      <c r="E656" s="19"/>
      <c r="F656" s="19"/>
      <c r="G656" s="19"/>
      <c r="H656" s="19"/>
      <c r="I656" s="19"/>
      <c r="J656" s="19"/>
      <c r="K656" s="18"/>
      <c r="L656" s="18"/>
      <c r="M656" s="18"/>
      <c r="N656" s="18"/>
      <c r="O656" s="18"/>
      <c r="P656" s="18"/>
      <c r="Q656" s="18"/>
      <c r="R656" s="18"/>
      <c r="S656" s="18"/>
      <c r="T656" s="18"/>
      <c r="U656" s="18"/>
      <c r="V656" s="18"/>
      <c r="W656" s="18"/>
      <c r="X656" s="18"/>
      <c r="Y656" s="18"/>
      <c r="Z656" s="18"/>
      <c r="AA656" s="18"/>
      <c r="AB656" s="18"/>
      <c r="AC656" s="18"/>
      <c r="AD656" s="18"/>
      <c r="AE656" s="18"/>
      <c r="AF656" s="18"/>
      <c r="AG656" s="18"/>
      <c r="AH656" s="18"/>
      <c r="AI656" s="18"/>
      <c r="AJ656" s="18"/>
      <c r="AK656" s="18"/>
      <c r="AL656" s="18"/>
      <c r="AM656" s="18"/>
      <c r="AN656" s="18"/>
      <c r="AO656" s="18"/>
      <c r="AP656" s="18"/>
      <c r="AQ656" s="18"/>
      <c r="AR656" s="18"/>
      <c r="AS656" s="18"/>
      <c r="AT656" s="18"/>
      <c r="AU656" s="18"/>
      <c r="AV656" s="18"/>
      <c r="AW656" s="18"/>
      <c r="AX656" s="18"/>
      <c r="AY656" s="18"/>
      <c r="AZ656" s="18"/>
      <c r="BA656" s="18"/>
      <c r="BB656" s="18"/>
      <c r="BC656" s="18"/>
      <c r="BD656" s="18"/>
      <c r="BE656" s="18"/>
      <c r="BF656" s="18"/>
      <c r="BG656" s="18"/>
      <c r="BH656" s="18"/>
      <c r="BI656" s="18"/>
      <c r="BJ656" s="18"/>
      <c r="BK656" s="18"/>
      <c r="BL656" s="18"/>
      <c r="BM656" s="18"/>
      <c r="BN656" s="18"/>
      <c r="BO656" s="18"/>
      <c r="BP656" s="18"/>
      <c r="BQ656" s="18"/>
      <c r="BR656" s="18"/>
      <c r="BS656" s="18"/>
      <c r="BT656" s="18"/>
      <c r="BU656" s="18"/>
      <c r="BV656" s="18"/>
      <c r="BW656" s="18"/>
      <c r="BX656" s="18"/>
      <c r="BY656" s="18"/>
      <c r="BZ656" s="18"/>
      <c r="CA656" s="18"/>
      <c r="CB656" s="18"/>
      <c r="CC656" s="18"/>
      <c r="CD656" s="18"/>
      <c r="CE656" s="18"/>
      <c r="CF656" s="18"/>
      <c r="CG656" s="18"/>
      <c r="CH656" s="18"/>
      <c r="CI656" s="18"/>
      <c r="CJ656" s="18"/>
      <c r="CK656" s="18"/>
      <c r="CL656" s="18"/>
      <c r="CM656" s="18"/>
      <c r="CN656" s="18"/>
      <c r="CO656" s="18"/>
      <c r="CP656" s="18"/>
      <c r="CQ656" s="18"/>
      <c r="CR656" s="18"/>
      <c r="CS656" s="18"/>
      <c r="CT656" s="18"/>
      <c r="CU656" s="18"/>
    </row>
    <row r="657" spans="1:99">
      <c r="A657" s="19"/>
      <c r="B657" s="19"/>
      <c r="C657" s="19"/>
      <c r="D657" s="19"/>
      <c r="E657" s="19"/>
      <c r="F657" s="19"/>
      <c r="G657" s="19"/>
      <c r="H657" s="19"/>
      <c r="I657" s="19"/>
      <c r="J657" s="19"/>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c r="AI657" s="18"/>
      <c r="AJ657" s="18"/>
      <c r="AK657" s="18"/>
      <c r="AL657" s="18"/>
      <c r="AM657" s="18"/>
      <c r="AN657" s="18"/>
      <c r="AO657" s="18"/>
      <c r="AP657" s="18"/>
      <c r="AQ657" s="18"/>
      <c r="AR657" s="18"/>
      <c r="AS657" s="18"/>
      <c r="AT657" s="18"/>
      <c r="AU657" s="18"/>
      <c r="AV657" s="18"/>
      <c r="AW657" s="18"/>
      <c r="AX657" s="18"/>
      <c r="AY657" s="18"/>
      <c r="AZ657" s="18"/>
      <c r="BA657" s="18"/>
      <c r="BB657" s="18"/>
      <c r="BC657" s="18"/>
      <c r="BD657" s="18"/>
      <c r="BE657" s="18"/>
      <c r="BF657" s="18"/>
      <c r="BG657" s="18"/>
      <c r="BH657" s="18"/>
      <c r="BI657" s="18"/>
      <c r="BJ657" s="18"/>
      <c r="BK657" s="18"/>
      <c r="BL657" s="18"/>
      <c r="BM657" s="18"/>
      <c r="BN657" s="18"/>
      <c r="BO657" s="18"/>
      <c r="BP657" s="18"/>
      <c r="BQ657" s="18"/>
      <c r="BR657" s="18"/>
      <c r="BS657" s="18"/>
      <c r="BT657" s="18"/>
      <c r="BU657" s="18"/>
      <c r="BV657" s="18"/>
      <c r="BW657" s="18"/>
      <c r="BX657" s="18"/>
      <c r="BY657" s="18"/>
      <c r="BZ657" s="18"/>
      <c r="CA657" s="18"/>
      <c r="CB657" s="18"/>
      <c r="CC657" s="18"/>
      <c r="CD657" s="18"/>
      <c r="CE657" s="18"/>
      <c r="CF657" s="18"/>
      <c r="CG657" s="18"/>
      <c r="CH657" s="18"/>
      <c r="CI657" s="18"/>
      <c r="CJ657" s="18"/>
      <c r="CK657" s="18"/>
      <c r="CL657" s="18"/>
      <c r="CM657" s="18"/>
      <c r="CN657" s="18"/>
      <c r="CO657" s="18"/>
      <c r="CP657" s="18"/>
      <c r="CQ657" s="18"/>
      <c r="CR657" s="18"/>
      <c r="CS657" s="18"/>
      <c r="CT657" s="18"/>
      <c r="CU657" s="18"/>
    </row>
    <row r="658" spans="1:99">
      <c r="A658" s="19"/>
      <c r="B658" s="19"/>
      <c r="C658" s="19"/>
      <c r="D658" s="19"/>
      <c r="E658" s="19"/>
      <c r="F658" s="19"/>
      <c r="G658" s="19"/>
      <c r="H658" s="19"/>
      <c r="I658" s="19"/>
      <c r="J658" s="19"/>
      <c r="K658" s="18"/>
      <c r="L658" s="18"/>
      <c r="M658" s="18"/>
      <c r="N658" s="18"/>
      <c r="O658" s="18"/>
      <c r="P658" s="18"/>
      <c r="Q658" s="18"/>
      <c r="R658" s="18"/>
      <c r="S658" s="18"/>
      <c r="T658" s="18"/>
      <c r="U658" s="18"/>
      <c r="V658" s="18"/>
      <c r="W658" s="18"/>
      <c r="X658" s="18"/>
      <c r="Y658" s="18"/>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c r="BC658" s="18"/>
      <c r="BD658" s="18"/>
      <c r="BE658" s="18"/>
      <c r="BF658" s="18"/>
      <c r="BG658" s="18"/>
      <c r="BH658" s="18"/>
      <c r="BI658" s="18"/>
      <c r="BJ658" s="18"/>
      <c r="BK658" s="18"/>
      <c r="BL658" s="18"/>
      <c r="BM658" s="18"/>
      <c r="BN658" s="18"/>
      <c r="BO658" s="18"/>
      <c r="BP658" s="18"/>
      <c r="BQ658" s="18"/>
      <c r="BR658" s="18"/>
      <c r="BS658" s="18"/>
      <c r="BT658" s="18"/>
      <c r="BU658" s="18"/>
      <c r="BV658" s="18"/>
      <c r="BW658" s="18"/>
      <c r="BX658" s="18"/>
      <c r="BY658" s="18"/>
      <c r="BZ658" s="18"/>
      <c r="CA658" s="18"/>
      <c r="CB658" s="18"/>
      <c r="CC658" s="18"/>
      <c r="CD658" s="18"/>
      <c r="CE658" s="18"/>
      <c r="CF658" s="18"/>
      <c r="CG658" s="18"/>
      <c r="CH658" s="18"/>
      <c r="CI658" s="18"/>
      <c r="CJ658" s="18"/>
      <c r="CK658" s="18"/>
      <c r="CL658" s="18"/>
      <c r="CM658" s="18"/>
      <c r="CN658" s="18"/>
      <c r="CO658" s="18"/>
      <c r="CP658" s="18"/>
      <c r="CQ658" s="18"/>
      <c r="CR658" s="18"/>
      <c r="CS658" s="18"/>
      <c r="CT658" s="18"/>
      <c r="CU658" s="18"/>
    </row>
    <row r="659" spans="1:99">
      <c r="A659" s="19"/>
      <c r="B659" s="19"/>
      <c r="C659" s="19"/>
      <c r="D659" s="19"/>
      <c r="E659" s="19"/>
      <c r="F659" s="19"/>
      <c r="G659" s="19"/>
      <c r="H659" s="19"/>
      <c r="I659" s="19"/>
      <c r="J659" s="19"/>
      <c r="K659" s="18"/>
      <c r="L659" s="18"/>
      <c r="M659" s="18"/>
      <c r="N659" s="18"/>
      <c r="O659" s="18"/>
      <c r="P659" s="18"/>
      <c r="Q659" s="18"/>
      <c r="R659" s="18"/>
      <c r="S659" s="18"/>
      <c r="T659" s="18"/>
      <c r="U659" s="18"/>
      <c r="V659" s="18"/>
      <c r="W659" s="18"/>
      <c r="X659" s="18"/>
      <c r="Y659" s="18"/>
      <c r="Z659" s="18"/>
      <c r="AA659" s="18"/>
      <c r="AB659" s="18"/>
      <c r="AC659" s="18"/>
      <c r="AD659" s="18"/>
      <c r="AE659" s="18"/>
      <c r="AF659" s="18"/>
      <c r="AG659" s="18"/>
      <c r="AH659" s="18"/>
      <c r="AI659" s="18"/>
      <c r="AJ659" s="18"/>
      <c r="AK659" s="18"/>
      <c r="AL659" s="18"/>
      <c r="AM659" s="18"/>
      <c r="AN659" s="18"/>
      <c r="AO659" s="18"/>
      <c r="AP659" s="18"/>
      <c r="AQ659" s="18"/>
      <c r="AR659" s="18"/>
      <c r="AS659" s="18"/>
      <c r="AT659" s="18"/>
      <c r="AU659" s="18"/>
      <c r="AV659" s="18"/>
      <c r="AW659" s="18"/>
      <c r="AX659" s="18"/>
      <c r="AY659" s="18"/>
      <c r="AZ659" s="18"/>
      <c r="BA659" s="18"/>
      <c r="BB659" s="18"/>
      <c r="BC659" s="18"/>
      <c r="BD659" s="18"/>
      <c r="BE659" s="18"/>
      <c r="BF659" s="18"/>
      <c r="BG659" s="18"/>
      <c r="BH659" s="18"/>
      <c r="BI659" s="18"/>
      <c r="BJ659" s="18"/>
      <c r="BK659" s="18"/>
      <c r="BL659" s="18"/>
      <c r="BM659" s="18"/>
      <c r="BN659" s="18"/>
      <c r="BO659" s="18"/>
      <c r="BP659" s="18"/>
      <c r="BQ659" s="18"/>
      <c r="BR659" s="18"/>
      <c r="BS659" s="18"/>
      <c r="BT659" s="18"/>
      <c r="BU659" s="18"/>
      <c r="BV659" s="18"/>
      <c r="BW659" s="18"/>
      <c r="BX659" s="18"/>
      <c r="BY659" s="18"/>
      <c r="BZ659" s="18"/>
      <c r="CA659" s="18"/>
      <c r="CB659" s="18"/>
      <c r="CC659" s="18"/>
      <c r="CD659" s="18"/>
      <c r="CE659" s="18"/>
      <c r="CF659" s="18"/>
      <c r="CG659" s="18"/>
      <c r="CH659" s="18"/>
      <c r="CI659" s="18"/>
      <c r="CJ659" s="18"/>
      <c r="CK659" s="18"/>
      <c r="CL659" s="18"/>
      <c r="CM659" s="18"/>
      <c r="CN659" s="18"/>
      <c r="CO659" s="18"/>
      <c r="CP659" s="18"/>
      <c r="CQ659" s="18"/>
      <c r="CR659" s="18"/>
      <c r="CS659" s="18"/>
      <c r="CT659" s="18"/>
      <c r="CU659" s="18"/>
    </row>
    <row r="660" spans="1:99">
      <c r="A660" s="19"/>
      <c r="B660" s="19"/>
      <c r="C660" s="19"/>
      <c r="D660" s="19"/>
      <c r="E660" s="19"/>
      <c r="F660" s="19"/>
      <c r="G660" s="19"/>
      <c r="H660" s="19"/>
      <c r="I660" s="19"/>
      <c r="J660" s="19"/>
      <c r="K660" s="18"/>
      <c r="L660" s="18"/>
      <c r="M660" s="18"/>
      <c r="N660" s="18"/>
      <c r="O660" s="18"/>
      <c r="P660" s="18"/>
      <c r="Q660" s="18"/>
      <c r="R660" s="18"/>
      <c r="S660" s="18"/>
      <c r="T660" s="18"/>
      <c r="U660" s="18"/>
      <c r="V660" s="18"/>
      <c r="W660" s="18"/>
      <c r="X660" s="18"/>
      <c r="Y660" s="18"/>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c r="BC660" s="18"/>
      <c r="BD660" s="18"/>
      <c r="BE660" s="18"/>
      <c r="BF660" s="18"/>
      <c r="BG660" s="18"/>
      <c r="BH660" s="18"/>
      <c r="BI660" s="18"/>
      <c r="BJ660" s="18"/>
      <c r="BK660" s="18"/>
      <c r="BL660" s="18"/>
      <c r="BM660" s="18"/>
      <c r="BN660" s="18"/>
      <c r="BO660" s="18"/>
      <c r="BP660" s="18"/>
      <c r="BQ660" s="18"/>
      <c r="BR660" s="18"/>
      <c r="BS660" s="18"/>
      <c r="BT660" s="18"/>
      <c r="BU660" s="18"/>
      <c r="BV660" s="18"/>
      <c r="BW660" s="18"/>
      <c r="BX660" s="18"/>
      <c r="BY660" s="18"/>
      <c r="BZ660" s="18"/>
      <c r="CA660" s="18"/>
      <c r="CB660" s="18"/>
      <c r="CC660" s="18"/>
      <c r="CD660" s="18"/>
      <c r="CE660" s="18"/>
      <c r="CF660" s="18"/>
      <c r="CG660" s="18"/>
      <c r="CH660" s="18"/>
      <c r="CI660" s="18"/>
      <c r="CJ660" s="18"/>
      <c r="CK660" s="18"/>
      <c r="CL660" s="18"/>
      <c r="CM660" s="18"/>
      <c r="CN660" s="18"/>
      <c r="CO660" s="18"/>
      <c r="CP660" s="18"/>
      <c r="CQ660" s="18"/>
      <c r="CR660" s="18"/>
      <c r="CS660" s="18"/>
      <c r="CT660" s="18"/>
      <c r="CU660" s="18"/>
    </row>
    <row r="661" spans="1:99">
      <c r="A661" s="19"/>
      <c r="B661" s="19"/>
      <c r="C661" s="19"/>
      <c r="D661" s="19"/>
      <c r="E661" s="19"/>
      <c r="F661" s="19"/>
      <c r="G661" s="19"/>
      <c r="H661" s="19"/>
      <c r="I661" s="19"/>
      <c r="J661" s="19"/>
      <c r="K661" s="18"/>
      <c r="L661" s="18"/>
      <c r="M661" s="18"/>
      <c r="N661" s="18"/>
      <c r="O661" s="18"/>
      <c r="P661" s="18"/>
      <c r="Q661" s="18"/>
      <c r="R661" s="18"/>
      <c r="S661" s="18"/>
      <c r="T661" s="18"/>
      <c r="U661" s="18"/>
      <c r="V661" s="18"/>
      <c r="W661" s="18"/>
      <c r="X661" s="18"/>
      <c r="Y661" s="18"/>
      <c r="Z661" s="18"/>
      <c r="AA661" s="18"/>
      <c r="AB661" s="18"/>
      <c r="AC661" s="18"/>
      <c r="AD661" s="18"/>
      <c r="AE661" s="18"/>
      <c r="AF661" s="18"/>
      <c r="AG661" s="18"/>
      <c r="AH661" s="18"/>
      <c r="AI661" s="18"/>
      <c r="AJ661" s="18"/>
      <c r="AK661" s="18"/>
      <c r="AL661" s="18"/>
      <c r="AM661" s="18"/>
      <c r="AN661" s="18"/>
      <c r="AO661" s="18"/>
      <c r="AP661" s="18"/>
      <c r="AQ661" s="18"/>
      <c r="AR661" s="18"/>
      <c r="AS661" s="18"/>
      <c r="AT661" s="18"/>
      <c r="AU661" s="18"/>
      <c r="AV661" s="18"/>
      <c r="AW661" s="18"/>
      <c r="AX661" s="18"/>
      <c r="AY661" s="18"/>
      <c r="AZ661" s="18"/>
      <c r="BA661" s="18"/>
      <c r="BB661" s="18"/>
      <c r="BC661" s="18"/>
      <c r="BD661" s="18"/>
      <c r="BE661" s="18"/>
      <c r="BF661" s="18"/>
      <c r="BG661" s="18"/>
      <c r="BH661" s="18"/>
      <c r="BI661" s="18"/>
      <c r="BJ661" s="18"/>
      <c r="BK661" s="18"/>
      <c r="BL661" s="18"/>
      <c r="BM661" s="18"/>
      <c r="BN661" s="18"/>
      <c r="BO661" s="18"/>
      <c r="BP661" s="18"/>
      <c r="BQ661" s="18"/>
      <c r="BR661" s="18"/>
      <c r="BS661" s="18"/>
      <c r="BT661" s="18"/>
      <c r="BU661" s="18"/>
      <c r="BV661" s="18"/>
      <c r="BW661" s="18"/>
      <c r="BX661" s="18"/>
      <c r="BY661" s="18"/>
      <c r="BZ661" s="18"/>
      <c r="CA661" s="18"/>
      <c r="CB661" s="18"/>
      <c r="CC661" s="18"/>
      <c r="CD661" s="18"/>
      <c r="CE661" s="18"/>
      <c r="CF661" s="18"/>
      <c r="CG661" s="18"/>
      <c r="CH661" s="18"/>
      <c r="CI661" s="18"/>
      <c r="CJ661" s="18"/>
      <c r="CK661" s="18"/>
      <c r="CL661" s="18"/>
      <c r="CM661" s="18"/>
      <c r="CN661" s="18"/>
      <c r="CO661" s="18"/>
      <c r="CP661" s="18"/>
      <c r="CQ661" s="18"/>
      <c r="CR661" s="18"/>
      <c r="CS661" s="18"/>
      <c r="CT661" s="18"/>
      <c r="CU661" s="18"/>
    </row>
    <row r="662" spans="1:99">
      <c r="A662" s="19"/>
      <c r="B662" s="19"/>
      <c r="C662" s="19"/>
      <c r="D662" s="19"/>
      <c r="E662" s="19"/>
      <c r="F662" s="19"/>
      <c r="G662" s="19"/>
      <c r="H662" s="19"/>
      <c r="I662" s="19"/>
      <c r="J662" s="19"/>
      <c r="K662" s="18"/>
      <c r="L662" s="18"/>
      <c r="M662" s="18"/>
      <c r="N662" s="18"/>
      <c r="O662" s="18"/>
      <c r="P662" s="18"/>
      <c r="Q662" s="18"/>
      <c r="R662" s="18"/>
      <c r="S662" s="18"/>
      <c r="T662" s="18"/>
      <c r="U662" s="18"/>
      <c r="V662" s="18"/>
      <c r="W662" s="18"/>
      <c r="X662" s="18"/>
      <c r="Y662" s="18"/>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c r="BC662" s="18"/>
      <c r="BD662" s="18"/>
      <c r="BE662" s="18"/>
      <c r="BF662" s="18"/>
      <c r="BG662" s="18"/>
      <c r="BH662" s="18"/>
      <c r="BI662" s="18"/>
      <c r="BJ662" s="18"/>
      <c r="BK662" s="18"/>
      <c r="BL662" s="18"/>
      <c r="BM662" s="18"/>
      <c r="BN662" s="18"/>
      <c r="BO662" s="18"/>
      <c r="BP662" s="18"/>
      <c r="BQ662" s="18"/>
      <c r="BR662" s="18"/>
      <c r="BS662" s="18"/>
      <c r="BT662" s="18"/>
      <c r="BU662" s="18"/>
      <c r="BV662" s="18"/>
      <c r="BW662" s="18"/>
      <c r="BX662" s="18"/>
      <c r="BY662" s="18"/>
      <c r="BZ662" s="18"/>
      <c r="CA662" s="18"/>
      <c r="CB662" s="18"/>
      <c r="CC662" s="18"/>
      <c r="CD662" s="18"/>
      <c r="CE662" s="18"/>
      <c r="CF662" s="18"/>
      <c r="CG662" s="18"/>
      <c r="CH662" s="18"/>
      <c r="CI662" s="18"/>
      <c r="CJ662" s="18"/>
      <c r="CK662" s="18"/>
      <c r="CL662" s="18"/>
      <c r="CM662" s="18"/>
      <c r="CN662" s="18"/>
      <c r="CO662" s="18"/>
      <c r="CP662" s="18"/>
      <c r="CQ662" s="18"/>
      <c r="CR662" s="18"/>
      <c r="CS662" s="18"/>
      <c r="CT662" s="18"/>
      <c r="CU662" s="18"/>
    </row>
    <row r="663" spans="1:99">
      <c r="A663" s="19"/>
      <c r="B663" s="19"/>
      <c r="C663" s="19"/>
      <c r="D663" s="19"/>
      <c r="E663" s="19"/>
      <c r="F663" s="19"/>
      <c r="G663" s="19"/>
      <c r="H663" s="19"/>
      <c r="I663" s="19"/>
      <c r="J663" s="19"/>
      <c r="K663" s="18"/>
      <c r="L663" s="18"/>
      <c r="M663" s="18"/>
      <c r="N663" s="18"/>
      <c r="O663" s="18"/>
      <c r="P663" s="18"/>
      <c r="Q663" s="18"/>
      <c r="R663" s="18"/>
      <c r="S663" s="18"/>
      <c r="T663" s="18"/>
      <c r="U663" s="18"/>
      <c r="V663" s="18"/>
      <c r="W663" s="18"/>
      <c r="X663" s="18"/>
      <c r="Y663" s="18"/>
      <c r="Z663" s="18"/>
      <c r="AA663" s="18"/>
      <c r="AB663" s="18"/>
      <c r="AC663" s="18"/>
      <c r="AD663" s="18"/>
      <c r="AE663" s="18"/>
      <c r="AF663" s="18"/>
      <c r="AG663" s="18"/>
      <c r="AH663" s="18"/>
      <c r="AI663" s="18"/>
      <c r="AJ663" s="18"/>
      <c r="AK663" s="18"/>
      <c r="AL663" s="18"/>
      <c r="AM663" s="18"/>
      <c r="AN663" s="18"/>
      <c r="AO663" s="18"/>
      <c r="AP663" s="18"/>
      <c r="AQ663" s="18"/>
      <c r="AR663" s="18"/>
      <c r="AS663" s="18"/>
      <c r="AT663" s="18"/>
      <c r="AU663" s="18"/>
      <c r="AV663" s="18"/>
      <c r="AW663" s="18"/>
      <c r="AX663" s="18"/>
      <c r="AY663" s="18"/>
      <c r="AZ663" s="18"/>
      <c r="BA663" s="18"/>
      <c r="BB663" s="18"/>
      <c r="BC663" s="18"/>
      <c r="BD663" s="18"/>
      <c r="BE663" s="18"/>
      <c r="BF663" s="18"/>
      <c r="BG663" s="18"/>
      <c r="BH663" s="18"/>
      <c r="BI663" s="18"/>
      <c r="BJ663" s="18"/>
      <c r="BK663" s="18"/>
      <c r="BL663" s="18"/>
      <c r="BM663" s="18"/>
      <c r="BN663" s="18"/>
      <c r="BO663" s="18"/>
      <c r="BP663" s="18"/>
      <c r="BQ663" s="18"/>
      <c r="BR663" s="18"/>
      <c r="BS663" s="18"/>
      <c r="BT663" s="18"/>
      <c r="BU663" s="18"/>
      <c r="BV663" s="18"/>
      <c r="BW663" s="18"/>
      <c r="BX663" s="18"/>
      <c r="BY663" s="18"/>
      <c r="BZ663" s="18"/>
      <c r="CA663" s="18"/>
      <c r="CB663" s="18"/>
      <c r="CC663" s="18"/>
      <c r="CD663" s="18"/>
      <c r="CE663" s="18"/>
      <c r="CF663" s="18"/>
      <c r="CG663" s="18"/>
      <c r="CH663" s="18"/>
      <c r="CI663" s="18"/>
      <c r="CJ663" s="18"/>
      <c r="CK663" s="18"/>
      <c r="CL663" s="18"/>
      <c r="CM663" s="18"/>
      <c r="CN663" s="18"/>
      <c r="CO663" s="18"/>
      <c r="CP663" s="18"/>
      <c r="CQ663" s="18"/>
      <c r="CR663" s="18"/>
      <c r="CS663" s="18"/>
      <c r="CT663" s="18"/>
      <c r="CU663" s="18"/>
    </row>
    <row r="664" spans="1:99">
      <c r="A664" s="19"/>
      <c r="B664" s="19"/>
      <c r="C664" s="19"/>
      <c r="D664" s="19"/>
      <c r="E664" s="19"/>
      <c r="F664" s="19"/>
      <c r="G664" s="19"/>
      <c r="H664" s="19"/>
      <c r="I664" s="19"/>
      <c r="J664" s="19"/>
      <c r="K664" s="18"/>
      <c r="L664" s="18"/>
      <c r="M664" s="18"/>
      <c r="N664" s="18"/>
      <c r="O664" s="18"/>
      <c r="P664" s="18"/>
      <c r="Q664" s="18"/>
      <c r="R664" s="18"/>
      <c r="S664" s="18"/>
      <c r="T664" s="18"/>
      <c r="U664" s="18"/>
      <c r="V664" s="18"/>
      <c r="W664" s="18"/>
      <c r="X664" s="18"/>
      <c r="Y664" s="18"/>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c r="BC664" s="18"/>
      <c r="BD664" s="18"/>
      <c r="BE664" s="18"/>
      <c r="BF664" s="18"/>
      <c r="BG664" s="18"/>
      <c r="BH664" s="18"/>
      <c r="BI664" s="18"/>
      <c r="BJ664" s="18"/>
      <c r="BK664" s="18"/>
      <c r="BL664" s="18"/>
      <c r="BM664" s="18"/>
      <c r="BN664" s="18"/>
      <c r="BO664" s="18"/>
      <c r="BP664" s="18"/>
      <c r="BQ664" s="18"/>
      <c r="BR664" s="18"/>
      <c r="BS664" s="18"/>
      <c r="BT664" s="18"/>
      <c r="BU664" s="18"/>
      <c r="BV664" s="18"/>
      <c r="BW664" s="18"/>
      <c r="BX664" s="18"/>
      <c r="BY664" s="18"/>
      <c r="BZ664" s="18"/>
      <c r="CA664" s="18"/>
      <c r="CB664" s="18"/>
      <c r="CC664" s="18"/>
      <c r="CD664" s="18"/>
      <c r="CE664" s="18"/>
      <c r="CF664" s="18"/>
      <c r="CG664" s="18"/>
      <c r="CH664" s="18"/>
      <c r="CI664" s="18"/>
      <c r="CJ664" s="18"/>
      <c r="CK664" s="18"/>
      <c r="CL664" s="18"/>
      <c r="CM664" s="18"/>
      <c r="CN664" s="18"/>
      <c r="CO664" s="18"/>
      <c r="CP664" s="18"/>
      <c r="CQ664" s="18"/>
      <c r="CR664" s="18"/>
      <c r="CS664" s="18"/>
      <c r="CT664" s="18"/>
      <c r="CU664" s="18"/>
    </row>
    <row r="665" spans="1:99">
      <c r="A665" s="19"/>
      <c r="B665" s="19"/>
      <c r="C665" s="19"/>
      <c r="D665" s="19"/>
      <c r="E665" s="19"/>
      <c r="F665" s="19"/>
      <c r="G665" s="19"/>
      <c r="H665" s="19"/>
      <c r="I665" s="19"/>
      <c r="J665" s="19"/>
      <c r="K665" s="18"/>
      <c r="L665" s="18"/>
      <c r="M665" s="18"/>
      <c r="N665" s="18"/>
      <c r="O665" s="18"/>
      <c r="P665" s="18"/>
      <c r="Q665" s="18"/>
      <c r="R665" s="18"/>
      <c r="S665" s="18"/>
      <c r="T665" s="18"/>
      <c r="U665" s="18"/>
      <c r="V665" s="18"/>
      <c r="W665" s="18"/>
      <c r="X665" s="18"/>
      <c r="Y665" s="18"/>
      <c r="Z665" s="18"/>
      <c r="AA665" s="18"/>
      <c r="AB665" s="18"/>
      <c r="AC665" s="18"/>
      <c r="AD665" s="18"/>
      <c r="AE665" s="18"/>
      <c r="AF665" s="18"/>
      <c r="AG665" s="18"/>
      <c r="AH665" s="18"/>
      <c r="AI665" s="18"/>
      <c r="AJ665" s="18"/>
      <c r="AK665" s="18"/>
      <c r="AL665" s="18"/>
      <c r="AM665" s="18"/>
      <c r="AN665" s="18"/>
      <c r="AO665" s="18"/>
      <c r="AP665" s="18"/>
      <c r="AQ665" s="18"/>
      <c r="AR665" s="18"/>
      <c r="AS665" s="18"/>
      <c r="AT665" s="18"/>
      <c r="AU665" s="18"/>
      <c r="AV665" s="18"/>
      <c r="AW665" s="18"/>
      <c r="AX665" s="18"/>
      <c r="AY665" s="18"/>
      <c r="AZ665" s="18"/>
      <c r="BA665" s="18"/>
      <c r="BB665" s="18"/>
      <c r="BC665" s="18"/>
      <c r="BD665" s="18"/>
      <c r="BE665" s="18"/>
      <c r="BF665" s="18"/>
      <c r="BG665" s="18"/>
      <c r="BH665" s="18"/>
      <c r="BI665" s="18"/>
      <c r="BJ665" s="18"/>
      <c r="BK665" s="18"/>
      <c r="BL665" s="18"/>
      <c r="BM665" s="18"/>
      <c r="BN665" s="18"/>
      <c r="BO665" s="18"/>
      <c r="BP665" s="18"/>
      <c r="BQ665" s="18"/>
      <c r="BR665" s="18"/>
      <c r="BS665" s="18"/>
      <c r="BT665" s="18"/>
      <c r="BU665" s="18"/>
      <c r="BV665" s="18"/>
      <c r="BW665" s="18"/>
      <c r="BX665" s="18"/>
      <c r="BY665" s="18"/>
      <c r="BZ665" s="18"/>
      <c r="CA665" s="18"/>
      <c r="CB665" s="18"/>
      <c r="CC665" s="18"/>
      <c r="CD665" s="18"/>
      <c r="CE665" s="18"/>
      <c r="CF665" s="18"/>
      <c r="CG665" s="18"/>
      <c r="CH665" s="18"/>
      <c r="CI665" s="18"/>
      <c r="CJ665" s="18"/>
      <c r="CK665" s="18"/>
      <c r="CL665" s="18"/>
      <c r="CM665" s="18"/>
      <c r="CN665" s="18"/>
      <c r="CO665" s="18"/>
      <c r="CP665" s="18"/>
      <c r="CQ665" s="18"/>
      <c r="CR665" s="18"/>
      <c r="CS665" s="18"/>
      <c r="CT665" s="18"/>
      <c r="CU665" s="18"/>
    </row>
    <row r="666" spans="1:99">
      <c r="A666" s="19"/>
      <c r="B666" s="19"/>
      <c r="C666" s="19"/>
      <c r="D666" s="19"/>
      <c r="E666" s="19"/>
      <c r="F666" s="19"/>
      <c r="G666" s="19"/>
      <c r="H666" s="19"/>
      <c r="I666" s="19"/>
      <c r="J666" s="19"/>
      <c r="K666" s="18"/>
      <c r="L666" s="18"/>
      <c r="M666" s="18"/>
      <c r="N666" s="18"/>
      <c r="O666" s="18"/>
      <c r="P666" s="18"/>
      <c r="Q666" s="18"/>
      <c r="R666" s="18"/>
      <c r="S666" s="18"/>
      <c r="T666" s="18"/>
      <c r="U666" s="18"/>
      <c r="V666" s="18"/>
      <c r="W666" s="18"/>
      <c r="X666" s="18"/>
      <c r="Y666" s="18"/>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c r="BC666" s="18"/>
      <c r="BD666" s="18"/>
      <c r="BE666" s="18"/>
      <c r="BF666" s="18"/>
      <c r="BG666" s="18"/>
      <c r="BH666" s="18"/>
      <c r="BI666" s="18"/>
      <c r="BJ666" s="18"/>
      <c r="BK666" s="18"/>
      <c r="BL666" s="18"/>
      <c r="BM666" s="18"/>
      <c r="BN666" s="18"/>
      <c r="BO666" s="18"/>
      <c r="BP666" s="18"/>
      <c r="BQ666" s="18"/>
      <c r="BR666" s="18"/>
      <c r="BS666" s="18"/>
      <c r="BT666" s="18"/>
      <c r="BU666" s="18"/>
      <c r="BV666" s="18"/>
      <c r="BW666" s="18"/>
      <c r="BX666" s="18"/>
      <c r="BY666" s="18"/>
      <c r="BZ666" s="18"/>
      <c r="CA666" s="18"/>
      <c r="CB666" s="18"/>
      <c r="CC666" s="18"/>
      <c r="CD666" s="18"/>
      <c r="CE666" s="18"/>
      <c r="CF666" s="18"/>
      <c r="CG666" s="18"/>
      <c r="CH666" s="18"/>
      <c r="CI666" s="18"/>
      <c r="CJ666" s="18"/>
      <c r="CK666" s="18"/>
      <c r="CL666" s="18"/>
      <c r="CM666" s="18"/>
      <c r="CN666" s="18"/>
      <c r="CO666" s="18"/>
      <c r="CP666" s="18"/>
      <c r="CQ666" s="18"/>
      <c r="CR666" s="18"/>
      <c r="CS666" s="18"/>
      <c r="CT666" s="18"/>
      <c r="CU666" s="18"/>
    </row>
    <row r="667" spans="1:99">
      <c r="A667" s="19"/>
      <c r="B667" s="19"/>
      <c r="C667" s="19"/>
      <c r="D667" s="19"/>
      <c r="E667" s="19"/>
      <c r="F667" s="19"/>
      <c r="G667" s="19"/>
      <c r="H667" s="19"/>
      <c r="I667" s="19"/>
      <c r="J667" s="19"/>
      <c r="K667" s="18"/>
      <c r="L667" s="18"/>
      <c r="M667" s="18"/>
      <c r="N667" s="18"/>
      <c r="O667" s="18"/>
      <c r="P667" s="18"/>
      <c r="Q667" s="18"/>
      <c r="R667" s="18"/>
      <c r="S667" s="18"/>
      <c r="T667" s="18"/>
      <c r="U667" s="18"/>
      <c r="V667" s="18"/>
      <c r="W667" s="18"/>
      <c r="X667" s="18"/>
      <c r="Y667" s="18"/>
      <c r="Z667" s="18"/>
      <c r="AA667" s="18"/>
      <c r="AB667" s="18"/>
      <c r="AC667" s="18"/>
      <c r="AD667" s="18"/>
      <c r="AE667" s="18"/>
      <c r="AF667" s="18"/>
      <c r="AG667" s="18"/>
      <c r="AH667" s="18"/>
      <c r="AI667" s="18"/>
      <c r="AJ667" s="18"/>
      <c r="AK667" s="18"/>
      <c r="AL667" s="18"/>
      <c r="AM667" s="18"/>
      <c r="AN667" s="18"/>
      <c r="AO667" s="18"/>
      <c r="AP667" s="18"/>
      <c r="AQ667" s="18"/>
      <c r="AR667" s="18"/>
      <c r="AS667" s="18"/>
      <c r="AT667" s="18"/>
      <c r="AU667" s="18"/>
      <c r="AV667" s="18"/>
      <c r="AW667" s="18"/>
      <c r="AX667" s="18"/>
      <c r="AY667" s="18"/>
      <c r="AZ667" s="18"/>
      <c r="BA667" s="18"/>
      <c r="BB667" s="18"/>
      <c r="BC667" s="18"/>
      <c r="BD667" s="18"/>
      <c r="BE667" s="18"/>
      <c r="BF667" s="18"/>
      <c r="BG667" s="18"/>
      <c r="BH667" s="18"/>
      <c r="BI667" s="18"/>
      <c r="BJ667" s="18"/>
      <c r="BK667" s="18"/>
      <c r="BL667" s="18"/>
      <c r="BM667" s="18"/>
      <c r="BN667" s="18"/>
      <c r="BO667" s="18"/>
      <c r="BP667" s="18"/>
      <c r="BQ667" s="18"/>
      <c r="BR667" s="18"/>
      <c r="BS667" s="18"/>
      <c r="BT667" s="18"/>
      <c r="BU667" s="18"/>
      <c r="BV667" s="18"/>
      <c r="BW667" s="18"/>
      <c r="BX667" s="18"/>
      <c r="BY667" s="18"/>
      <c r="BZ667" s="18"/>
      <c r="CA667" s="18"/>
      <c r="CB667" s="18"/>
      <c r="CC667" s="18"/>
      <c r="CD667" s="18"/>
      <c r="CE667" s="18"/>
      <c r="CF667" s="18"/>
      <c r="CG667" s="18"/>
      <c r="CH667" s="18"/>
      <c r="CI667" s="18"/>
      <c r="CJ667" s="18"/>
      <c r="CK667" s="18"/>
      <c r="CL667" s="18"/>
      <c r="CM667" s="18"/>
      <c r="CN667" s="18"/>
      <c r="CO667" s="18"/>
      <c r="CP667" s="18"/>
      <c r="CQ667" s="18"/>
      <c r="CR667" s="18"/>
      <c r="CS667" s="18"/>
      <c r="CT667" s="18"/>
      <c r="CU667" s="18"/>
    </row>
    <row r="668" spans="1:99">
      <c r="A668" s="19"/>
      <c r="B668" s="19"/>
      <c r="C668" s="19"/>
      <c r="D668" s="19"/>
      <c r="E668" s="19"/>
      <c r="F668" s="19"/>
      <c r="G668" s="19"/>
      <c r="H668" s="19"/>
      <c r="I668" s="19"/>
      <c r="J668" s="19"/>
      <c r="K668" s="18"/>
      <c r="L668" s="18"/>
      <c r="M668" s="18"/>
      <c r="N668" s="18"/>
      <c r="O668" s="18"/>
      <c r="P668" s="18"/>
      <c r="Q668" s="18"/>
      <c r="R668" s="18"/>
      <c r="S668" s="18"/>
      <c r="T668" s="18"/>
      <c r="U668" s="18"/>
      <c r="V668" s="18"/>
      <c r="W668" s="18"/>
      <c r="X668" s="18"/>
      <c r="Y668" s="18"/>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c r="BC668" s="18"/>
      <c r="BD668" s="18"/>
      <c r="BE668" s="18"/>
      <c r="BF668" s="18"/>
      <c r="BG668" s="18"/>
      <c r="BH668" s="18"/>
      <c r="BI668" s="18"/>
      <c r="BJ668" s="18"/>
      <c r="BK668" s="18"/>
      <c r="BL668" s="18"/>
      <c r="BM668" s="18"/>
      <c r="BN668" s="18"/>
      <c r="BO668" s="18"/>
      <c r="BP668" s="18"/>
      <c r="BQ668" s="18"/>
      <c r="BR668" s="18"/>
      <c r="BS668" s="18"/>
      <c r="BT668" s="18"/>
      <c r="BU668" s="18"/>
      <c r="BV668" s="18"/>
      <c r="BW668" s="18"/>
      <c r="BX668" s="18"/>
      <c r="BY668" s="18"/>
      <c r="BZ668" s="18"/>
      <c r="CA668" s="18"/>
      <c r="CB668" s="18"/>
      <c r="CC668" s="18"/>
      <c r="CD668" s="18"/>
      <c r="CE668" s="18"/>
      <c r="CF668" s="18"/>
      <c r="CG668" s="18"/>
      <c r="CH668" s="18"/>
      <c r="CI668" s="18"/>
      <c r="CJ668" s="18"/>
      <c r="CK668" s="18"/>
      <c r="CL668" s="18"/>
      <c r="CM668" s="18"/>
      <c r="CN668" s="18"/>
      <c r="CO668" s="18"/>
      <c r="CP668" s="18"/>
      <c r="CQ668" s="18"/>
      <c r="CR668" s="18"/>
      <c r="CS668" s="18"/>
      <c r="CT668" s="18"/>
      <c r="CU668" s="18"/>
    </row>
    <row r="669" spans="1:99">
      <c r="A669" s="19"/>
      <c r="B669" s="19"/>
      <c r="C669" s="19"/>
      <c r="D669" s="19"/>
      <c r="E669" s="19"/>
      <c r="F669" s="19"/>
      <c r="G669" s="19"/>
      <c r="H669" s="19"/>
      <c r="I669" s="19"/>
      <c r="J669" s="19"/>
      <c r="K669" s="18"/>
      <c r="L669" s="18"/>
      <c r="M669" s="18"/>
      <c r="N669" s="18"/>
      <c r="O669" s="18"/>
      <c r="P669" s="18"/>
      <c r="Q669" s="18"/>
      <c r="R669" s="18"/>
      <c r="S669" s="18"/>
      <c r="T669" s="18"/>
      <c r="U669" s="18"/>
      <c r="V669" s="18"/>
      <c r="W669" s="18"/>
      <c r="X669" s="18"/>
      <c r="Y669" s="18"/>
      <c r="Z669" s="18"/>
      <c r="AA669" s="18"/>
      <c r="AB669" s="18"/>
      <c r="AC669" s="18"/>
      <c r="AD669" s="18"/>
      <c r="AE669" s="18"/>
      <c r="AF669" s="18"/>
      <c r="AG669" s="18"/>
      <c r="AH669" s="18"/>
      <c r="AI669" s="18"/>
      <c r="AJ669" s="18"/>
      <c r="AK669" s="18"/>
      <c r="AL669" s="18"/>
      <c r="AM669" s="18"/>
      <c r="AN669" s="18"/>
      <c r="AO669" s="18"/>
      <c r="AP669" s="18"/>
      <c r="AQ669" s="18"/>
      <c r="AR669" s="18"/>
      <c r="AS669" s="18"/>
      <c r="AT669" s="18"/>
      <c r="AU669" s="18"/>
      <c r="AV669" s="18"/>
      <c r="AW669" s="18"/>
      <c r="AX669" s="18"/>
      <c r="AY669" s="18"/>
      <c r="AZ669" s="18"/>
      <c r="BA669" s="18"/>
      <c r="BB669" s="18"/>
      <c r="BC669" s="18"/>
      <c r="BD669" s="18"/>
      <c r="BE669" s="18"/>
      <c r="BF669" s="18"/>
      <c r="BG669" s="18"/>
      <c r="BH669" s="18"/>
      <c r="BI669" s="18"/>
      <c r="BJ669" s="18"/>
      <c r="BK669" s="18"/>
      <c r="BL669" s="18"/>
      <c r="BM669" s="18"/>
      <c r="BN669" s="18"/>
      <c r="BO669" s="18"/>
      <c r="BP669" s="18"/>
      <c r="BQ669" s="18"/>
      <c r="BR669" s="18"/>
      <c r="BS669" s="18"/>
      <c r="BT669" s="18"/>
      <c r="BU669" s="18"/>
      <c r="BV669" s="18"/>
      <c r="BW669" s="18"/>
      <c r="BX669" s="18"/>
      <c r="BY669" s="18"/>
      <c r="BZ669" s="18"/>
      <c r="CA669" s="18"/>
      <c r="CB669" s="18"/>
      <c r="CC669" s="18"/>
      <c r="CD669" s="18"/>
      <c r="CE669" s="18"/>
      <c r="CF669" s="18"/>
      <c r="CG669" s="18"/>
      <c r="CH669" s="18"/>
      <c r="CI669" s="18"/>
      <c r="CJ669" s="18"/>
      <c r="CK669" s="18"/>
      <c r="CL669" s="18"/>
      <c r="CM669" s="18"/>
      <c r="CN669" s="18"/>
      <c r="CO669" s="18"/>
      <c r="CP669" s="18"/>
      <c r="CQ669" s="18"/>
      <c r="CR669" s="18"/>
      <c r="CS669" s="18"/>
      <c r="CT669" s="18"/>
      <c r="CU669" s="18"/>
    </row>
    <row r="670" spans="1:99">
      <c r="A670" s="19"/>
      <c r="B670" s="19"/>
      <c r="C670" s="19"/>
      <c r="D670" s="19"/>
      <c r="E670" s="19"/>
      <c r="F670" s="19"/>
      <c r="G670" s="19"/>
      <c r="H670" s="19"/>
      <c r="I670" s="19"/>
      <c r="J670" s="19"/>
      <c r="K670" s="18"/>
      <c r="L670" s="18"/>
      <c r="M670" s="18"/>
      <c r="N670" s="18"/>
      <c r="O670" s="18"/>
      <c r="P670" s="18"/>
      <c r="Q670" s="18"/>
      <c r="R670" s="18"/>
      <c r="S670" s="18"/>
      <c r="T670" s="18"/>
      <c r="U670" s="18"/>
      <c r="V670" s="18"/>
      <c r="W670" s="18"/>
      <c r="X670" s="18"/>
      <c r="Y670" s="18"/>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c r="BC670" s="18"/>
      <c r="BD670" s="18"/>
      <c r="BE670" s="18"/>
      <c r="BF670" s="18"/>
      <c r="BG670" s="18"/>
      <c r="BH670" s="18"/>
      <c r="BI670" s="18"/>
      <c r="BJ670" s="18"/>
      <c r="BK670" s="18"/>
      <c r="BL670" s="18"/>
      <c r="BM670" s="18"/>
      <c r="BN670" s="18"/>
      <c r="BO670" s="18"/>
      <c r="BP670" s="18"/>
      <c r="BQ670" s="18"/>
      <c r="BR670" s="18"/>
      <c r="BS670" s="18"/>
      <c r="BT670" s="18"/>
      <c r="BU670" s="18"/>
      <c r="BV670" s="18"/>
      <c r="BW670" s="18"/>
      <c r="BX670" s="18"/>
      <c r="BY670" s="18"/>
      <c r="BZ670" s="18"/>
      <c r="CA670" s="18"/>
      <c r="CB670" s="18"/>
      <c r="CC670" s="18"/>
      <c r="CD670" s="18"/>
      <c r="CE670" s="18"/>
      <c r="CF670" s="18"/>
      <c r="CG670" s="18"/>
      <c r="CH670" s="18"/>
      <c r="CI670" s="18"/>
      <c r="CJ670" s="18"/>
      <c r="CK670" s="18"/>
      <c r="CL670" s="18"/>
      <c r="CM670" s="18"/>
      <c r="CN670" s="18"/>
      <c r="CO670" s="18"/>
      <c r="CP670" s="18"/>
      <c r="CQ670" s="18"/>
      <c r="CR670" s="18"/>
      <c r="CS670" s="18"/>
      <c r="CT670" s="18"/>
      <c r="CU670" s="18"/>
    </row>
    <row r="671" spans="1:99">
      <c r="A671" s="19"/>
      <c r="B671" s="19"/>
      <c r="C671" s="19"/>
      <c r="D671" s="19"/>
      <c r="E671" s="19"/>
      <c r="F671" s="19"/>
      <c r="G671" s="19"/>
      <c r="H671" s="19"/>
      <c r="I671" s="19"/>
      <c r="J671" s="19"/>
      <c r="K671" s="18"/>
      <c r="L671" s="18"/>
      <c r="M671" s="18"/>
      <c r="N671" s="18"/>
      <c r="O671" s="18"/>
      <c r="P671" s="18"/>
      <c r="Q671" s="18"/>
      <c r="R671" s="18"/>
      <c r="S671" s="18"/>
      <c r="T671" s="18"/>
      <c r="U671" s="18"/>
      <c r="V671" s="18"/>
      <c r="W671" s="18"/>
      <c r="X671" s="18"/>
      <c r="Y671" s="18"/>
      <c r="Z671" s="18"/>
      <c r="AA671" s="18"/>
      <c r="AB671" s="18"/>
      <c r="AC671" s="18"/>
      <c r="AD671" s="18"/>
      <c r="AE671" s="18"/>
      <c r="AF671" s="18"/>
      <c r="AG671" s="18"/>
      <c r="AH671" s="18"/>
      <c r="AI671" s="18"/>
      <c r="AJ671" s="18"/>
      <c r="AK671" s="18"/>
      <c r="AL671" s="18"/>
      <c r="AM671" s="18"/>
      <c r="AN671" s="18"/>
      <c r="AO671" s="18"/>
      <c r="AP671" s="18"/>
      <c r="AQ671" s="18"/>
      <c r="AR671" s="18"/>
      <c r="AS671" s="18"/>
      <c r="AT671" s="18"/>
      <c r="AU671" s="18"/>
      <c r="AV671" s="18"/>
      <c r="AW671" s="18"/>
      <c r="AX671" s="18"/>
      <c r="AY671" s="18"/>
      <c r="AZ671" s="18"/>
      <c r="BA671" s="18"/>
      <c r="BB671" s="18"/>
      <c r="BC671" s="18"/>
      <c r="BD671" s="18"/>
      <c r="BE671" s="18"/>
      <c r="BF671" s="18"/>
      <c r="BG671" s="18"/>
      <c r="BH671" s="18"/>
      <c r="BI671" s="18"/>
      <c r="BJ671" s="18"/>
      <c r="BK671" s="18"/>
      <c r="BL671" s="18"/>
      <c r="BM671" s="18"/>
      <c r="BN671" s="18"/>
      <c r="BO671" s="18"/>
      <c r="BP671" s="18"/>
      <c r="BQ671" s="18"/>
      <c r="BR671" s="18"/>
      <c r="BS671" s="18"/>
      <c r="BT671" s="18"/>
      <c r="BU671" s="18"/>
      <c r="BV671" s="18"/>
      <c r="BW671" s="18"/>
      <c r="BX671" s="18"/>
      <c r="BY671" s="18"/>
      <c r="BZ671" s="18"/>
      <c r="CA671" s="18"/>
      <c r="CB671" s="18"/>
      <c r="CC671" s="18"/>
      <c r="CD671" s="18"/>
      <c r="CE671" s="18"/>
      <c r="CF671" s="18"/>
      <c r="CG671" s="18"/>
      <c r="CH671" s="18"/>
      <c r="CI671" s="18"/>
      <c r="CJ671" s="18"/>
      <c r="CK671" s="18"/>
      <c r="CL671" s="18"/>
      <c r="CM671" s="18"/>
      <c r="CN671" s="18"/>
      <c r="CO671" s="18"/>
      <c r="CP671" s="18"/>
      <c r="CQ671" s="18"/>
      <c r="CR671" s="18"/>
      <c r="CS671" s="18"/>
      <c r="CT671" s="18"/>
      <c r="CU671" s="18"/>
    </row>
    <row r="672" spans="1:99">
      <c r="A672" s="19"/>
      <c r="B672" s="19"/>
      <c r="C672" s="19"/>
      <c r="D672" s="19"/>
      <c r="E672" s="19"/>
      <c r="F672" s="19"/>
      <c r="G672" s="19"/>
      <c r="H672" s="19"/>
      <c r="I672" s="19"/>
      <c r="J672" s="19"/>
      <c r="K672" s="18"/>
      <c r="L672" s="18"/>
      <c r="M672" s="18"/>
      <c r="N672" s="18"/>
      <c r="O672" s="18"/>
      <c r="P672" s="18"/>
      <c r="Q672" s="18"/>
      <c r="R672" s="18"/>
      <c r="S672" s="18"/>
      <c r="T672" s="18"/>
      <c r="U672" s="18"/>
      <c r="V672" s="18"/>
      <c r="W672" s="18"/>
      <c r="X672" s="18"/>
      <c r="Y672" s="18"/>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c r="BC672" s="18"/>
      <c r="BD672" s="18"/>
      <c r="BE672" s="18"/>
      <c r="BF672" s="18"/>
      <c r="BG672" s="18"/>
      <c r="BH672" s="18"/>
      <c r="BI672" s="18"/>
      <c r="BJ672" s="18"/>
      <c r="BK672" s="18"/>
      <c r="BL672" s="18"/>
      <c r="BM672" s="18"/>
      <c r="BN672" s="18"/>
      <c r="BO672" s="18"/>
      <c r="BP672" s="18"/>
      <c r="BQ672" s="18"/>
      <c r="BR672" s="18"/>
      <c r="BS672" s="18"/>
      <c r="BT672" s="18"/>
      <c r="BU672" s="18"/>
      <c r="BV672" s="18"/>
      <c r="BW672" s="18"/>
      <c r="BX672" s="18"/>
      <c r="BY672" s="18"/>
      <c r="BZ672" s="18"/>
      <c r="CA672" s="18"/>
      <c r="CB672" s="18"/>
      <c r="CC672" s="18"/>
      <c r="CD672" s="18"/>
      <c r="CE672" s="18"/>
      <c r="CF672" s="18"/>
      <c r="CG672" s="18"/>
      <c r="CH672" s="18"/>
      <c r="CI672" s="18"/>
      <c r="CJ672" s="18"/>
      <c r="CK672" s="18"/>
      <c r="CL672" s="18"/>
      <c r="CM672" s="18"/>
      <c r="CN672" s="18"/>
      <c r="CO672" s="18"/>
      <c r="CP672" s="18"/>
      <c r="CQ672" s="18"/>
      <c r="CR672" s="18"/>
      <c r="CS672" s="18"/>
      <c r="CT672" s="18"/>
      <c r="CU672" s="18"/>
    </row>
    <row r="673" spans="1:99">
      <c r="A673" s="19"/>
      <c r="B673" s="19"/>
      <c r="C673" s="19"/>
      <c r="D673" s="19"/>
      <c r="E673" s="19"/>
      <c r="F673" s="19"/>
      <c r="G673" s="19"/>
      <c r="H673" s="19"/>
      <c r="I673" s="19"/>
      <c r="J673" s="19"/>
      <c r="K673" s="18"/>
      <c r="L673" s="18"/>
      <c r="M673" s="18"/>
      <c r="N673" s="18"/>
      <c r="O673" s="18"/>
      <c r="P673" s="18"/>
      <c r="Q673" s="18"/>
      <c r="R673" s="18"/>
      <c r="S673" s="18"/>
      <c r="T673" s="18"/>
      <c r="U673" s="18"/>
      <c r="V673" s="18"/>
      <c r="W673" s="18"/>
      <c r="X673" s="18"/>
      <c r="Y673" s="18"/>
      <c r="Z673" s="18"/>
      <c r="AA673" s="18"/>
      <c r="AB673" s="18"/>
      <c r="AC673" s="18"/>
      <c r="AD673" s="18"/>
      <c r="AE673" s="18"/>
      <c r="AF673" s="18"/>
      <c r="AG673" s="18"/>
      <c r="AH673" s="18"/>
      <c r="AI673" s="18"/>
      <c r="AJ673" s="18"/>
      <c r="AK673" s="18"/>
      <c r="AL673" s="18"/>
      <c r="AM673" s="18"/>
      <c r="AN673" s="18"/>
      <c r="AO673" s="18"/>
      <c r="AP673" s="18"/>
      <c r="AQ673" s="18"/>
      <c r="AR673" s="18"/>
      <c r="AS673" s="18"/>
      <c r="AT673" s="18"/>
      <c r="AU673" s="18"/>
      <c r="AV673" s="18"/>
      <c r="AW673" s="18"/>
      <c r="AX673" s="18"/>
      <c r="AY673" s="18"/>
      <c r="AZ673" s="18"/>
      <c r="BA673" s="18"/>
      <c r="BB673" s="18"/>
      <c r="BC673" s="18"/>
      <c r="BD673" s="18"/>
      <c r="BE673" s="18"/>
      <c r="BF673" s="18"/>
      <c r="BG673" s="18"/>
      <c r="BH673" s="18"/>
      <c r="BI673" s="18"/>
      <c r="BJ673" s="18"/>
      <c r="BK673" s="18"/>
      <c r="BL673" s="18"/>
      <c r="BM673" s="18"/>
      <c r="BN673" s="18"/>
      <c r="BO673" s="18"/>
      <c r="BP673" s="18"/>
      <c r="BQ673" s="18"/>
      <c r="BR673" s="18"/>
      <c r="BS673" s="18"/>
      <c r="BT673" s="18"/>
      <c r="BU673" s="18"/>
      <c r="BV673" s="18"/>
      <c r="BW673" s="18"/>
      <c r="BX673" s="18"/>
      <c r="BY673" s="18"/>
      <c r="BZ673" s="18"/>
      <c r="CA673" s="18"/>
      <c r="CB673" s="18"/>
      <c r="CC673" s="18"/>
      <c r="CD673" s="18"/>
      <c r="CE673" s="18"/>
      <c r="CF673" s="18"/>
      <c r="CG673" s="18"/>
      <c r="CH673" s="18"/>
      <c r="CI673" s="18"/>
      <c r="CJ673" s="18"/>
      <c r="CK673" s="18"/>
      <c r="CL673" s="18"/>
      <c r="CM673" s="18"/>
      <c r="CN673" s="18"/>
      <c r="CO673" s="18"/>
      <c r="CP673" s="18"/>
      <c r="CQ673" s="18"/>
      <c r="CR673" s="18"/>
      <c r="CS673" s="18"/>
      <c r="CT673" s="18"/>
      <c r="CU673" s="18"/>
    </row>
    <row r="674" spans="1:99">
      <c r="A674" s="19"/>
      <c r="B674" s="19"/>
      <c r="C674" s="19"/>
      <c r="D674" s="19"/>
      <c r="E674" s="19"/>
      <c r="F674" s="19"/>
      <c r="G674" s="19"/>
      <c r="H674" s="19"/>
      <c r="I674" s="19"/>
      <c r="J674" s="19"/>
      <c r="K674" s="18"/>
      <c r="L674" s="18"/>
      <c r="M674" s="18"/>
      <c r="N674" s="18"/>
      <c r="O674" s="18"/>
      <c r="P674" s="18"/>
      <c r="Q674" s="18"/>
      <c r="R674" s="18"/>
      <c r="S674" s="18"/>
      <c r="T674" s="18"/>
      <c r="U674" s="18"/>
      <c r="V674" s="18"/>
      <c r="W674" s="18"/>
      <c r="X674" s="18"/>
      <c r="Y674" s="18"/>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c r="BC674" s="18"/>
      <c r="BD674" s="18"/>
      <c r="BE674" s="18"/>
      <c r="BF674" s="18"/>
      <c r="BG674" s="18"/>
      <c r="BH674" s="18"/>
      <c r="BI674" s="18"/>
      <c r="BJ674" s="18"/>
      <c r="BK674" s="18"/>
      <c r="BL674" s="18"/>
      <c r="BM674" s="18"/>
      <c r="BN674" s="18"/>
      <c r="BO674" s="18"/>
      <c r="BP674" s="18"/>
      <c r="BQ674" s="18"/>
      <c r="BR674" s="18"/>
      <c r="BS674" s="18"/>
      <c r="BT674" s="18"/>
      <c r="BU674" s="18"/>
      <c r="BV674" s="18"/>
      <c r="BW674" s="18"/>
      <c r="BX674" s="18"/>
      <c r="BY674" s="18"/>
      <c r="BZ674" s="18"/>
      <c r="CA674" s="18"/>
      <c r="CB674" s="18"/>
      <c r="CC674" s="18"/>
      <c r="CD674" s="18"/>
      <c r="CE674" s="18"/>
      <c r="CF674" s="18"/>
      <c r="CG674" s="18"/>
      <c r="CH674" s="18"/>
      <c r="CI674" s="18"/>
      <c r="CJ674" s="18"/>
      <c r="CK674" s="18"/>
      <c r="CL674" s="18"/>
      <c r="CM674" s="18"/>
      <c r="CN674" s="18"/>
      <c r="CO674" s="18"/>
      <c r="CP674" s="18"/>
      <c r="CQ674" s="18"/>
      <c r="CR674" s="18"/>
      <c r="CS674" s="18"/>
      <c r="CT674" s="18"/>
      <c r="CU674" s="18"/>
    </row>
    <row r="675" spans="1:99">
      <c r="A675" s="19"/>
      <c r="B675" s="19"/>
      <c r="C675" s="19"/>
      <c r="D675" s="19"/>
      <c r="E675" s="19"/>
      <c r="F675" s="19"/>
      <c r="G675" s="19"/>
      <c r="H675" s="19"/>
      <c r="I675" s="19"/>
      <c r="J675" s="19"/>
      <c r="K675" s="18"/>
      <c r="L675" s="18"/>
      <c r="M675" s="18"/>
      <c r="N675" s="18"/>
      <c r="O675" s="18"/>
      <c r="P675" s="18"/>
      <c r="Q675" s="18"/>
      <c r="R675" s="18"/>
      <c r="S675" s="18"/>
      <c r="T675" s="18"/>
      <c r="U675" s="18"/>
      <c r="V675" s="18"/>
      <c r="W675" s="18"/>
      <c r="X675" s="18"/>
      <c r="Y675" s="18"/>
      <c r="Z675" s="18"/>
      <c r="AA675" s="18"/>
      <c r="AB675" s="18"/>
      <c r="AC675" s="18"/>
      <c r="AD675" s="18"/>
      <c r="AE675" s="18"/>
      <c r="AF675" s="18"/>
      <c r="AG675" s="18"/>
      <c r="AH675" s="18"/>
      <c r="AI675" s="18"/>
      <c r="AJ675" s="18"/>
      <c r="AK675" s="18"/>
      <c r="AL675" s="18"/>
      <c r="AM675" s="18"/>
      <c r="AN675" s="18"/>
      <c r="AO675" s="18"/>
      <c r="AP675" s="18"/>
      <c r="AQ675" s="18"/>
      <c r="AR675" s="18"/>
      <c r="AS675" s="18"/>
      <c r="AT675" s="18"/>
      <c r="AU675" s="18"/>
      <c r="AV675" s="18"/>
      <c r="AW675" s="18"/>
      <c r="AX675" s="18"/>
      <c r="AY675" s="18"/>
      <c r="AZ675" s="18"/>
      <c r="BA675" s="18"/>
      <c r="BB675" s="18"/>
      <c r="BC675" s="18"/>
      <c r="BD675" s="18"/>
      <c r="BE675" s="18"/>
      <c r="BF675" s="18"/>
      <c r="BG675" s="18"/>
      <c r="BH675" s="18"/>
      <c r="BI675" s="18"/>
      <c r="BJ675" s="18"/>
      <c r="BK675" s="18"/>
      <c r="BL675" s="18"/>
      <c r="BM675" s="18"/>
      <c r="BN675" s="18"/>
      <c r="BO675" s="18"/>
      <c r="BP675" s="18"/>
      <c r="BQ675" s="18"/>
      <c r="BR675" s="18"/>
      <c r="BS675" s="18"/>
      <c r="BT675" s="18"/>
      <c r="BU675" s="18"/>
      <c r="BV675" s="18"/>
      <c r="BW675" s="18"/>
      <c r="BX675" s="18"/>
      <c r="BY675" s="18"/>
      <c r="BZ675" s="18"/>
      <c r="CA675" s="18"/>
      <c r="CB675" s="18"/>
      <c r="CC675" s="18"/>
      <c r="CD675" s="18"/>
      <c r="CE675" s="18"/>
      <c r="CF675" s="18"/>
      <c r="CG675" s="18"/>
      <c r="CH675" s="18"/>
      <c r="CI675" s="18"/>
      <c r="CJ675" s="18"/>
      <c r="CK675" s="18"/>
      <c r="CL675" s="18"/>
      <c r="CM675" s="18"/>
      <c r="CN675" s="18"/>
      <c r="CO675" s="18"/>
      <c r="CP675" s="18"/>
      <c r="CQ675" s="18"/>
      <c r="CR675" s="18"/>
      <c r="CS675" s="18"/>
      <c r="CT675" s="18"/>
      <c r="CU675" s="18"/>
    </row>
    <row r="676" spans="1:99">
      <c r="A676" s="19"/>
      <c r="B676" s="19"/>
      <c r="C676" s="19"/>
      <c r="D676" s="19"/>
      <c r="E676" s="19"/>
      <c r="F676" s="19"/>
      <c r="G676" s="19"/>
      <c r="H676" s="19"/>
      <c r="I676" s="19"/>
      <c r="J676" s="19"/>
      <c r="K676" s="18"/>
      <c r="L676" s="18"/>
      <c r="M676" s="18"/>
      <c r="N676" s="18"/>
      <c r="O676" s="18"/>
      <c r="P676" s="18"/>
      <c r="Q676" s="18"/>
      <c r="R676" s="18"/>
      <c r="S676" s="18"/>
      <c r="T676" s="18"/>
      <c r="U676" s="18"/>
      <c r="V676" s="18"/>
      <c r="W676" s="18"/>
      <c r="X676" s="18"/>
      <c r="Y676" s="18"/>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c r="BC676" s="18"/>
      <c r="BD676" s="18"/>
      <c r="BE676" s="18"/>
      <c r="BF676" s="18"/>
      <c r="BG676" s="18"/>
      <c r="BH676" s="18"/>
      <c r="BI676" s="18"/>
      <c r="BJ676" s="18"/>
      <c r="BK676" s="18"/>
      <c r="BL676" s="18"/>
      <c r="BM676" s="18"/>
      <c r="BN676" s="18"/>
      <c r="BO676" s="18"/>
      <c r="BP676" s="18"/>
      <c r="BQ676" s="18"/>
      <c r="BR676" s="18"/>
      <c r="BS676" s="18"/>
      <c r="BT676" s="18"/>
      <c r="BU676" s="18"/>
      <c r="BV676" s="18"/>
      <c r="BW676" s="18"/>
      <c r="BX676" s="18"/>
      <c r="BY676" s="18"/>
      <c r="BZ676" s="18"/>
      <c r="CA676" s="18"/>
      <c r="CB676" s="18"/>
      <c r="CC676" s="18"/>
      <c r="CD676" s="18"/>
      <c r="CE676" s="18"/>
      <c r="CF676" s="18"/>
      <c r="CG676" s="18"/>
      <c r="CH676" s="18"/>
      <c r="CI676" s="18"/>
      <c r="CJ676" s="18"/>
      <c r="CK676" s="18"/>
      <c r="CL676" s="18"/>
      <c r="CM676" s="18"/>
      <c r="CN676" s="18"/>
      <c r="CO676" s="18"/>
      <c r="CP676" s="18"/>
      <c r="CQ676" s="18"/>
      <c r="CR676" s="18"/>
      <c r="CS676" s="18"/>
      <c r="CT676" s="18"/>
      <c r="CU676" s="18"/>
    </row>
    <row r="677" spans="1:99">
      <c r="A677" s="19"/>
      <c r="B677" s="19"/>
      <c r="C677" s="19"/>
      <c r="D677" s="19"/>
      <c r="E677" s="19"/>
      <c r="F677" s="19"/>
      <c r="G677" s="19"/>
      <c r="H677" s="19"/>
      <c r="I677" s="19"/>
      <c r="J677" s="19"/>
      <c r="K677" s="18"/>
      <c r="L677" s="18"/>
      <c r="M677" s="18"/>
      <c r="N677" s="18"/>
      <c r="O677" s="18"/>
      <c r="P677" s="18"/>
      <c r="Q677" s="18"/>
      <c r="R677" s="18"/>
      <c r="S677" s="18"/>
      <c r="T677" s="18"/>
      <c r="U677" s="18"/>
      <c r="V677" s="18"/>
      <c r="W677" s="18"/>
      <c r="X677" s="18"/>
      <c r="Y677" s="18"/>
      <c r="Z677" s="18"/>
      <c r="AA677" s="18"/>
      <c r="AB677" s="18"/>
      <c r="AC677" s="18"/>
      <c r="AD677" s="18"/>
      <c r="AE677" s="18"/>
      <c r="AF677" s="18"/>
      <c r="AG677" s="18"/>
      <c r="AH677" s="18"/>
      <c r="AI677" s="18"/>
      <c r="AJ677" s="18"/>
      <c r="AK677" s="18"/>
      <c r="AL677" s="18"/>
      <c r="AM677" s="18"/>
      <c r="AN677" s="18"/>
      <c r="AO677" s="18"/>
      <c r="AP677" s="18"/>
      <c r="AQ677" s="18"/>
      <c r="AR677" s="18"/>
      <c r="AS677" s="18"/>
      <c r="AT677" s="18"/>
      <c r="AU677" s="18"/>
      <c r="AV677" s="18"/>
      <c r="AW677" s="18"/>
      <c r="AX677" s="18"/>
      <c r="AY677" s="18"/>
      <c r="AZ677" s="18"/>
      <c r="BA677" s="18"/>
      <c r="BB677" s="18"/>
      <c r="BC677" s="18"/>
      <c r="BD677" s="18"/>
      <c r="BE677" s="18"/>
      <c r="BF677" s="18"/>
      <c r="BG677" s="18"/>
      <c r="BH677" s="18"/>
      <c r="BI677" s="18"/>
      <c r="BJ677" s="18"/>
      <c r="BK677" s="18"/>
      <c r="BL677" s="18"/>
      <c r="BM677" s="18"/>
      <c r="BN677" s="18"/>
      <c r="BO677" s="18"/>
      <c r="BP677" s="18"/>
      <c r="BQ677" s="18"/>
      <c r="BR677" s="18"/>
      <c r="BS677" s="18"/>
      <c r="BT677" s="18"/>
      <c r="BU677" s="18"/>
      <c r="BV677" s="18"/>
      <c r="BW677" s="18"/>
      <c r="BX677" s="18"/>
      <c r="BY677" s="18"/>
      <c r="BZ677" s="18"/>
      <c r="CA677" s="18"/>
      <c r="CB677" s="18"/>
      <c r="CC677" s="18"/>
      <c r="CD677" s="18"/>
      <c r="CE677" s="18"/>
      <c r="CF677" s="18"/>
      <c r="CG677" s="18"/>
      <c r="CH677" s="18"/>
      <c r="CI677" s="18"/>
      <c r="CJ677" s="18"/>
      <c r="CK677" s="18"/>
      <c r="CL677" s="18"/>
      <c r="CM677" s="18"/>
      <c r="CN677" s="18"/>
      <c r="CO677" s="18"/>
      <c r="CP677" s="18"/>
      <c r="CQ677" s="18"/>
      <c r="CR677" s="18"/>
      <c r="CS677" s="18"/>
      <c r="CT677" s="18"/>
      <c r="CU677" s="18"/>
    </row>
    <row r="678" spans="1:99">
      <c r="A678" s="19"/>
      <c r="B678" s="19"/>
      <c r="C678" s="19"/>
      <c r="D678" s="19"/>
      <c r="E678" s="19"/>
      <c r="F678" s="19"/>
      <c r="G678" s="19"/>
      <c r="H678" s="19"/>
      <c r="I678" s="19"/>
      <c r="J678" s="19"/>
      <c r="K678" s="18"/>
      <c r="L678" s="18"/>
      <c r="M678" s="18"/>
      <c r="N678" s="18"/>
      <c r="O678" s="18"/>
      <c r="P678" s="18"/>
      <c r="Q678" s="18"/>
      <c r="R678" s="18"/>
      <c r="S678" s="18"/>
      <c r="T678" s="18"/>
      <c r="U678" s="18"/>
      <c r="V678" s="18"/>
      <c r="W678" s="18"/>
      <c r="X678" s="18"/>
      <c r="Y678" s="18"/>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c r="BC678" s="18"/>
      <c r="BD678" s="18"/>
      <c r="BE678" s="18"/>
      <c r="BF678" s="18"/>
      <c r="BG678" s="18"/>
      <c r="BH678" s="18"/>
      <c r="BI678" s="18"/>
      <c r="BJ678" s="18"/>
      <c r="BK678" s="18"/>
      <c r="BL678" s="18"/>
      <c r="BM678" s="18"/>
      <c r="BN678" s="18"/>
      <c r="BO678" s="18"/>
      <c r="BP678" s="18"/>
      <c r="BQ678" s="18"/>
      <c r="BR678" s="18"/>
      <c r="BS678" s="18"/>
      <c r="BT678" s="18"/>
      <c r="BU678" s="18"/>
      <c r="BV678" s="18"/>
      <c r="BW678" s="18"/>
      <c r="BX678" s="18"/>
      <c r="BY678" s="18"/>
      <c r="BZ678" s="18"/>
      <c r="CA678" s="18"/>
      <c r="CB678" s="18"/>
      <c r="CC678" s="18"/>
      <c r="CD678" s="18"/>
      <c r="CE678" s="18"/>
      <c r="CF678" s="18"/>
      <c r="CG678" s="18"/>
      <c r="CH678" s="18"/>
      <c r="CI678" s="18"/>
      <c r="CJ678" s="18"/>
      <c r="CK678" s="18"/>
      <c r="CL678" s="18"/>
      <c r="CM678" s="18"/>
      <c r="CN678" s="18"/>
      <c r="CO678" s="18"/>
      <c r="CP678" s="18"/>
      <c r="CQ678" s="18"/>
      <c r="CR678" s="18"/>
      <c r="CS678" s="18"/>
      <c r="CT678" s="18"/>
      <c r="CU678" s="18"/>
    </row>
    <row r="679" spans="1:99">
      <c r="A679" s="19"/>
      <c r="B679" s="19"/>
      <c r="C679" s="19"/>
      <c r="D679" s="19"/>
      <c r="E679" s="19"/>
      <c r="F679" s="19"/>
      <c r="G679" s="19"/>
      <c r="H679" s="19"/>
      <c r="I679" s="19"/>
      <c r="J679" s="19"/>
      <c r="K679" s="18"/>
      <c r="L679" s="18"/>
      <c r="M679" s="18"/>
      <c r="N679" s="18"/>
      <c r="O679" s="18"/>
      <c r="P679" s="18"/>
      <c r="Q679" s="18"/>
      <c r="R679" s="18"/>
      <c r="S679" s="18"/>
      <c r="T679" s="18"/>
      <c r="U679" s="18"/>
      <c r="V679" s="18"/>
      <c r="W679" s="18"/>
      <c r="X679" s="18"/>
      <c r="Y679" s="18"/>
      <c r="Z679" s="18"/>
      <c r="AA679" s="18"/>
      <c r="AB679" s="18"/>
      <c r="AC679" s="18"/>
      <c r="AD679" s="18"/>
      <c r="AE679" s="18"/>
      <c r="AF679" s="18"/>
      <c r="AG679" s="18"/>
      <c r="AH679" s="18"/>
      <c r="AI679" s="18"/>
      <c r="AJ679" s="18"/>
      <c r="AK679" s="18"/>
      <c r="AL679" s="18"/>
      <c r="AM679" s="18"/>
      <c r="AN679" s="18"/>
      <c r="AO679" s="18"/>
      <c r="AP679" s="18"/>
      <c r="AQ679" s="18"/>
      <c r="AR679" s="18"/>
      <c r="AS679" s="18"/>
      <c r="AT679" s="18"/>
      <c r="AU679" s="18"/>
      <c r="AV679" s="18"/>
      <c r="AW679" s="18"/>
      <c r="AX679" s="18"/>
      <c r="AY679" s="18"/>
      <c r="AZ679" s="18"/>
      <c r="BA679" s="18"/>
      <c r="BB679" s="18"/>
      <c r="BC679" s="18"/>
      <c r="BD679" s="18"/>
      <c r="BE679" s="18"/>
      <c r="BF679" s="18"/>
      <c r="BG679" s="18"/>
      <c r="BH679" s="18"/>
      <c r="BI679" s="18"/>
      <c r="BJ679" s="18"/>
      <c r="BK679" s="18"/>
      <c r="BL679" s="18"/>
      <c r="BM679" s="18"/>
      <c r="BN679" s="18"/>
      <c r="BO679" s="18"/>
      <c r="BP679" s="18"/>
      <c r="BQ679" s="18"/>
      <c r="BR679" s="18"/>
      <c r="BS679" s="18"/>
      <c r="BT679" s="18"/>
      <c r="BU679" s="18"/>
      <c r="BV679" s="18"/>
      <c r="BW679" s="18"/>
      <c r="BX679" s="18"/>
      <c r="BY679" s="18"/>
      <c r="BZ679" s="18"/>
      <c r="CA679" s="18"/>
      <c r="CB679" s="18"/>
      <c r="CC679" s="18"/>
      <c r="CD679" s="18"/>
      <c r="CE679" s="18"/>
      <c r="CF679" s="18"/>
      <c r="CG679" s="18"/>
      <c r="CH679" s="18"/>
      <c r="CI679" s="18"/>
      <c r="CJ679" s="18"/>
      <c r="CK679" s="18"/>
      <c r="CL679" s="18"/>
      <c r="CM679" s="18"/>
      <c r="CN679" s="18"/>
      <c r="CO679" s="18"/>
      <c r="CP679" s="18"/>
      <c r="CQ679" s="18"/>
      <c r="CR679" s="18"/>
      <c r="CS679" s="18"/>
      <c r="CT679" s="18"/>
      <c r="CU679" s="18"/>
    </row>
    <row r="680" spans="1:99">
      <c r="A680" s="19"/>
      <c r="B680" s="19"/>
      <c r="C680" s="19"/>
      <c r="D680" s="19"/>
      <c r="E680" s="19"/>
      <c r="F680" s="19"/>
      <c r="G680" s="19"/>
      <c r="H680" s="19"/>
      <c r="I680" s="19"/>
      <c r="J680" s="19"/>
      <c r="K680" s="18"/>
      <c r="L680" s="18"/>
      <c r="M680" s="18"/>
      <c r="N680" s="18"/>
      <c r="O680" s="18"/>
      <c r="P680" s="18"/>
      <c r="Q680" s="18"/>
      <c r="R680" s="18"/>
      <c r="S680" s="18"/>
      <c r="T680" s="18"/>
      <c r="U680" s="18"/>
      <c r="V680" s="18"/>
      <c r="W680" s="18"/>
      <c r="X680" s="18"/>
      <c r="Y680" s="18"/>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c r="BC680" s="18"/>
      <c r="BD680" s="18"/>
      <c r="BE680" s="18"/>
      <c r="BF680" s="18"/>
      <c r="BG680" s="18"/>
      <c r="BH680" s="18"/>
      <c r="BI680" s="18"/>
      <c r="BJ680" s="18"/>
      <c r="BK680" s="18"/>
      <c r="BL680" s="18"/>
      <c r="BM680" s="18"/>
      <c r="BN680" s="18"/>
      <c r="BO680" s="18"/>
      <c r="BP680" s="18"/>
      <c r="BQ680" s="18"/>
      <c r="BR680" s="18"/>
      <c r="BS680" s="18"/>
      <c r="BT680" s="18"/>
      <c r="BU680" s="18"/>
      <c r="BV680" s="18"/>
      <c r="BW680" s="18"/>
      <c r="BX680" s="18"/>
      <c r="BY680" s="18"/>
      <c r="BZ680" s="18"/>
      <c r="CA680" s="18"/>
      <c r="CB680" s="18"/>
      <c r="CC680" s="18"/>
      <c r="CD680" s="18"/>
      <c r="CE680" s="18"/>
      <c r="CF680" s="18"/>
      <c r="CG680" s="18"/>
      <c r="CH680" s="18"/>
      <c r="CI680" s="18"/>
      <c r="CJ680" s="18"/>
      <c r="CK680" s="18"/>
      <c r="CL680" s="18"/>
      <c r="CM680" s="18"/>
      <c r="CN680" s="18"/>
      <c r="CO680" s="18"/>
      <c r="CP680" s="18"/>
      <c r="CQ680" s="18"/>
      <c r="CR680" s="18"/>
      <c r="CS680" s="18"/>
      <c r="CT680" s="18"/>
      <c r="CU680" s="18"/>
    </row>
    <row r="681" spans="1:99">
      <c r="A681" s="19"/>
      <c r="B681" s="19"/>
      <c r="C681" s="19"/>
      <c r="D681" s="19"/>
      <c r="E681" s="19"/>
      <c r="F681" s="19"/>
      <c r="G681" s="19"/>
      <c r="H681" s="19"/>
      <c r="I681" s="19"/>
      <c r="J681" s="19"/>
      <c r="K681" s="18"/>
      <c r="L681" s="18"/>
      <c r="M681" s="18"/>
      <c r="N681" s="18"/>
      <c r="O681" s="18"/>
      <c r="P681" s="18"/>
      <c r="Q681" s="18"/>
      <c r="R681" s="18"/>
      <c r="S681" s="18"/>
      <c r="T681" s="18"/>
      <c r="U681" s="18"/>
      <c r="V681" s="18"/>
      <c r="W681" s="18"/>
      <c r="X681" s="18"/>
      <c r="Y681" s="18"/>
      <c r="Z681" s="18"/>
      <c r="AA681" s="18"/>
      <c r="AB681" s="18"/>
      <c r="AC681" s="18"/>
      <c r="AD681" s="18"/>
      <c r="AE681" s="18"/>
      <c r="AF681" s="18"/>
      <c r="AG681" s="18"/>
      <c r="AH681" s="18"/>
      <c r="AI681" s="18"/>
      <c r="AJ681" s="18"/>
      <c r="AK681" s="18"/>
      <c r="AL681" s="18"/>
      <c r="AM681" s="18"/>
      <c r="AN681" s="18"/>
      <c r="AO681" s="18"/>
      <c r="AP681" s="18"/>
      <c r="AQ681" s="18"/>
      <c r="AR681" s="18"/>
      <c r="AS681" s="18"/>
      <c r="AT681" s="18"/>
      <c r="AU681" s="18"/>
      <c r="AV681" s="18"/>
      <c r="AW681" s="18"/>
      <c r="AX681" s="18"/>
      <c r="AY681" s="18"/>
      <c r="AZ681" s="18"/>
      <c r="BA681" s="18"/>
      <c r="BB681" s="18"/>
      <c r="BC681" s="18"/>
      <c r="BD681" s="18"/>
      <c r="BE681" s="18"/>
      <c r="BF681" s="18"/>
      <c r="BG681" s="18"/>
      <c r="BH681" s="18"/>
      <c r="BI681" s="18"/>
      <c r="BJ681" s="18"/>
      <c r="BK681" s="18"/>
      <c r="BL681" s="18"/>
      <c r="BM681" s="18"/>
      <c r="BN681" s="18"/>
      <c r="BO681" s="18"/>
      <c r="BP681" s="18"/>
      <c r="BQ681" s="18"/>
      <c r="BR681" s="18"/>
      <c r="BS681" s="18"/>
      <c r="BT681" s="18"/>
      <c r="BU681" s="18"/>
      <c r="BV681" s="18"/>
      <c r="BW681" s="18"/>
      <c r="BX681" s="18"/>
      <c r="BY681" s="18"/>
      <c r="BZ681" s="18"/>
      <c r="CA681" s="18"/>
      <c r="CB681" s="18"/>
      <c r="CC681" s="18"/>
      <c r="CD681" s="18"/>
      <c r="CE681" s="18"/>
      <c r="CF681" s="18"/>
      <c r="CG681" s="18"/>
      <c r="CH681" s="18"/>
      <c r="CI681" s="18"/>
      <c r="CJ681" s="18"/>
      <c r="CK681" s="18"/>
      <c r="CL681" s="18"/>
      <c r="CM681" s="18"/>
      <c r="CN681" s="18"/>
      <c r="CO681" s="18"/>
      <c r="CP681" s="18"/>
      <c r="CQ681" s="18"/>
      <c r="CR681" s="18"/>
      <c r="CS681" s="18"/>
      <c r="CT681" s="18"/>
      <c r="CU681" s="18"/>
    </row>
    <row r="682" spans="1:99">
      <c r="A682" s="19"/>
      <c r="B682" s="19"/>
      <c r="C682" s="19"/>
      <c r="D682" s="19"/>
      <c r="E682" s="19"/>
      <c r="F682" s="19"/>
      <c r="G682" s="19"/>
      <c r="H682" s="19"/>
      <c r="I682" s="19"/>
      <c r="J682" s="19"/>
      <c r="K682" s="18"/>
      <c r="L682" s="18"/>
      <c r="M682" s="18"/>
      <c r="N682" s="18"/>
      <c r="O682" s="18"/>
      <c r="P682" s="18"/>
      <c r="Q682" s="18"/>
      <c r="R682" s="18"/>
      <c r="S682" s="18"/>
      <c r="T682" s="18"/>
      <c r="U682" s="18"/>
      <c r="V682" s="18"/>
      <c r="W682" s="18"/>
      <c r="X682" s="18"/>
      <c r="Y682" s="18"/>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c r="BC682" s="18"/>
      <c r="BD682" s="18"/>
      <c r="BE682" s="18"/>
      <c r="BF682" s="18"/>
      <c r="BG682" s="18"/>
      <c r="BH682" s="18"/>
      <c r="BI682" s="18"/>
      <c r="BJ682" s="18"/>
      <c r="BK682" s="18"/>
      <c r="BL682" s="18"/>
      <c r="BM682" s="18"/>
      <c r="BN682" s="18"/>
      <c r="BO682" s="18"/>
      <c r="BP682" s="18"/>
      <c r="BQ682" s="18"/>
      <c r="BR682" s="18"/>
      <c r="BS682" s="18"/>
      <c r="BT682" s="18"/>
      <c r="BU682" s="18"/>
      <c r="BV682" s="18"/>
      <c r="BW682" s="18"/>
      <c r="BX682" s="18"/>
      <c r="BY682" s="18"/>
      <c r="BZ682" s="18"/>
      <c r="CA682" s="18"/>
      <c r="CB682" s="18"/>
      <c r="CC682" s="18"/>
      <c r="CD682" s="18"/>
      <c r="CE682" s="18"/>
      <c r="CF682" s="18"/>
      <c r="CG682" s="18"/>
      <c r="CH682" s="18"/>
      <c r="CI682" s="18"/>
      <c r="CJ682" s="18"/>
      <c r="CK682" s="18"/>
      <c r="CL682" s="18"/>
      <c r="CM682" s="18"/>
      <c r="CN682" s="18"/>
      <c r="CO682" s="18"/>
      <c r="CP682" s="18"/>
      <c r="CQ682" s="18"/>
      <c r="CR682" s="18"/>
      <c r="CS682" s="18"/>
      <c r="CT682" s="18"/>
      <c r="CU682" s="18"/>
    </row>
    <row r="683" spans="1:99">
      <c r="A683" s="19"/>
      <c r="B683" s="19"/>
      <c r="C683" s="19"/>
      <c r="D683" s="19"/>
      <c r="E683" s="19"/>
      <c r="F683" s="19"/>
      <c r="G683" s="19"/>
      <c r="H683" s="19"/>
      <c r="I683" s="19"/>
      <c r="J683" s="19"/>
      <c r="K683" s="18"/>
      <c r="L683" s="18"/>
      <c r="M683" s="18"/>
      <c r="N683" s="18"/>
      <c r="O683" s="18"/>
      <c r="P683" s="18"/>
      <c r="Q683" s="18"/>
      <c r="R683" s="18"/>
      <c r="S683" s="18"/>
      <c r="T683" s="18"/>
      <c r="U683" s="18"/>
      <c r="V683" s="18"/>
      <c r="W683" s="18"/>
      <c r="X683" s="18"/>
      <c r="Y683" s="18"/>
      <c r="Z683" s="18"/>
      <c r="AA683" s="18"/>
      <c r="AB683" s="18"/>
      <c r="AC683" s="18"/>
      <c r="AD683" s="18"/>
      <c r="AE683" s="18"/>
      <c r="AF683" s="18"/>
      <c r="AG683" s="18"/>
      <c r="AH683" s="18"/>
      <c r="AI683" s="18"/>
      <c r="AJ683" s="18"/>
      <c r="AK683" s="18"/>
      <c r="AL683" s="18"/>
      <c r="AM683" s="18"/>
      <c r="AN683" s="18"/>
      <c r="AO683" s="18"/>
      <c r="AP683" s="18"/>
      <c r="AQ683" s="18"/>
      <c r="AR683" s="18"/>
      <c r="AS683" s="18"/>
      <c r="AT683" s="18"/>
      <c r="AU683" s="18"/>
      <c r="AV683" s="18"/>
      <c r="AW683" s="18"/>
      <c r="AX683" s="18"/>
      <c r="AY683" s="18"/>
      <c r="AZ683" s="18"/>
      <c r="BA683" s="18"/>
      <c r="BB683" s="18"/>
      <c r="BC683" s="18"/>
      <c r="BD683" s="18"/>
      <c r="BE683" s="18"/>
      <c r="BF683" s="18"/>
      <c r="BG683" s="18"/>
      <c r="BH683" s="18"/>
      <c r="BI683" s="18"/>
      <c r="BJ683" s="18"/>
      <c r="BK683" s="18"/>
      <c r="BL683" s="18"/>
      <c r="BM683" s="18"/>
      <c r="BN683" s="18"/>
      <c r="BO683" s="18"/>
      <c r="BP683" s="18"/>
      <c r="BQ683" s="18"/>
      <c r="BR683" s="18"/>
      <c r="BS683" s="18"/>
      <c r="BT683" s="18"/>
      <c r="BU683" s="18"/>
      <c r="BV683" s="18"/>
      <c r="BW683" s="18"/>
      <c r="BX683" s="18"/>
      <c r="BY683" s="18"/>
      <c r="BZ683" s="18"/>
      <c r="CA683" s="18"/>
      <c r="CB683" s="18"/>
      <c r="CC683" s="18"/>
      <c r="CD683" s="18"/>
      <c r="CE683" s="18"/>
      <c r="CF683" s="18"/>
      <c r="CG683" s="18"/>
      <c r="CH683" s="18"/>
      <c r="CI683" s="18"/>
      <c r="CJ683" s="18"/>
      <c r="CK683" s="18"/>
      <c r="CL683" s="18"/>
      <c r="CM683" s="18"/>
      <c r="CN683" s="18"/>
      <c r="CO683" s="18"/>
      <c r="CP683" s="18"/>
      <c r="CQ683" s="18"/>
      <c r="CR683" s="18"/>
      <c r="CS683" s="18"/>
      <c r="CT683" s="18"/>
      <c r="CU683" s="18"/>
    </row>
    <row r="684" spans="1:99">
      <c r="A684" s="19"/>
      <c r="B684" s="19"/>
      <c r="C684" s="19"/>
      <c r="D684" s="19"/>
      <c r="E684" s="19"/>
      <c r="F684" s="19"/>
      <c r="G684" s="19"/>
      <c r="H684" s="19"/>
      <c r="I684" s="19"/>
      <c r="J684" s="19"/>
      <c r="K684" s="18"/>
      <c r="L684" s="18"/>
      <c r="M684" s="18"/>
      <c r="N684" s="18"/>
      <c r="O684" s="18"/>
      <c r="P684" s="18"/>
      <c r="Q684" s="18"/>
      <c r="R684" s="18"/>
      <c r="S684" s="18"/>
      <c r="T684" s="18"/>
      <c r="U684" s="18"/>
      <c r="V684" s="18"/>
      <c r="W684" s="18"/>
      <c r="X684" s="18"/>
      <c r="Y684" s="18"/>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c r="BC684" s="18"/>
      <c r="BD684" s="18"/>
      <c r="BE684" s="18"/>
      <c r="BF684" s="18"/>
      <c r="BG684" s="18"/>
      <c r="BH684" s="18"/>
      <c r="BI684" s="18"/>
      <c r="BJ684" s="18"/>
      <c r="BK684" s="18"/>
      <c r="BL684" s="18"/>
      <c r="BM684" s="18"/>
      <c r="BN684" s="18"/>
      <c r="BO684" s="18"/>
      <c r="BP684" s="18"/>
      <c r="BQ684" s="18"/>
      <c r="BR684" s="18"/>
      <c r="BS684" s="18"/>
      <c r="BT684" s="18"/>
      <c r="BU684" s="18"/>
      <c r="BV684" s="18"/>
      <c r="BW684" s="18"/>
      <c r="BX684" s="18"/>
      <c r="BY684" s="18"/>
      <c r="BZ684" s="18"/>
      <c r="CA684" s="18"/>
      <c r="CB684" s="18"/>
      <c r="CC684" s="18"/>
      <c r="CD684" s="18"/>
      <c r="CE684" s="18"/>
      <c r="CF684" s="18"/>
      <c r="CG684" s="18"/>
      <c r="CH684" s="18"/>
      <c r="CI684" s="18"/>
      <c r="CJ684" s="18"/>
      <c r="CK684" s="18"/>
      <c r="CL684" s="18"/>
      <c r="CM684" s="18"/>
      <c r="CN684" s="18"/>
      <c r="CO684" s="18"/>
      <c r="CP684" s="18"/>
      <c r="CQ684" s="18"/>
      <c r="CR684" s="18"/>
      <c r="CS684" s="18"/>
      <c r="CT684" s="18"/>
      <c r="CU684" s="18"/>
    </row>
    <row r="685" spans="1:99">
      <c r="A685" s="19"/>
      <c r="B685" s="19"/>
      <c r="C685" s="19"/>
      <c r="D685" s="19"/>
      <c r="E685" s="19"/>
      <c r="F685" s="19"/>
      <c r="G685" s="19"/>
      <c r="H685" s="19"/>
      <c r="I685" s="19"/>
      <c r="J685" s="19"/>
      <c r="K685" s="18"/>
      <c r="L685" s="18"/>
      <c r="M685" s="18"/>
      <c r="N685" s="18"/>
      <c r="O685" s="18"/>
      <c r="P685" s="18"/>
      <c r="Q685" s="18"/>
      <c r="R685" s="18"/>
      <c r="S685" s="18"/>
      <c r="T685" s="18"/>
      <c r="U685" s="18"/>
      <c r="V685" s="18"/>
      <c r="W685" s="18"/>
      <c r="X685" s="18"/>
      <c r="Y685" s="18"/>
      <c r="Z685" s="18"/>
      <c r="AA685" s="18"/>
      <c r="AB685" s="18"/>
      <c r="AC685" s="18"/>
      <c r="AD685" s="18"/>
      <c r="AE685" s="18"/>
      <c r="AF685" s="18"/>
      <c r="AG685" s="18"/>
      <c r="AH685" s="18"/>
      <c r="AI685" s="18"/>
      <c r="AJ685" s="18"/>
      <c r="AK685" s="18"/>
      <c r="AL685" s="18"/>
      <c r="AM685" s="18"/>
      <c r="AN685" s="18"/>
      <c r="AO685" s="18"/>
      <c r="AP685" s="18"/>
      <c r="AQ685" s="18"/>
      <c r="AR685" s="18"/>
      <c r="AS685" s="18"/>
      <c r="AT685" s="18"/>
      <c r="AU685" s="18"/>
      <c r="AV685" s="18"/>
      <c r="AW685" s="18"/>
      <c r="AX685" s="18"/>
      <c r="AY685" s="18"/>
      <c r="AZ685" s="18"/>
      <c r="BA685" s="18"/>
      <c r="BB685" s="18"/>
      <c r="BC685" s="18"/>
      <c r="BD685" s="18"/>
      <c r="BE685" s="18"/>
      <c r="BF685" s="18"/>
      <c r="BG685" s="18"/>
      <c r="BH685" s="18"/>
      <c r="BI685" s="18"/>
      <c r="BJ685" s="18"/>
      <c r="BK685" s="18"/>
      <c r="BL685" s="18"/>
      <c r="BM685" s="18"/>
      <c r="BN685" s="18"/>
      <c r="BO685" s="18"/>
      <c r="BP685" s="18"/>
      <c r="BQ685" s="18"/>
      <c r="BR685" s="18"/>
      <c r="BS685" s="18"/>
      <c r="BT685" s="18"/>
      <c r="BU685" s="18"/>
      <c r="BV685" s="18"/>
      <c r="BW685" s="18"/>
      <c r="BX685" s="18"/>
      <c r="BY685" s="18"/>
      <c r="BZ685" s="18"/>
      <c r="CA685" s="18"/>
      <c r="CB685" s="18"/>
      <c r="CC685" s="18"/>
      <c r="CD685" s="18"/>
      <c r="CE685" s="18"/>
      <c r="CF685" s="18"/>
      <c r="CG685" s="18"/>
      <c r="CH685" s="18"/>
      <c r="CI685" s="18"/>
      <c r="CJ685" s="18"/>
      <c r="CK685" s="18"/>
      <c r="CL685" s="18"/>
      <c r="CM685" s="18"/>
      <c r="CN685" s="18"/>
      <c r="CO685" s="18"/>
      <c r="CP685" s="18"/>
      <c r="CQ685" s="18"/>
      <c r="CR685" s="18"/>
      <c r="CS685" s="18"/>
      <c r="CT685" s="18"/>
      <c r="CU685" s="18"/>
    </row>
    <row r="686" spans="1:99">
      <c r="A686" s="19"/>
      <c r="B686" s="19"/>
      <c r="C686" s="19"/>
      <c r="D686" s="19"/>
      <c r="E686" s="19"/>
      <c r="F686" s="19"/>
      <c r="G686" s="19"/>
      <c r="H686" s="19"/>
      <c r="I686" s="19"/>
      <c r="J686" s="19"/>
      <c r="K686" s="18"/>
      <c r="L686" s="18"/>
      <c r="M686" s="18"/>
      <c r="N686" s="18"/>
      <c r="O686" s="18"/>
      <c r="P686" s="18"/>
      <c r="Q686" s="18"/>
      <c r="R686" s="18"/>
      <c r="S686" s="18"/>
      <c r="T686" s="18"/>
      <c r="U686" s="18"/>
      <c r="V686" s="18"/>
      <c r="W686" s="18"/>
      <c r="X686" s="18"/>
      <c r="Y686" s="18"/>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c r="BC686" s="18"/>
      <c r="BD686" s="18"/>
      <c r="BE686" s="18"/>
      <c r="BF686" s="18"/>
      <c r="BG686" s="18"/>
      <c r="BH686" s="18"/>
      <c r="BI686" s="18"/>
      <c r="BJ686" s="18"/>
      <c r="BK686" s="18"/>
      <c r="BL686" s="18"/>
      <c r="BM686" s="18"/>
      <c r="BN686" s="18"/>
      <c r="BO686" s="18"/>
      <c r="BP686" s="18"/>
      <c r="BQ686" s="18"/>
      <c r="BR686" s="18"/>
      <c r="BS686" s="18"/>
      <c r="BT686" s="18"/>
      <c r="BU686" s="18"/>
      <c r="BV686" s="18"/>
      <c r="BW686" s="18"/>
      <c r="BX686" s="18"/>
      <c r="BY686" s="18"/>
      <c r="BZ686" s="18"/>
      <c r="CA686" s="18"/>
      <c r="CB686" s="18"/>
      <c r="CC686" s="18"/>
      <c r="CD686" s="18"/>
      <c r="CE686" s="18"/>
      <c r="CF686" s="18"/>
      <c r="CG686" s="18"/>
      <c r="CH686" s="18"/>
      <c r="CI686" s="18"/>
      <c r="CJ686" s="18"/>
      <c r="CK686" s="18"/>
      <c r="CL686" s="18"/>
      <c r="CM686" s="18"/>
      <c r="CN686" s="18"/>
      <c r="CO686" s="18"/>
      <c r="CP686" s="18"/>
      <c r="CQ686" s="18"/>
      <c r="CR686" s="18"/>
      <c r="CS686" s="18"/>
      <c r="CT686" s="18"/>
      <c r="CU686" s="18"/>
    </row>
    <row r="687" spans="1:99">
      <c r="A687" s="19"/>
      <c r="B687" s="19"/>
      <c r="C687" s="19"/>
      <c r="D687" s="19"/>
      <c r="E687" s="19"/>
      <c r="F687" s="19"/>
      <c r="G687" s="19"/>
      <c r="H687" s="19"/>
      <c r="I687" s="19"/>
      <c r="J687" s="19"/>
      <c r="K687" s="18"/>
      <c r="L687" s="18"/>
      <c r="M687" s="18"/>
      <c r="N687" s="18"/>
      <c r="O687" s="18"/>
      <c r="P687" s="18"/>
      <c r="Q687" s="18"/>
      <c r="R687" s="18"/>
      <c r="S687" s="18"/>
      <c r="T687" s="18"/>
      <c r="U687" s="18"/>
      <c r="V687" s="18"/>
      <c r="W687" s="18"/>
      <c r="X687" s="18"/>
      <c r="Y687" s="18"/>
      <c r="Z687" s="18"/>
      <c r="AA687" s="18"/>
      <c r="AB687" s="18"/>
      <c r="AC687" s="18"/>
      <c r="AD687" s="18"/>
      <c r="AE687" s="18"/>
      <c r="AF687" s="18"/>
      <c r="AG687" s="18"/>
      <c r="AH687" s="18"/>
      <c r="AI687" s="18"/>
      <c r="AJ687" s="18"/>
      <c r="AK687" s="18"/>
      <c r="AL687" s="18"/>
      <c r="AM687" s="18"/>
      <c r="AN687" s="18"/>
      <c r="AO687" s="18"/>
      <c r="AP687" s="18"/>
      <c r="AQ687" s="18"/>
      <c r="AR687" s="18"/>
      <c r="AS687" s="18"/>
      <c r="AT687" s="18"/>
      <c r="AU687" s="18"/>
      <c r="AV687" s="18"/>
      <c r="AW687" s="18"/>
      <c r="AX687" s="18"/>
      <c r="AY687" s="18"/>
      <c r="AZ687" s="18"/>
      <c r="BA687" s="18"/>
      <c r="BB687" s="18"/>
      <c r="BC687" s="18"/>
      <c r="BD687" s="18"/>
      <c r="BE687" s="18"/>
      <c r="BF687" s="18"/>
      <c r="BG687" s="18"/>
      <c r="BH687" s="18"/>
      <c r="BI687" s="18"/>
      <c r="BJ687" s="18"/>
      <c r="BK687" s="18"/>
      <c r="BL687" s="18"/>
      <c r="BM687" s="18"/>
      <c r="BN687" s="18"/>
      <c r="BO687" s="18"/>
      <c r="BP687" s="18"/>
      <c r="BQ687" s="18"/>
      <c r="BR687" s="18"/>
      <c r="BS687" s="18"/>
      <c r="BT687" s="18"/>
      <c r="BU687" s="18"/>
      <c r="BV687" s="18"/>
      <c r="BW687" s="18"/>
      <c r="BX687" s="18"/>
      <c r="BY687" s="18"/>
      <c r="BZ687" s="18"/>
      <c r="CA687" s="18"/>
      <c r="CB687" s="18"/>
      <c r="CC687" s="18"/>
      <c r="CD687" s="18"/>
      <c r="CE687" s="18"/>
      <c r="CF687" s="18"/>
      <c r="CG687" s="18"/>
      <c r="CH687" s="18"/>
      <c r="CI687" s="18"/>
      <c r="CJ687" s="18"/>
      <c r="CK687" s="18"/>
      <c r="CL687" s="18"/>
      <c r="CM687" s="18"/>
      <c r="CN687" s="18"/>
      <c r="CO687" s="18"/>
      <c r="CP687" s="18"/>
      <c r="CQ687" s="18"/>
      <c r="CR687" s="18"/>
      <c r="CS687" s="18"/>
      <c r="CT687" s="18"/>
      <c r="CU687" s="18"/>
    </row>
    <row r="688" spans="1:99">
      <c r="A688" s="19"/>
      <c r="B688" s="19"/>
      <c r="C688" s="19"/>
      <c r="D688" s="19"/>
      <c r="E688" s="19"/>
      <c r="F688" s="19"/>
      <c r="G688" s="19"/>
      <c r="H688" s="19"/>
      <c r="I688" s="19"/>
      <c r="J688" s="19"/>
      <c r="K688" s="18"/>
      <c r="L688" s="18"/>
      <c r="M688" s="18"/>
      <c r="N688" s="18"/>
      <c r="O688" s="18"/>
      <c r="P688" s="18"/>
      <c r="Q688" s="18"/>
      <c r="R688" s="18"/>
      <c r="S688" s="18"/>
      <c r="T688" s="18"/>
      <c r="U688" s="18"/>
      <c r="V688" s="18"/>
      <c r="W688" s="18"/>
      <c r="X688" s="18"/>
      <c r="Y688" s="18"/>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c r="BC688" s="18"/>
      <c r="BD688" s="18"/>
      <c r="BE688" s="18"/>
      <c r="BF688" s="18"/>
      <c r="BG688" s="18"/>
      <c r="BH688" s="18"/>
      <c r="BI688" s="18"/>
      <c r="BJ688" s="18"/>
      <c r="BK688" s="18"/>
      <c r="BL688" s="18"/>
      <c r="BM688" s="18"/>
      <c r="BN688" s="18"/>
      <c r="BO688" s="18"/>
      <c r="BP688" s="18"/>
      <c r="BQ688" s="18"/>
      <c r="BR688" s="18"/>
      <c r="BS688" s="18"/>
      <c r="BT688" s="18"/>
      <c r="BU688" s="18"/>
      <c r="BV688" s="18"/>
      <c r="BW688" s="18"/>
      <c r="BX688" s="18"/>
      <c r="BY688" s="18"/>
      <c r="BZ688" s="18"/>
      <c r="CA688" s="18"/>
      <c r="CB688" s="18"/>
      <c r="CC688" s="18"/>
      <c r="CD688" s="18"/>
      <c r="CE688" s="18"/>
      <c r="CF688" s="18"/>
      <c r="CG688" s="18"/>
      <c r="CH688" s="18"/>
      <c r="CI688" s="18"/>
      <c r="CJ688" s="18"/>
      <c r="CK688" s="18"/>
      <c r="CL688" s="18"/>
      <c r="CM688" s="18"/>
      <c r="CN688" s="18"/>
      <c r="CO688" s="18"/>
      <c r="CP688" s="18"/>
      <c r="CQ688" s="18"/>
      <c r="CR688" s="18"/>
      <c r="CS688" s="18"/>
      <c r="CT688" s="18"/>
      <c r="CU688" s="18"/>
    </row>
    <row r="689" spans="1:99">
      <c r="A689" s="19"/>
      <c r="B689" s="19"/>
      <c r="C689" s="19"/>
      <c r="D689" s="19"/>
      <c r="E689" s="19"/>
      <c r="F689" s="19"/>
      <c r="G689" s="19"/>
      <c r="H689" s="19"/>
      <c r="I689" s="19"/>
      <c r="J689" s="19"/>
      <c r="K689" s="18"/>
      <c r="L689" s="18"/>
      <c r="M689" s="18"/>
      <c r="N689" s="18"/>
      <c r="O689" s="18"/>
      <c r="P689" s="18"/>
      <c r="Q689" s="18"/>
      <c r="R689" s="18"/>
      <c r="S689" s="18"/>
      <c r="T689" s="18"/>
      <c r="U689" s="18"/>
      <c r="V689" s="18"/>
      <c r="W689" s="18"/>
      <c r="X689" s="18"/>
      <c r="Y689" s="18"/>
      <c r="Z689" s="18"/>
      <c r="AA689" s="18"/>
      <c r="AB689" s="18"/>
      <c r="AC689" s="18"/>
      <c r="AD689" s="18"/>
      <c r="AE689" s="18"/>
      <c r="AF689" s="18"/>
      <c r="AG689" s="18"/>
      <c r="AH689" s="18"/>
      <c r="AI689" s="18"/>
      <c r="AJ689" s="18"/>
      <c r="AK689" s="18"/>
      <c r="AL689" s="18"/>
      <c r="AM689" s="18"/>
      <c r="AN689" s="18"/>
      <c r="AO689" s="18"/>
      <c r="AP689" s="18"/>
      <c r="AQ689" s="18"/>
      <c r="AR689" s="18"/>
      <c r="AS689" s="18"/>
      <c r="AT689" s="18"/>
      <c r="AU689" s="18"/>
      <c r="AV689" s="18"/>
      <c r="AW689" s="18"/>
      <c r="AX689" s="18"/>
      <c r="AY689" s="18"/>
      <c r="AZ689" s="18"/>
      <c r="BA689" s="18"/>
      <c r="BB689" s="18"/>
      <c r="BC689" s="18"/>
      <c r="BD689" s="18"/>
      <c r="BE689" s="18"/>
      <c r="BF689" s="18"/>
      <c r="BG689" s="18"/>
      <c r="BH689" s="18"/>
      <c r="BI689" s="18"/>
      <c r="BJ689" s="18"/>
      <c r="BK689" s="18"/>
      <c r="BL689" s="18"/>
      <c r="BM689" s="18"/>
      <c r="BN689" s="18"/>
      <c r="BO689" s="18"/>
      <c r="BP689" s="18"/>
      <c r="BQ689" s="18"/>
      <c r="BR689" s="18"/>
      <c r="BS689" s="18"/>
      <c r="BT689" s="18"/>
      <c r="BU689" s="18"/>
      <c r="BV689" s="18"/>
      <c r="BW689" s="18"/>
      <c r="BX689" s="18"/>
      <c r="BY689" s="18"/>
      <c r="BZ689" s="18"/>
      <c r="CA689" s="18"/>
      <c r="CB689" s="18"/>
      <c r="CC689" s="18"/>
      <c r="CD689" s="18"/>
      <c r="CE689" s="18"/>
      <c r="CF689" s="18"/>
      <c r="CG689" s="18"/>
      <c r="CH689" s="18"/>
      <c r="CI689" s="18"/>
      <c r="CJ689" s="18"/>
      <c r="CK689" s="18"/>
      <c r="CL689" s="18"/>
      <c r="CM689" s="18"/>
      <c r="CN689" s="18"/>
      <c r="CO689" s="18"/>
      <c r="CP689" s="18"/>
      <c r="CQ689" s="18"/>
      <c r="CR689" s="18"/>
      <c r="CS689" s="18"/>
      <c r="CT689" s="18"/>
      <c r="CU689" s="18"/>
    </row>
    <row r="690" spans="1:99">
      <c r="A690" s="19"/>
      <c r="B690" s="19"/>
      <c r="C690" s="19"/>
      <c r="D690" s="19"/>
      <c r="E690" s="19"/>
      <c r="F690" s="19"/>
      <c r="G690" s="19"/>
      <c r="H690" s="19"/>
      <c r="I690" s="19"/>
      <c r="J690" s="19"/>
      <c r="K690" s="18"/>
      <c r="L690" s="18"/>
      <c r="M690" s="18"/>
      <c r="N690" s="18"/>
      <c r="O690" s="18"/>
      <c r="P690" s="18"/>
      <c r="Q690" s="18"/>
      <c r="R690" s="18"/>
      <c r="S690" s="18"/>
      <c r="T690" s="18"/>
      <c r="U690" s="18"/>
      <c r="V690" s="18"/>
      <c r="W690" s="18"/>
      <c r="X690" s="18"/>
      <c r="Y690" s="18"/>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c r="BC690" s="18"/>
      <c r="BD690" s="18"/>
      <c r="BE690" s="18"/>
      <c r="BF690" s="18"/>
      <c r="BG690" s="18"/>
      <c r="BH690" s="18"/>
      <c r="BI690" s="18"/>
      <c r="BJ690" s="18"/>
      <c r="BK690" s="18"/>
      <c r="BL690" s="18"/>
      <c r="BM690" s="18"/>
      <c r="BN690" s="18"/>
      <c r="BO690" s="18"/>
      <c r="BP690" s="18"/>
      <c r="BQ690" s="18"/>
      <c r="BR690" s="18"/>
      <c r="BS690" s="18"/>
      <c r="BT690" s="18"/>
      <c r="BU690" s="18"/>
      <c r="BV690" s="18"/>
      <c r="BW690" s="18"/>
      <c r="BX690" s="18"/>
      <c r="BY690" s="18"/>
      <c r="BZ690" s="18"/>
      <c r="CA690" s="18"/>
      <c r="CB690" s="18"/>
      <c r="CC690" s="18"/>
      <c r="CD690" s="18"/>
      <c r="CE690" s="18"/>
      <c r="CF690" s="18"/>
      <c r="CG690" s="18"/>
      <c r="CH690" s="18"/>
      <c r="CI690" s="18"/>
      <c r="CJ690" s="18"/>
      <c r="CK690" s="18"/>
      <c r="CL690" s="18"/>
      <c r="CM690" s="18"/>
      <c r="CN690" s="18"/>
      <c r="CO690" s="18"/>
      <c r="CP690" s="18"/>
      <c r="CQ690" s="18"/>
      <c r="CR690" s="18"/>
      <c r="CS690" s="18"/>
      <c r="CT690" s="18"/>
      <c r="CU690" s="18"/>
    </row>
    <row r="691" spans="1:99">
      <c r="A691" s="19"/>
      <c r="B691" s="19"/>
      <c r="C691" s="19"/>
      <c r="D691" s="19"/>
      <c r="E691" s="19"/>
      <c r="F691" s="19"/>
      <c r="G691" s="19"/>
      <c r="H691" s="19"/>
      <c r="I691" s="19"/>
      <c r="J691" s="19"/>
      <c r="K691" s="18"/>
      <c r="L691" s="18"/>
      <c r="M691" s="18"/>
      <c r="N691" s="18"/>
      <c r="O691" s="18"/>
      <c r="P691" s="18"/>
      <c r="Q691" s="18"/>
      <c r="R691" s="18"/>
      <c r="S691" s="18"/>
      <c r="T691" s="18"/>
      <c r="U691" s="18"/>
      <c r="V691" s="18"/>
      <c r="W691" s="18"/>
      <c r="X691" s="18"/>
      <c r="Y691" s="18"/>
      <c r="Z691" s="18"/>
      <c r="AA691" s="18"/>
      <c r="AB691" s="18"/>
      <c r="AC691" s="18"/>
      <c r="AD691" s="18"/>
      <c r="AE691" s="18"/>
      <c r="AF691" s="18"/>
      <c r="AG691" s="18"/>
      <c r="AH691" s="18"/>
      <c r="AI691" s="18"/>
      <c r="AJ691" s="18"/>
      <c r="AK691" s="18"/>
      <c r="AL691" s="18"/>
      <c r="AM691" s="18"/>
      <c r="AN691" s="18"/>
      <c r="AO691" s="18"/>
      <c r="AP691" s="18"/>
      <c r="AQ691" s="18"/>
      <c r="AR691" s="18"/>
      <c r="AS691" s="18"/>
      <c r="AT691" s="18"/>
      <c r="AU691" s="18"/>
      <c r="AV691" s="18"/>
      <c r="AW691" s="18"/>
      <c r="AX691" s="18"/>
      <c r="AY691" s="18"/>
      <c r="AZ691" s="18"/>
      <c r="BA691" s="18"/>
      <c r="BB691" s="18"/>
      <c r="BC691" s="18"/>
      <c r="BD691" s="18"/>
      <c r="BE691" s="18"/>
      <c r="BF691" s="18"/>
      <c r="BG691" s="18"/>
      <c r="BH691" s="18"/>
      <c r="BI691" s="18"/>
      <c r="BJ691" s="18"/>
      <c r="BK691" s="18"/>
      <c r="BL691" s="18"/>
      <c r="BM691" s="18"/>
      <c r="BN691" s="18"/>
      <c r="BO691" s="18"/>
      <c r="BP691" s="18"/>
      <c r="BQ691" s="18"/>
      <c r="BR691" s="18"/>
      <c r="BS691" s="18"/>
      <c r="BT691" s="18"/>
      <c r="BU691" s="18"/>
      <c r="BV691" s="18"/>
      <c r="BW691" s="18"/>
      <c r="BX691" s="18"/>
      <c r="BY691" s="18"/>
      <c r="BZ691" s="18"/>
      <c r="CA691" s="18"/>
      <c r="CB691" s="18"/>
      <c r="CC691" s="18"/>
      <c r="CD691" s="18"/>
      <c r="CE691" s="18"/>
      <c r="CF691" s="18"/>
      <c r="CG691" s="18"/>
      <c r="CH691" s="18"/>
      <c r="CI691" s="18"/>
      <c r="CJ691" s="18"/>
      <c r="CK691" s="18"/>
      <c r="CL691" s="18"/>
      <c r="CM691" s="18"/>
      <c r="CN691" s="18"/>
      <c r="CO691" s="18"/>
      <c r="CP691" s="18"/>
      <c r="CQ691" s="18"/>
      <c r="CR691" s="18"/>
      <c r="CS691" s="18"/>
      <c r="CT691" s="18"/>
      <c r="CU691" s="18"/>
    </row>
    <row r="692" spans="1:99">
      <c r="A692" s="19"/>
      <c r="B692" s="19"/>
      <c r="C692" s="19"/>
      <c r="D692" s="19"/>
      <c r="E692" s="19"/>
      <c r="F692" s="19"/>
      <c r="G692" s="19"/>
      <c r="H692" s="19"/>
      <c r="I692" s="19"/>
      <c r="J692" s="19"/>
      <c r="K692" s="18"/>
      <c r="L692" s="18"/>
      <c r="M692" s="18"/>
      <c r="N692" s="18"/>
      <c r="O692" s="18"/>
      <c r="P692" s="18"/>
      <c r="Q692" s="18"/>
      <c r="R692" s="18"/>
      <c r="S692" s="18"/>
      <c r="T692" s="18"/>
      <c r="U692" s="18"/>
      <c r="V692" s="18"/>
      <c r="W692" s="18"/>
      <c r="X692" s="18"/>
      <c r="Y692" s="18"/>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c r="BC692" s="18"/>
      <c r="BD692" s="18"/>
      <c r="BE692" s="18"/>
      <c r="BF692" s="18"/>
      <c r="BG692" s="18"/>
      <c r="BH692" s="18"/>
      <c r="BI692" s="18"/>
      <c r="BJ692" s="18"/>
      <c r="BK692" s="18"/>
      <c r="BL692" s="18"/>
      <c r="BM692" s="18"/>
      <c r="BN692" s="18"/>
      <c r="BO692" s="18"/>
      <c r="BP692" s="18"/>
      <c r="BQ692" s="18"/>
      <c r="BR692" s="18"/>
      <c r="BS692" s="18"/>
      <c r="BT692" s="18"/>
      <c r="BU692" s="18"/>
      <c r="BV692" s="18"/>
      <c r="BW692" s="18"/>
      <c r="BX692" s="18"/>
      <c r="BY692" s="18"/>
      <c r="BZ692" s="18"/>
      <c r="CA692" s="18"/>
      <c r="CB692" s="18"/>
      <c r="CC692" s="18"/>
      <c r="CD692" s="18"/>
      <c r="CE692" s="18"/>
      <c r="CF692" s="18"/>
      <c r="CG692" s="18"/>
      <c r="CH692" s="18"/>
      <c r="CI692" s="18"/>
      <c r="CJ692" s="18"/>
      <c r="CK692" s="18"/>
      <c r="CL692" s="18"/>
      <c r="CM692" s="18"/>
      <c r="CN692" s="18"/>
      <c r="CO692" s="18"/>
      <c r="CP692" s="18"/>
      <c r="CQ692" s="18"/>
      <c r="CR692" s="18"/>
      <c r="CS692" s="18"/>
      <c r="CT692" s="18"/>
      <c r="CU692" s="18"/>
    </row>
    <row r="693" spans="1:99">
      <c r="A693" s="19"/>
      <c r="B693" s="19"/>
      <c r="C693" s="19"/>
      <c r="D693" s="19"/>
      <c r="E693" s="19"/>
      <c r="F693" s="19"/>
      <c r="G693" s="19"/>
      <c r="H693" s="19"/>
      <c r="I693" s="19"/>
      <c r="J693" s="19"/>
      <c r="K693" s="18"/>
      <c r="L693" s="18"/>
      <c r="M693" s="18"/>
      <c r="N693" s="18"/>
      <c r="O693" s="18"/>
      <c r="P693" s="18"/>
      <c r="Q693" s="18"/>
      <c r="R693" s="18"/>
      <c r="S693" s="18"/>
      <c r="T693" s="18"/>
      <c r="U693" s="18"/>
      <c r="V693" s="18"/>
      <c r="W693" s="18"/>
      <c r="X693" s="18"/>
      <c r="Y693" s="18"/>
      <c r="Z693" s="18"/>
      <c r="AA693" s="18"/>
      <c r="AB693" s="18"/>
      <c r="AC693" s="18"/>
      <c r="AD693" s="18"/>
      <c r="AE693" s="18"/>
      <c r="AF693" s="18"/>
      <c r="AG693" s="18"/>
      <c r="AH693" s="18"/>
      <c r="AI693" s="18"/>
      <c r="AJ693" s="18"/>
      <c r="AK693" s="18"/>
      <c r="AL693" s="18"/>
      <c r="AM693" s="18"/>
      <c r="AN693" s="18"/>
      <c r="AO693" s="18"/>
      <c r="AP693" s="18"/>
      <c r="AQ693" s="18"/>
      <c r="AR693" s="18"/>
      <c r="AS693" s="18"/>
      <c r="AT693" s="18"/>
      <c r="AU693" s="18"/>
      <c r="AV693" s="18"/>
      <c r="AW693" s="18"/>
      <c r="AX693" s="18"/>
      <c r="AY693" s="18"/>
      <c r="AZ693" s="18"/>
      <c r="BA693" s="18"/>
      <c r="BB693" s="18"/>
      <c r="BC693" s="18"/>
      <c r="BD693" s="18"/>
      <c r="BE693" s="18"/>
      <c r="BF693" s="18"/>
      <c r="BG693" s="18"/>
      <c r="BH693" s="18"/>
      <c r="BI693" s="18"/>
      <c r="BJ693" s="18"/>
      <c r="BK693" s="18"/>
      <c r="BL693" s="18"/>
      <c r="BM693" s="18"/>
      <c r="BN693" s="18"/>
      <c r="BO693" s="18"/>
      <c r="BP693" s="18"/>
      <c r="BQ693" s="18"/>
      <c r="BR693" s="18"/>
      <c r="BS693" s="18"/>
      <c r="BT693" s="18"/>
      <c r="BU693" s="18"/>
      <c r="BV693" s="18"/>
      <c r="BW693" s="18"/>
      <c r="BX693" s="18"/>
      <c r="BY693" s="18"/>
      <c r="BZ693" s="18"/>
      <c r="CA693" s="18"/>
      <c r="CB693" s="18"/>
      <c r="CC693" s="18"/>
      <c r="CD693" s="18"/>
      <c r="CE693" s="18"/>
      <c r="CF693" s="18"/>
      <c r="CG693" s="18"/>
      <c r="CH693" s="18"/>
      <c r="CI693" s="18"/>
      <c r="CJ693" s="18"/>
      <c r="CK693" s="18"/>
      <c r="CL693" s="18"/>
      <c r="CM693" s="18"/>
      <c r="CN693" s="18"/>
      <c r="CO693" s="18"/>
      <c r="CP693" s="18"/>
      <c r="CQ693" s="18"/>
      <c r="CR693" s="18"/>
      <c r="CS693" s="18"/>
      <c r="CT693" s="18"/>
      <c r="CU693" s="18"/>
    </row>
    <row r="694" spans="1:99">
      <c r="A694" s="19"/>
      <c r="B694" s="19"/>
      <c r="C694" s="19"/>
      <c r="D694" s="19"/>
      <c r="E694" s="19"/>
      <c r="F694" s="19"/>
      <c r="G694" s="19"/>
      <c r="H694" s="19"/>
      <c r="I694" s="19"/>
      <c r="J694" s="19"/>
      <c r="K694" s="18"/>
      <c r="L694" s="18"/>
      <c r="M694" s="18"/>
      <c r="N694" s="18"/>
      <c r="O694" s="18"/>
      <c r="P694" s="18"/>
      <c r="Q694" s="18"/>
      <c r="R694" s="18"/>
      <c r="S694" s="18"/>
      <c r="T694" s="18"/>
      <c r="U694" s="18"/>
      <c r="V694" s="18"/>
      <c r="W694" s="18"/>
      <c r="X694" s="18"/>
      <c r="Y694" s="18"/>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c r="BC694" s="18"/>
      <c r="BD694" s="18"/>
      <c r="BE694" s="18"/>
      <c r="BF694" s="18"/>
      <c r="BG694" s="18"/>
      <c r="BH694" s="18"/>
      <c r="BI694" s="18"/>
      <c r="BJ694" s="18"/>
      <c r="BK694" s="18"/>
      <c r="BL694" s="18"/>
      <c r="BM694" s="18"/>
      <c r="BN694" s="18"/>
      <c r="BO694" s="18"/>
      <c r="BP694" s="18"/>
      <c r="BQ694" s="18"/>
      <c r="BR694" s="18"/>
      <c r="BS694" s="18"/>
      <c r="BT694" s="18"/>
      <c r="BU694" s="18"/>
      <c r="BV694" s="18"/>
      <c r="BW694" s="18"/>
      <c r="BX694" s="18"/>
      <c r="BY694" s="18"/>
      <c r="BZ694" s="18"/>
      <c r="CA694" s="18"/>
      <c r="CB694" s="18"/>
      <c r="CC694" s="18"/>
      <c r="CD694" s="18"/>
      <c r="CE694" s="18"/>
      <c r="CF694" s="18"/>
      <c r="CG694" s="18"/>
      <c r="CH694" s="18"/>
      <c r="CI694" s="18"/>
      <c r="CJ694" s="18"/>
      <c r="CK694" s="18"/>
      <c r="CL694" s="18"/>
      <c r="CM694" s="18"/>
      <c r="CN694" s="18"/>
      <c r="CO694" s="18"/>
      <c r="CP694" s="18"/>
      <c r="CQ694" s="18"/>
      <c r="CR694" s="18"/>
      <c r="CS694" s="18"/>
      <c r="CT694" s="18"/>
      <c r="CU694" s="18"/>
    </row>
    <row r="695" spans="1:99">
      <c r="A695" s="19"/>
      <c r="B695" s="19"/>
      <c r="C695" s="19"/>
      <c r="D695" s="19"/>
      <c r="E695" s="19"/>
      <c r="F695" s="19"/>
      <c r="G695" s="19"/>
      <c r="H695" s="19"/>
      <c r="I695" s="19"/>
      <c r="J695" s="19"/>
      <c r="K695" s="18"/>
      <c r="L695" s="18"/>
      <c r="M695" s="18"/>
      <c r="N695" s="18"/>
      <c r="O695" s="18"/>
      <c r="P695" s="18"/>
      <c r="Q695" s="18"/>
      <c r="R695" s="18"/>
      <c r="S695" s="18"/>
      <c r="T695" s="18"/>
      <c r="U695" s="18"/>
      <c r="V695" s="18"/>
      <c r="W695" s="18"/>
      <c r="X695" s="18"/>
      <c r="Y695" s="18"/>
      <c r="Z695" s="18"/>
      <c r="AA695" s="18"/>
      <c r="AB695" s="18"/>
      <c r="AC695" s="18"/>
      <c r="AD695" s="18"/>
      <c r="AE695" s="18"/>
      <c r="AF695" s="18"/>
      <c r="AG695" s="18"/>
      <c r="AH695" s="18"/>
      <c r="AI695" s="18"/>
      <c r="AJ695" s="18"/>
      <c r="AK695" s="18"/>
      <c r="AL695" s="18"/>
      <c r="AM695" s="18"/>
      <c r="AN695" s="18"/>
      <c r="AO695" s="18"/>
      <c r="AP695" s="18"/>
      <c r="AQ695" s="18"/>
      <c r="AR695" s="18"/>
      <c r="AS695" s="18"/>
      <c r="AT695" s="18"/>
      <c r="AU695" s="18"/>
      <c r="AV695" s="18"/>
      <c r="AW695" s="18"/>
      <c r="AX695" s="18"/>
      <c r="AY695" s="18"/>
      <c r="AZ695" s="18"/>
      <c r="BA695" s="18"/>
      <c r="BB695" s="18"/>
      <c r="BC695" s="18"/>
      <c r="BD695" s="18"/>
      <c r="BE695" s="18"/>
      <c r="BF695" s="18"/>
      <c r="BG695" s="18"/>
      <c r="BH695" s="18"/>
      <c r="BI695" s="18"/>
      <c r="BJ695" s="18"/>
      <c r="BK695" s="18"/>
      <c r="BL695" s="18"/>
      <c r="BM695" s="18"/>
      <c r="BN695" s="18"/>
      <c r="BO695" s="18"/>
      <c r="BP695" s="18"/>
      <c r="BQ695" s="18"/>
      <c r="BR695" s="18"/>
      <c r="BS695" s="18"/>
      <c r="BT695" s="18"/>
      <c r="BU695" s="18"/>
      <c r="BV695" s="18"/>
      <c r="BW695" s="18"/>
      <c r="BX695" s="18"/>
      <c r="BY695" s="18"/>
      <c r="BZ695" s="18"/>
      <c r="CA695" s="18"/>
      <c r="CB695" s="18"/>
      <c r="CC695" s="18"/>
      <c r="CD695" s="18"/>
      <c r="CE695" s="18"/>
      <c r="CF695" s="18"/>
      <c r="CG695" s="18"/>
      <c r="CH695" s="18"/>
      <c r="CI695" s="18"/>
      <c r="CJ695" s="18"/>
      <c r="CK695" s="18"/>
      <c r="CL695" s="18"/>
      <c r="CM695" s="18"/>
      <c r="CN695" s="18"/>
      <c r="CO695" s="18"/>
      <c r="CP695" s="18"/>
      <c r="CQ695" s="18"/>
      <c r="CR695" s="18"/>
      <c r="CS695" s="18"/>
      <c r="CT695" s="18"/>
      <c r="CU695" s="18"/>
    </row>
    <row r="696" spans="1:99">
      <c r="A696" s="19"/>
      <c r="B696" s="19"/>
      <c r="C696" s="19"/>
      <c r="D696" s="19"/>
      <c r="E696" s="19"/>
      <c r="F696" s="19"/>
      <c r="G696" s="19"/>
      <c r="H696" s="19"/>
      <c r="I696" s="19"/>
      <c r="J696" s="19"/>
      <c r="K696" s="18"/>
      <c r="L696" s="18"/>
      <c r="M696" s="18"/>
      <c r="N696" s="18"/>
      <c r="O696" s="18"/>
      <c r="P696" s="18"/>
      <c r="Q696" s="18"/>
      <c r="R696" s="18"/>
      <c r="S696" s="18"/>
      <c r="T696" s="18"/>
      <c r="U696" s="18"/>
      <c r="V696" s="18"/>
      <c r="W696" s="18"/>
      <c r="X696" s="18"/>
      <c r="Y696" s="18"/>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c r="BC696" s="18"/>
      <c r="BD696" s="18"/>
      <c r="BE696" s="18"/>
      <c r="BF696" s="18"/>
      <c r="BG696" s="18"/>
      <c r="BH696" s="18"/>
      <c r="BI696" s="18"/>
      <c r="BJ696" s="18"/>
      <c r="BK696" s="18"/>
      <c r="BL696" s="18"/>
      <c r="BM696" s="18"/>
      <c r="BN696" s="18"/>
      <c r="BO696" s="18"/>
      <c r="BP696" s="18"/>
      <c r="BQ696" s="18"/>
      <c r="BR696" s="18"/>
      <c r="BS696" s="18"/>
      <c r="BT696" s="18"/>
      <c r="BU696" s="18"/>
      <c r="BV696" s="18"/>
      <c r="BW696" s="18"/>
      <c r="BX696" s="18"/>
      <c r="BY696" s="18"/>
      <c r="BZ696" s="18"/>
      <c r="CA696" s="18"/>
      <c r="CB696" s="18"/>
      <c r="CC696" s="18"/>
      <c r="CD696" s="18"/>
      <c r="CE696" s="18"/>
      <c r="CF696" s="18"/>
      <c r="CG696" s="18"/>
      <c r="CH696" s="18"/>
      <c r="CI696" s="18"/>
      <c r="CJ696" s="18"/>
      <c r="CK696" s="18"/>
      <c r="CL696" s="18"/>
      <c r="CM696" s="18"/>
      <c r="CN696" s="18"/>
      <c r="CO696" s="18"/>
      <c r="CP696" s="18"/>
      <c r="CQ696" s="18"/>
      <c r="CR696" s="18"/>
      <c r="CS696" s="18"/>
      <c r="CT696" s="18"/>
      <c r="CU696" s="18"/>
    </row>
    <row r="697" spans="1:99">
      <c r="A697" s="19"/>
      <c r="B697" s="19"/>
      <c r="C697" s="19"/>
      <c r="D697" s="19"/>
      <c r="E697" s="19"/>
      <c r="F697" s="19"/>
      <c r="G697" s="19"/>
      <c r="H697" s="19"/>
      <c r="I697" s="19"/>
      <c r="J697" s="19"/>
      <c r="K697" s="18"/>
      <c r="L697" s="18"/>
      <c r="M697" s="18"/>
      <c r="N697" s="18"/>
      <c r="O697" s="18"/>
      <c r="P697" s="18"/>
      <c r="Q697" s="18"/>
      <c r="R697" s="18"/>
      <c r="S697" s="18"/>
      <c r="T697" s="18"/>
      <c r="U697" s="18"/>
      <c r="V697" s="18"/>
      <c r="W697" s="18"/>
      <c r="X697" s="18"/>
      <c r="Y697" s="18"/>
      <c r="Z697" s="18"/>
      <c r="AA697" s="18"/>
      <c r="AB697" s="18"/>
      <c r="AC697" s="18"/>
      <c r="AD697" s="18"/>
      <c r="AE697" s="18"/>
      <c r="AF697" s="18"/>
      <c r="AG697" s="18"/>
      <c r="AH697" s="18"/>
      <c r="AI697" s="18"/>
      <c r="AJ697" s="18"/>
      <c r="AK697" s="18"/>
      <c r="AL697" s="18"/>
      <c r="AM697" s="18"/>
      <c r="AN697" s="18"/>
      <c r="AO697" s="18"/>
      <c r="AP697" s="18"/>
      <c r="AQ697" s="18"/>
      <c r="AR697" s="18"/>
      <c r="AS697" s="18"/>
      <c r="AT697" s="18"/>
      <c r="AU697" s="18"/>
      <c r="AV697" s="18"/>
      <c r="AW697" s="18"/>
      <c r="AX697" s="18"/>
      <c r="AY697" s="18"/>
      <c r="AZ697" s="18"/>
      <c r="BA697" s="18"/>
      <c r="BB697" s="18"/>
      <c r="BC697" s="18"/>
      <c r="BD697" s="18"/>
      <c r="BE697" s="18"/>
      <c r="BF697" s="18"/>
      <c r="BG697" s="18"/>
      <c r="BH697" s="18"/>
      <c r="BI697" s="18"/>
      <c r="BJ697" s="18"/>
      <c r="BK697" s="18"/>
      <c r="BL697" s="18"/>
      <c r="BM697" s="18"/>
      <c r="BN697" s="18"/>
      <c r="BO697" s="18"/>
      <c r="BP697" s="18"/>
      <c r="BQ697" s="18"/>
      <c r="BR697" s="18"/>
      <c r="BS697" s="18"/>
      <c r="BT697" s="18"/>
      <c r="BU697" s="18"/>
      <c r="BV697" s="18"/>
      <c r="BW697" s="18"/>
      <c r="BX697" s="18"/>
      <c r="BY697" s="18"/>
      <c r="BZ697" s="18"/>
      <c r="CA697" s="18"/>
      <c r="CB697" s="18"/>
      <c r="CC697" s="18"/>
      <c r="CD697" s="18"/>
      <c r="CE697" s="18"/>
      <c r="CF697" s="18"/>
      <c r="CG697" s="18"/>
      <c r="CH697" s="18"/>
      <c r="CI697" s="18"/>
      <c r="CJ697" s="18"/>
      <c r="CK697" s="18"/>
      <c r="CL697" s="18"/>
      <c r="CM697" s="18"/>
      <c r="CN697" s="18"/>
      <c r="CO697" s="18"/>
      <c r="CP697" s="18"/>
      <c r="CQ697" s="18"/>
      <c r="CR697" s="18"/>
      <c r="CS697" s="18"/>
      <c r="CT697" s="18"/>
      <c r="CU697" s="18"/>
    </row>
    <row r="698" spans="1:99">
      <c r="A698" s="19"/>
      <c r="B698" s="19"/>
      <c r="C698" s="19"/>
      <c r="D698" s="19"/>
      <c r="E698" s="19"/>
      <c r="F698" s="19"/>
      <c r="G698" s="19"/>
      <c r="H698" s="19"/>
      <c r="I698" s="19"/>
      <c r="J698" s="19"/>
      <c r="K698" s="18"/>
      <c r="L698" s="18"/>
      <c r="M698" s="18"/>
      <c r="N698" s="18"/>
      <c r="O698" s="18"/>
      <c r="P698" s="18"/>
      <c r="Q698" s="18"/>
      <c r="R698" s="18"/>
      <c r="S698" s="18"/>
      <c r="T698" s="18"/>
      <c r="U698" s="18"/>
      <c r="V698" s="18"/>
      <c r="W698" s="18"/>
      <c r="X698" s="18"/>
      <c r="Y698" s="18"/>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c r="BC698" s="18"/>
      <c r="BD698" s="18"/>
      <c r="BE698" s="18"/>
      <c r="BF698" s="18"/>
      <c r="BG698" s="18"/>
      <c r="BH698" s="18"/>
      <c r="BI698" s="18"/>
      <c r="BJ698" s="18"/>
      <c r="BK698" s="18"/>
      <c r="BL698" s="18"/>
      <c r="BM698" s="18"/>
      <c r="BN698" s="18"/>
      <c r="BO698" s="18"/>
      <c r="BP698" s="18"/>
      <c r="BQ698" s="18"/>
      <c r="BR698" s="18"/>
      <c r="BS698" s="18"/>
      <c r="BT698" s="18"/>
      <c r="BU698" s="18"/>
      <c r="BV698" s="18"/>
      <c r="BW698" s="18"/>
      <c r="BX698" s="18"/>
      <c r="BY698" s="18"/>
      <c r="BZ698" s="18"/>
      <c r="CA698" s="18"/>
      <c r="CB698" s="18"/>
      <c r="CC698" s="18"/>
      <c r="CD698" s="18"/>
      <c r="CE698" s="18"/>
      <c r="CF698" s="18"/>
      <c r="CG698" s="18"/>
      <c r="CH698" s="18"/>
      <c r="CI698" s="18"/>
      <c r="CJ698" s="18"/>
      <c r="CK698" s="18"/>
      <c r="CL698" s="18"/>
      <c r="CM698" s="18"/>
      <c r="CN698" s="18"/>
      <c r="CO698" s="18"/>
      <c r="CP698" s="18"/>
      <c r="CQ698" s="18"/>
      <c r="CR698" s="18"/>
      <c r="CS698" s="18"/>
      <c r="CT698" s="18"/>
      <c r="CU698" s="18"/>
    </row>
    <row r="699" spans="1:99">
      <c r="A699" s="19"/>
      <c r="B699" s="19"/>
      <c r="C699" s="19"/>
      <c r="D699" s="19"/>
      <c r="E699" s="19"/>
      <c r="F699" s="19"/>
      <c r="G699" s="19"/>
      <c r="H699" s="19"/>
      <c r="I699" s="19"/>
      <c r="J699" s="19"/>
      <c r="K699" s="18"/>
      <c r="L699" s="18"/>
      <c r="M699" s="18"/>
      <c r="N699" s="18"/>
      <c r="O699" s="18"/>
      <c r="P699" s="18"/>
      <c r="Q699" s="18"/>
      <c r="R699" s="18"/>
      <c r="S699" s="18"/>
      <c r="T699" s="18"/>
      <c r="U699" s="18"/>
      <c r="V699" s="18"/>
      <c r="W699" s="18"/>
      <c r="X699" s="18"/>
      <c r="Y699" s="18"/>
      <c r="Z699" s="18"/>
      <c r="AA699" s="18"/>
      <c r="AB699" s="18"/>
      <c r="AC699" s="18"/>
      <c r="AD699" s="18"/>
      <c r="AE699" s="18"/>
      <c r="AF699" s="18"/>
      <c r="AG699" s="18"/>
      <c r="AH699" s="18"/>
      <c r="AI699" s="18"/>
      <c r="AJ699" s="18"/>
      <c r="AK699" s="18"/>
      <c r="AL699" s="18"/>
      <c r="AM699" s="18"/>
      <c r="AN699" s="18"/>
      <c r="AO699" s="18"/>
      <c r="AP699" s="18"/>
      <c r="AQ699" s="18"/>
      <c r="AR699" s="18"/>
      <c r="AS699" s="18"/>
      <c r="AT699" s="18"/>
      <c r="AU699" s="18"/>
      <c r="AV699" s="18"/>
      <c r="AW699" s="18"/>
      <c r="AX699" s="18"/>
      <c r="AY699" s="18"/>
      <c r="AZ699" s="18"/>
      <c r="BA699" s="18"/>
      <c r="BB699" s="18"/>
      <c r="BC699" s="18"/>
      <c r="BD699" s="18"/>
      <c r="BE699" s="18"/>
      <c r="BF699" s="18"/>
      <c r="BG699" s="18"/>
      <c r="BH699" s="18"/>
      <c r="BI699" s="18"/>
      <c r="BJ699" s="18"/>
      <c r="BK699" s="18"/>
      <c r="BL699" s="18"/>
      <c r="BM699" s="18"/>
      <c r="BN699" s="18"/>
      <c r="BO699" s="18"/>
      <c r="BP699" s="18"/>
      <c r="BQ699" s="18"/>
      <c r="BR699" s="18"/>
      <c r="BS699" s="18"/>
      <c r="BT699" s="18"/>
      <c r="BU699" s="18"/>
      <c r="BV699" s="18"/>
      <c r="BW699" s="18"/>
      <c r="BX699" s="18"/>
      <c r="BY699" s="18"/>
      <c r="BZ699" s="18"/>
      <c r="CA699" s="18"/>
      <c r="CB699" s="18"/>
      <c r="CC699" s="18"/>
      <c r="CD699" s="18"/>
      <c r="CE699" s="18"/>
      <c r="CF699" s="18"/>
      <c r="CG699" s="18"/>
      <c r="CH699" s="18"/>
      <c r="CI699" s="18"/>
      <c r="CJ699" s="18"/>
      <c r="CK699" s="18"/>
      <c r="CL699" s="18"/>
      <c r="CM699" s="18"/>
      <c r="CN699" s="18"/>
      <c r="CO699" s="18"/>
      <c r="CP699" s="18"/>
      <c r="CQ699" s="18"/>
      <c r="CR699" s="18"/>
      <c r="CS699" s="18"/>
      <c r="CT699" s="18"/>
      <c r="CU699" s="18"/>
    </row>
    <row r="700" spans="1:99">
      <c r="A700" s="19"/>
      <c r="B700" s="19"/>
      <c r="C700" s="19"/>
      <c r="D700" s="19"/>
      <c r="E700" s="19"/>
      <c r="F700" s="19"/>
      <c r="G700" s="19"/>
      <c r="H700" s="19"/>
      <c r="I700" s="19"/>
      <c r="J700" s="19"/>
      <c r="K700" s="18"/>
      <c r="L700" s="18"/>
      <c r="M700" s="18"/>
      <c r="N700" s="18"/>
      <c r="O700" s="18"/>
      <c r="P700" s="18"/>
      <c r="Q700" s="18"/>
      <c r="R700" s="18"/>
      <c r="S700" s="18"/>
      <c r="T700" s="18"/>
      <c r="U700" s="18"/>
      <c r="V700" s="18"/>
      <c r="W700" s="18"/>
      <c r="X700" s="18"/>
      <c r="Y700" s="18"/>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c r="BC700" s="18"/>
      <c r="BD700" s="18"/>
      <c r="BE700" s="18"/>
      <c r="BF700" s="18"/>
      <c r="BG700" s="18"/>
      <c r="BH700" s="18"/>
      <c r="BI700" s="18"/>
      <c r="BJ700" s="18"/>
      <c r="BK700" s="18"/>
      <c r="BL700" s="18"/>
      <c r="BM700" s="18"/>
      <c r="BN700" s="18"/>
      <c r="BO700" s="18"/>
      <c r="BP700" s="18"/>
      <c r="BQ700" s="18"/>
      <c r="BR700" s="18"/>
      <c r="BS700" s="18"/>
      <c r="BT700" s="18"/>
      <c r="BU700" s="18"/>
      <c r="BV700" s="18"/>
      <c r="BW700" s="18"/>
      <c r="BX700" s="18"/>
      <c r="BY700" s="18"/>
      <c r="BZ700" s="18"/>
      <c r="CA700" s="18"/>
      <c r="CB700" s="18"/>
      <c r="CC700" s="18"/>
      <c r="CD700" s="18"/>
      <c r="CE700" s="18"/>
      <c r="CF700" s="18"/>
      <c r="CG700" s="18"/>
      <c r="CH700" s="18"/>
      <c r="CI700" s="18"/>
      <c r="CJ700" s="18"/>
      <c r="CK700" s="18"/>
      <c r="CL700" s="18"/>
      <c r="CM700" s="18"/>
      <c r="CN700" s="18"/>
      <c r="CO700" s="18"/>
      <c r="CP700" s="18"/>
      <c r="CQ700" s="18"/>
      <c r="CR700" s="18"/>
      <c r="CS700" s="18"/>
      <c r="CT700" s="18"/>
      <c r="CU700" s="18"/>
    </row>
    <row r="701" spans="1:99">
      <c r="A701" s="19"/>
      <c r="B701" s="19"/>
      <c r="C701" s="19"/>
      <c r="D701" s="19"/>
      <c r="E701" s="19"/>
      <c r="F701" s="19"/>
      <c r="G701" s="19"/>
      <c r="H701" s="19"/>
      <c r="I701" s="19"/>
      <c r="J701" s="19"/>
      <c r="K701" s="18"/>
      <c r="L701" s="18"/>
      <c r="M701" s="18"/>
      <c r="N701" s="18"/>
      <c r="O701" s="18"/>
      <c r="P701" s="18"/>
      <c r="Q701" s="18"/>
      <c r="R701" s="18"/>
      <c r="S701" s="18"/>
      <c r="T701" s="18"/>
      <c r="U701" s="18"/>
      <c r="V701" s="18"/>
      <c r="W701" s="18"/>
      <c r="X701" s="18"/>
      <c r="Y701" s="18"/>
      <c r="Z701" s="18"/>
      <c r="AA701" s="18"/>
      <c r="AB701" s="18"/>
      <c r="AC701" s="18"/>
      <c r="AD701" s="18"/>
      <c r="AE701" s="18"/>
      <c r="AF701" s="18"/>
      <c r="AG701" s="18"/>
      <c r="AH701" s="18"/>
      <c r="AI701" s="18"/>
      <c r="AJ701" s="18"/>
      <c r="AK701" s="18"/>
      <c r="AL701" s="18"/>
      <c r="AM701" s="18"/>
      <c r="AN701" s="18"/>
      <c r="AO701" s="18"/>
      <c r="AP701" s="18"/>
      <c r="AQ701" s="18"/>
      <c r="AR701" s="18"/>
      <c r="AS701" s="18"/>
      <c r="AT701" s="18"/>
      <c r="AU701" s="18"/>
      <c r="AV701" s="18"/>
      <c r="AW701" s="18"/>
      <c r="AX701" s="18"/>
      <c r="AY701" s="18"/>
      <c r="AZ701" s="18"/>
      <c r="BA701" s="18"/>
      <c r="BB701" s="18"/>
      <c r="BC701" s="18"/>
      <c r="BD701" s="18"/>
      <c r="BE701" s="18"/>
      <c r="BF701" s="18"/>
      <c r="BG701" s="18"/>
      <c r="BH701" s="18"/>
      <c r="BI701" s="18"/>
      <c r="BJ701" s="18"/>
      <c r="BK701" s="18"/>
      <c r="BL701" s="18"/>
      <c r="BM701" s="18"/>
      <c r="BN701" s="18"/>
      <c r="BO701" s="18"/>
      <c r="BP701" s="18"/>
      <c r="BQ701" s="18"/>
      <c r="BR701" s="18"/>
      <c r="BS701" s="18"/>
      <c r="BT701" s="18"/>
      <c r="BU701" s="18"/>
      <c r="BV701" s="18"/>
      <c r="BW701" s="18"/>
      <c r="BX701" s="18"/>
      <c r="BY701" s="18"/>
      <c r="BZ701" s="18"/>
      <c r="CA701" s="18"/>
      <c r="CB701" s="18"/>
      <c r="CC701" s="18"/>
      <c r="CD701" s="18"/>
      <c r="CE701" s="18"/>
      <c r="CF701" s="18"/>
      <c r="CG701" s="18"/>
      <c r="CH701" s="18"/>
      <c r="CI701" s="18"/>
      <c r="CJ701" s="18"/>
      <c r="CK701" s="18"/>
      <c r="CL701" s="18"/>
      <c r="CM701" s="18"/>
      <c r="CN701" s="18"/>
      <c r="CO701" s="18"/>
      <c r="CP701" s="18"/>
      <c r="CQ701" s="18"/>
      <c r="CR701" s="18"/>
      <c r="CS701" s="18"/>
      <c r="CT701" s="18"/>
      <c r="CU701" s="18"/>
    </row>
    <row r="702" spans="1:99">
      <c r="A702" s="19"/>
      <c r="B702" s="19"/>
      <c r="C702" s="19"/>
      <c r="D702" s="19"/>
      <c r="E702" s="19"/>
      <c r="F702" s="19"/>
      <c r="G702" s="19"/>
      <c r="H702" s="19"/>
      <c r="I702" s="19"/>
      <c r="J702" s="19"/>
      <c r="K702" s="18"/>
      <c r="L702" s="18"/>
      <c r="M702" s="18"/>
      <c r="N702" s="18"/>
      <c r="O702" s="18"/>
      <c r="P702" s="18"/>
      <c r="Q702" s="18"/>
      <c r="R702" s="18"/>
      <c r="S702" s="18"/>
      <c r="T702" s="18"/>
      <c r="U702" s="18"/>
      <c r="V702" s="18"/>
      <c r="W702" s="18"/>
      <c r="X702" s="18"/>
      <c r="Y702" s="18"/>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c r="BC702" s="18"/>
      <c r="BD702" s="18"/>
      <c r="BE702" s="18"/>
      <c r="BF702" s="18"/>
      <c r="BG702" s="18"/>
      <c r="BH702" s="18"/>
      <c r="BI702" s="18"/>
      <c r="BJ702" s="18"/>
      <c r="BK702" s="18"/>
      <c r="BL702" s="18"/>
      <c r="BM702" s="18"/>
      <c r="BN702" s="18"/>
      <c r="BO702" s="18"/>
      <c r="BP702" s="18"/>
      <c r="BQ702" s="18"/>
      <c r="BR702" s="18"/>
      <c r="BS702" s="18"/>
      <c r="BT702" s="18"/>
      <c r="BU702" s="18"/>
      <c r="BV702" s="18"/>
      <c r="BW702" s="18"/>
      <c r="BX702" s="18"/>
      <c r="BY702" s="18"/>
      <c r="BZ702" s="18"/>
      <c r="CA702" s="18"/>
      <c r="CB702" s="18"/>
      <c r="CC702" s="18"/>
      <c r="CD702" s="18"/>
      <c r="CE702" s="18"/>
      <c r="CF702" s="18"/>
      <c r="CG702" s="18"/>
      <c r="CH702" s="18"/>
      <c r="CI702" s="18"/>
      <c r="CJ702" s="18"/>
      <c r="CK702" s="18"/>
      <c r="CL702" s="18"/>
      <c r="CM702" s="18"/>
      <c r="CN702" s="18"/>
      <c r="CO702" s="18"/>
      <c r="CP702" s="18"/>
      <c r="CQ702" s="18"/>
      <c r="CR702" s="18"/>
      <c r="CS702" s="18"/>
      <c r="CT702" s="18"/>
      <c r="CU702" s="18"/>
    </row>
    <row r="703" spans="1:99">
      <c r="A703" s="19"/>
      <c r="B703" s="19"/>
      <c r="C703" s="19"/>
      <c r="D703" s="19"/>
      <c r="E703" s="19"/>
      <c r="F703" s="19"/>
      <c r="G703" s="19"/>
      <c r="H703" s="19"/>
      <c r="I703" s="19"/>
      <c r="J703" s="19"/>
      <c r="K703" s="18"/>
      <c r="L703" s="18"/>
      <c r="M703" s="18"/>
      <c r="N703" s="18"/>
      <c r="O703" s="18"/>
      <c r="P703" s="18"/>
      <c r="Q703" s="18"/>
      <c r="R703" s="18"/>
      <c r="S703" s="18"/>
      <c r="T703" s="18"/>
      <c r="U703" s="18"/>
      <c r="V703" s="18"/>
      <c r="W703" s="18"/>
      <c r="X703" s="18"/>
      <c r="Y703" s="18"/>
      <c r="Z703" s="18"/>
      <c r="AA703" s="18"/>
      <c r="AB703" s="18"/>
      <c r="AC703" s="18"/>
      <c r="AD703" s="18"/>
      <c r="AE703" s="18"/>
      <c r="AF703" s="18"/>
      <c r="AG703" s="18"/>
      <c r="AH703" s="18"/>
      <c r="AI703" s="18"/>
      <c r="AJ703" s="18"/>
      <c r="AK703" s="18"/>
      <c r="AL703" s="18"/>
      <c r="AM703" s="18"/>
      <c r="AN703" s="18"/>
      <c r="AO703" s="18"/>
      <c r="AP703" s="18"/>
      <c r="AQ703" s="18"/>
      <c r="AR703" s="18"/>
      <c r="AS703" s="18"/>
      <c r="AT703" s="18"/>
      <c r="AU703" s="18"/>
      <c r="AV703" s="18"/>
      <c r="AW703" s="18"/>
      <c r="AX703" s="18"/>
      <c r="AY703" s="18"/>
      <c r="AZ703" s="18"/>
      <c r="BA703" s="18"/>
      <c r="BB703" s="18"/>
      <c r="BC703" s="18"/>
      <c r="BD703" s="18"/>
      <c r="BE703" s="18"/>
      <c r="BF703" s="18"/>
      <c r="BG703" s="18"/>
      <c r="BH703" s="18"/>
      <c r="BI703" s="18"/>
      <c r="BJ703" s="18"/>
      <c r="BK703" s="18"/>
      <c r="BL703" s="18"/>
      <c r="BM703" s="18"/>
      <c r="BN703" s="18"/>
      <c r="BO703" s="18"/>
      <c r="BP703" s="18"/>
      <c r="BQ703" s="18"/>
      <c r="BR703" s="18"/>
      <c r="BS703" s="18"/>
      <c r="BT703" s="18"/>
      <c r="BU703" s="18"/>
      <c r="BV703" s="18"/>
      <c r="BW703" s="18"/>
      <c r="BX703" s="18"/>
      <c r="BY703" s="18"/>
      <c r="BZ703" s="18"/>
      <c r="CA703" s="18"/>
      <c r="CB703" s="18"/>
      <c r="CC703" s="18"/>
      <c r="CD703" s="18"/>
      <c r="CE703" s="18"/>
      <c r="CF703" s="18"/>
      <c r="CG703" s="18"/>
      <c r="CH703" s="18"/>
      <c r="CI703" s="18"/>
      <c r="CJ703" s="18"/>
      <c r="CK703" s="18"/>
      <c r="CL703" s="18"/>
      <c r="CM703" s="18"/>
      <c r="CN703" s="18"/>
      <c r="CO703" s="18"/>
      <c r="CP703" s="18"/>
      <c r="CQ703" s="18"/>
      <c r="CR703" s="18"/>
      <c r="CS703" s="18"/>
      <c r="CT703" s="18"/>
      <c r="CU703" s="18"/>
    </row>
    <row r="704" spans="1:99">
      <c r="A704" s="19"/>
      <c r="B704" s="19"/>
      <c r="C704" s="19"/>
      <c r="D704" s="19"/>
      <c r="E704" s="19"/>
      <c r="F704" s="19"/>
      <c r="G704" s="19"/>
      <c r="H704" s="19"/>
      <c r="I704" s="19"/>
      <c r="J704" s="19"/>
      <c r="K704" s="18"/>
      <c r="L704" s="18"/>
      <c r="M704" s="18"/>
      <c r="N704" s="18"/>
      <c r="O704" s="18"/>
      <c r="P704" s="18"/>
      <c r="Q704" s="18"/>
      <c r="R704" s="18"/>
      <c r="S704" s="18"/>
      <c r="T704" s="18"/>
      <c r="U704" s="18"/>
      <c r="V704" s="18"/>
      <c r="W704" s="18"/>
      <c r="X704" s="18"/>
      <c r="Y704" s="18"/>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c r="BC704" s="18"/>
      <c r="BD704" s="18"/>
      <c r="BE704" s="18"/>
      <c r="BF704" s="18"/>
      <c r="BG704" s="18"/>
      <c r="BH704" s="18"/>
      <c r="BI704" s="18"/>
      <c r="BJ704" s="18"/>
      <c r="BK704" s="18"/>
      <c r="BL704" s="18"/>
      <c r="BM704" s="18"/>
      <c r="BN704" s="18"/>
      <c r="BO704" s="18"/>
      <c r="BP704" s="18"/>
      <c r="BQ704" s="18"/>
      <c r="BR704" s="18"/>
      <c r="BS704" s="18"/>
      <c r="BT704" s="18"/>
      <c r="BU704" s="18"/>
      <c r="BV704" s="18"/>
      <c r="BW704" s="18"/>
      <c r="BX704" s="18"/>
      <c r="BY704" s="18"/>
      <c r="BZ704" s="18"/>
      <c r="CA704" s="18"/>
      <c r="CB704" s="18"/>
      <c r="CC704" s="18"/>
      <c r="CD704" s="18"/>
      <c r="CE704" s="18"/>
      <c r="CF704" s="18"/>
      <c r="CG704" s="18"/>
      <c r="CH704" s="18"/>
      <c r="CI704" s="18"/>
      <c r="CJ704" s="18"/>
      <c r="CK704" s="18"/>
      <c r="CL704" s="18"/>
      <c r="CM704" s="18"/>
      <c r="CN704" s="18"/>
      <c r="CO704" s="18"/>
      <c r="CP704" s="18"/>
      <c r="CQ704" s="18"/>
      <c r="CR704" s="18"/>
      <c r="CS704" s="18"/>
      <c r="CT704" s="18"/>
      <c r="CU704" s="18"/>
    </row>
    <row r="705" spans="1:99">
      <c r="A705" s="19"/>
      <c r="B705" s="19"/>
      <c r="C705" s="19"/>
      <c r="D705" s="19"/>
      <c r="E705" s="19"/>
      <c r="F705" s="19"/>
      <c r="G705" s="19"/>
      <c r="H705" s="19"/>
      <c r="I705" s="19"/>
      <c r="J705" s="19"/>
      <c r="K705" s="18"/>
      <c r="L705" s="18"/>
      <c r="M705" s="18"/>
      <c r="N705" s="18"/>
      <c r="O705" s="18"/>
      <c r="P705" s="18"/>
      <c r="Q705" s="18"/>
      <c r="R705" s="18"/>
      <c r="S705" s="18"/>
      <c r="T705" s="18"/>
      <c r="U705" s="18"/>
      <c r="V705" s="18"/>
      <c r="W705" s="18"/>
      <c r="X705" s="18"/>
      <c r="Y705" s="18"/>
      <c r="Z705" s="18"/>
      <c r="AA705" s="18"/>
      <c r="AB705" s="18"/>
      <c r="AC705" s="18"/>
      <c r="AD705" s="18"/>
      <c r="AE705" s="18"/>
      <c r="AF705" s="18"/>
      <c r="AG705" s="18"/>
      <c r="AH705" s="18"/>
      <c r="AI705" s="18"/>
      <c r="AJ705" s="18"/>
      <c r="AK705" s="18"/>
      <c r="AL705" s="18"/>
      <c r="AM705" s="18"/>
      <c r="AN705" s="18"/>
      <c r="AO705" s="18"/>
      <c r="AP705" s="18"/>
      <c r="AQ705" s="18"/>
      <c r="AR705" s="18"/>
      <c r="AS705" s="18"/>
      <c r="AT705" s="18"/>
      <c r="AU705" s="18"/>
      <c r="AV705" s="18"/>
      <c r="AW705" s="18"/>
      <c r="AX705" s="18"/>
      <c r="AY705" s="18"/>
      <c r="AZ705" s="18"/>
      <c r="BA705" s="18"/>
      <c r="BB705" s="18"/>
      <c r="BC705" s="18"/>
      <c r="BD705" s="18"/>
      <c r="BE705" s="18"/>
      <c r="BF705" s="18"/>
      <c r="BG705" s="18"/>
      <c r="BH705" s="18"/>
      <c r="BI705" s="18"/>
      <c r="BJ705" s="18"/>
      <c r="BK705" s="18"/>
      <c r="BL705" s="18"/>
      <c r="BM705" s="18"/>
      <c r="BN705" s="18"/>
      <c r="BO705" s="18"/>
      <c r="BP705" s="18"/>
      <c r="BQ705" s="18"/>
      <c r="BR705" s="18"/>
      <c r="BS705" s="18"/>
      <c r="BT705" s="18"/>
      <c r="BU705" s="18"/>
      <c r="BV705" s="18"/>
      <c r="BW705" s="18"/>
      <c r="BX705" s="18"/>
      <c r="BY705" s="18"/>
      <c r="BZ705" s="18"/>
      <c r="CA705" s="18"/>
      <c r="CB705" s="18"/>
      <c r="CC705" s="18"/>
      <c r="CD705" s="18"/>
      <c r="CE705" s="18"/>
      <c r="CF705" s="18"/>
      <c r="CG705" s="18"/>
      <c r="CH705" s="18"/>
      <c r="CI705" s="18"/>
      <c r="CJ705" s="18"/>
      <c r="CK705" s="18"/>
      <c r="CL705" s="18"/>
      <c r="CM705" s="18"/>
      <c r="CN705" s="18"/>
      <c r="CO705" s="18"/>
      <c r="CP705" s="18"/>
      <c r="CQ705" s="18"/>
      <c r="CR705" s="18"/>
      <c r="CS705" s="18"/>
      <c r="CT705" s="18"/>
      <c r="CU705" s="18"/>
    </row>
    <row r="706" spans="1:99">
      <c r="A706" s="19"/>
      <c r="B706" s="19"/>
      <c r="C706" s="19"/>
      <c r="D706" s="19"/>
      <c r="E706" s="19"/>
      <c r="F706" s="19"/>
      <c r="G706" s="19"/>
      <c r="H706" s="19"/>
      <c r="I706" s="19"/>
      <c r="J706" s="19"/>
      <c r="K706" s="18"/>
      <c r="L706" s="18"/>
      <c r="M706" s="18"/>
      <c r="N706" s="18"/>
      <c r="O706" s="18"/>
      <c r="P706" s="18"/>
      <c r="Q706" s="18"/>
      <c r="R706" s="18"/>
      <c r="S706" s="18"/>
      <c r="T706" s="18"/>
      <c r="U706" s="18"/>
      <c r="V706" s="18"/>
      <c r="W706" s="18"/>
      <c r="X706" s="18"/>
      <c r="Y706" s="18"/>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c r="BC706" s="18"/>
      <c r="BD706" s="18"/>
      <c r="BE706" s="18"/>
      <c r="BF706" s="18"/>
      <c r="BG706" s="18"/>
      <c r="BH706" s="18"/>
      <c r="BI706" s="18"/>
      <c r="BJ706" s="18"/>
      <c r="BK706" s="18"/>
      <c r="BL706" s="18"/>
      <c r="BM706" s="18"/>
      <c r="BN706" s="18"/>
      <c r="BO706" s="18"/>
      <c r="BP706" s="18"/>
      <c r="BQ706" s="18"/>
      <c r="BR706" s="18"/>
      <c r="BS706" s="18"/>
      <c r="BT706" s="18"/>
      <c r="BU706" s="18"/>
      <c r="BV706" s="18"/>
      <c r="BW706" s="18"/>
      <c r="BX706" s="18"/>
      <c r="BY706" s="18"/>
      <c r="BZ706" s="18"/>
      <c r="CA706" s="18"/>
      <c r="CB706" s="18"/>
      <c r="CC706" s="18"/>
      <c r="CD706" s="18"/>
      <c r="CE706" s="18"/>
      <c r="CF706" s="18"/>
      <c r="CG706" s="18"/>
      <c r="CH706" s="18"/>
      <c r="CI706" s="18"/>
      <c r="CJ706" s="18"/>
      <c r="CK706" s="18"/>
      <c r="CL706" s="18"/>
      <c r="CM706" s="18"/>
      <c r="CN706" s="18"/>
      <c r="CO706" s="18"/>
      <c r="CP706" s="18"/>
      <c r="CQ706" s="18"/>
      <c r="CR706" s="18"/>
      <c r="CS706" s="18"/>
      <c r="CT706" s="18"/>
      <c r="CU706" s="18"/>
    </row>
    <row r="707" spans="1:99">
      <c r="A707" s="19"/>
      <c r="B707" s="19"/>
      <c r="C707" s="19"/>
      <c r="D707" s="19"/>
      <c r="E707" s="19"/>
      <c r="F707" s="19"/>
      <c r="G707" s="19"/>
      <c r="H707" s="19"/>
      <c r="I707" s="19"/>
      <c r="J707" s="19"/>
      <c r="K707" s="18"/>
      <c r="L707" s="18"/>
      <c r="M707" s="18"/>
      <c r="N707" s="18"/>
      <c r="O707" s="18"/>
      <c r="P707" s="18"/>
      <c r="Q707" s="18"/>
      <c r="R707" s="18"/>
      <c r="S707" s="18"/>
      <c r="T707" s="18"/>
      <c r="U707" s="18"/>
      <c r="V707" s="18"/>
      <c r="W707" s="18"/>
      <c r="X707" s="18"/>
      <c r="Y707" s="18"/>
      <c r="Z707" s="18"/>
      <c r="AA707" s="18"/>
      <c r="AB707" s="18"/>
      <c r="AC707" s="18"/>
      <c r="AD707" s="18"/>
      <c r="AE707" s="18"/>
      <c r="AF707" s="18"/>
      <c r="AG707" s="18"/>
      <c r="AH707" s="18"/>
      <c r="AI707" s="18"/>
      <c r="AJ707" s="18"/>
      <c r="AK707" s="18"/>
      <c r="AL707" s="18"/>
      <c r="AM707" s="18"/>
      <c r="AN707" s="18"/>
      <c r="AO707" s="18"/>
      <c r="AP707" s="18"/>
      <c r="AQ707" s="18"/>
      <c r="AR707" s="18"/>
      <c r="AS707" s="18"/>
      <c r="AT707" s="18"/>
      <c r="AU707" s="18"/>
      <c r="AV707" s="18"/>
      <c r="AW707" s="18"/>
      <c r="AX707" s="18"/>
      <c r="AY707" s="18"/>
      <c r="AZ707" s="18"/>
      <c r="BA707" s="18"/>
      <c r="BB707" s="18"/>
      <c r="BC707" s="18"/>
      <c r="BD707" s="18"/>
      <c r="BE707" s="18"/>
      <c r="BF707" s="18"/>
      <c r="BG707" s="18"/>
      <c r="BH707" s="18"/>
      <c r="BI707" s="18"/>
      <c r="BJ707" s="18"/>
      <c r="BK707" s="18"/>
      <c r="BL707" s="18"/>
      <c r="BM707" s="18"/>
      <c r="BN707" s="18"/>
      <c r="BO707" s="18"/>
      <c r="BP707" s="18"/>
      <c r="BQ707" s="18"/>
      <c r="BR707" s="18"/>
      <c r="BS707" s="18"/>
      <c r="BT707" s="18"/>
      <c r="BU707" s="18"/>
      <c r="BV707" s="18"/>
      <c r="BW707" s="18"/>
      <c r="BX707" s="18"/>
      <c r="BY707" s="18"/>
      <c r="BZ707" s="18"/>
      <c r="CA707" s="18"/>
      <c r="CB707" s="18"/>
      <c r="CC707" s="18"/>
      <c r="CD707" s="18"/>
      <c r="CE707" s="18"/>
      <c r="CF707" s="18"/>
      <c r="CG707" s="18"/>
      <c r="CH707" s="18"/>
      <c r="CI707" s="18"/>
      <c r="CJ707" s="18"/>
      <c r="CK707" s="18"/>
      <c r="CL707" s="18"/>
      <c r="CM707" s="18"/>
      <c r="CN707" s="18"/>
      <c r="CO707" s="18"/>
      <c r="CP707" s="18"/>
      <c r="CQ707" s="18"/>
      <c r="CR707" s="18"/>
      <c r="CS707" s="18"/>
      <c r="CT707" s="18"/>
      <c r="CU707" s="18"/>
    </row>
    <row r="708" spans="1:99">
      <c r="A708" s="19"/>
      <c r="B708" s="19"/>
      <c r="C708" s="19"/>
      <c r="D708" s="19"/>
      <c r="E708" s="19"/>
      <c r="F708" s="19"/>
      <c r="G708" s="19"/>
      <c r="H708" s="19"/>
      <c r="I708" s="19"/>
      <c r="J708" s="19"/>
      <c r="K708" s="18"/>
      <c r="L708" s="18"/>
      <c r="M708" s="18"/>
      <c r="N708" s="18"/>
      <c r="O708" s="18"/>
      <c r="P708" s="18"/>
      <c r="Q708" s="18"/>
      <c r="R708" s="18"/>
      <c r="S708" s="18"/>
      <c r="T708" s="18"/>
      <c r="U708" s="18"/>
      <c r="V708" s="18"/>
      <c r="W708" s="18"/>
      <c r="X708" s="18"/>
      <c r="Y708" s="18"/>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c r="BC708" s="18"/>
      <c r="BD708" s="18"/>
      <c r="BE708" s="18"/>
      <c r="BF708" s="18"/>
      <c r="BG708" s="18"/>
      <c r="BH708" s="18"/>
      <c r="BI708" s="18"/>
      <c r="BJ708" s="18"/>
      <c r="BK708" s="18"/>
      <c r="BL708" s="18"/>
      <c r="BM708" s="18"/>
      <c r="BN708" s="18"/>
      <c r="BO708" s="18"/>
      <c r="BP708" s="18"/>
      <c r="BQ708" s="18"/>
      <c r="BR708" s="18"/>
      <c r="BS708" s="18"/>
      <c r="BT708" s="18"/>
      <c r="BU708" s="18"/>
      <c r="BV708" s="18"/>
      <c r="BW708" s="18"/>
      <c r="BX708" s="18"/>
      <c r="BY708" s="18"/>
      <c r="BZ708" s="18"/>
      <c r="CA708" s="18"/>
      <c r="CB708" s="18"/>
      <c r="CC708" s="18"/>
      <c r="CD708" s="18"/>
      <c r="CE708" s="18"/>
      <c r="CF708" s="18"/>
      <c r="CG708" s="18"/>
      <c r="CH708" s="18"/>
      <c r="CI708" s="18"/>
      <c r="CJ708" s="18"/>
      <c r="CK708" s="18"/>
      <c r="CL708" s="18"/>
      <c r="CM708" s="18"/>
      <c r="CN708" s="18"/>
      <c r="CO708" s="18"/>
      <c r="CP708" s="18"/>
      <c r="CQ708" s="18"/>
      <c r="CR708" s="18"/>
      <c r="CS708" s="18"/>
      <c r="CT708" s="18"/>
      <c r="CU708" s="18"/>
    </row>
    <row r="709" spans="1:99">
      <c r="A709" s="19"/>
      <c r="B709" s="19"/>
      <c r="C709" s="19"/>
      <c r="D709" s="19"/>
      <c r="E709" s="19"/>
      <c r="F709" s="19"/>
      <c r="G709" s="19"/>
      <c r="H709" s="19"/>
      <c r="I709" s="19"/>
      <c r="J709" s="19"/>
      <c r="K709" s="18"/>
      <c r="L709" s="18"/>
      <c r="M709" s="18"/>
      <c r="N709" s="18"/>
      <c r="O709" s="18"/>
      <c r="P709" s="18"/>
      <c r="Q709" s="18"/>
      <c r="R709" s="18"/>
      <c r="S709" s="18"/>
      <c r="T709" s="18"/>
      <c r="U709" s="18"/>
      <c r="V709" s="18"/>
      <c r="W709" s="18"/>
      <c r="X709" s="18"/>
      <c r="Y709" s="18"/>
      <c r="Z709" s="18"/>
      <c r="AA709" s="18"/>
      <c r="AB709" s="18"/>
      <c r="AC709" s="18"/>
      <c r="AD709" s="18"/>
      <c r="AE709" s="18"/>
      <c r="AF709" s="18"/>
      <c r="AG709" s="18"/>
      <c r="AH709" s="18"/>
      <c r="AI709" s="18"/>
      <c r="AJ709" s="18"/>
      <c r="AK709" s="18"/>
      <c r="AL709" s="18"/>
      <c r="AM709" s="18"/>
      <c r="AN709" s="18"/>
      <c r="AO709" s="18"/>
      <c r="AP709" s="18"/>
      <c r="AQ709" s="18"/>
      <c r="AR709" s="18"/>
      <c r="AS709" s="18"/>
      <c r="AT709" s="18"/>
      <c r="AU709" s="18"/>
      <c r="AV709" s="18"/>
      <c r="AW709" s="18"/>
      <c r="AX709" s="18"/>
      <c r="AY709" s="18"/>
      <c r="AZ709" s="18"/>
      <c r="BA709" s="18"/>
      <c r="BB709" s="18"/>
      <c r="BC709" s="18"/>
      <c r="BD709" s="18"/>
      <c r="BE709" s="18"/>
      <c r="BF709" s="18"/>
      <c r="BG709" s="18"/>
      <c r="BH709" s="18"/>
      <c r="BI709" s="18"/>
      <c r="BJ709" s="18"/>
      <c r="BK709" s="18"/>
      <c r="BL709" s="18"/>
      <c r="BM709" s="18"/>
      <c r="BN709" s="18"/>
      <c r="BO709" s="18"/>
      <c r="BP709" s="18"/>
      <c r="BQ709" s="18"/>
      <c r="BR709" s="18"/>
      <c r="BS709" s="18"/>
      <c r="BT709" s="18"/>
      <c r="BU709" s="18"/>
      <c r="BV709" s="18"/>
      <c r="BW709" s="18"/>
      <c r="BX709" s="18"/>
      <c r="BY709" s="18"/>
      <c r="BZ709" s="18"/>
      <c r="CA709" s="18"/>
      <c r="CB709" s="18"/>
      <c r="CC709" s="18"/>
      <c r="CD709" s="18"/>
      <c r="CE709" s="18"/>
      <c r="CF709" s="18"/>
      <c r="CG709" s="18"/>
      <c r="CH709" s="18"/>
      <c r="CI709" s="18"/>
      <c r="CJ709" s="18"/>
      <c r="CK709" s="18"/>
      <c r="CL709" s="18"/>
      <c r="CM709" s="18"/>
      <c r="CN709" s="18"/>
      <c r="CO709" s="18"/>
      <c r="CP709" s="18"/>
      <c r="CQ709" s="18"/>
      <c r="CR709" s="18"/>
      <c r="CS709" s="18"/>
      <c r="CT709" s="18"/>
      <c r="CU709" s="18"/>
    </row>
    <row r="710" spans="1:99">
      <c r="A710" s="19"/>
      <c r="B710" s="19"/>
      <c r="C710" s="19"/>
      <c r="D710" s="19"/>
      <c r="E710" s="19"/>
      <c r="F710" s="19"/>
      <c r="G710" s="19"/>
      <c r="H710" s="19"/>
      <c r="I710" s="19"/>
      <c r="J710" s="19"/>
      <c r="K710" s="18"/>
      <c r="L710" s="18"/>
      <c r="M710" s="18"/>
      <c r="N710" s="18"/>
      <c r="O710" s="18"/>
      <c r="P710" s="18"/>
      <c r="Q710" s="18"/>
      <c r="R710" s="18"/>
      <c r="S710" s="18"/>
      <c r="T710" s="18"/>
      <c r="U710" s="18"/>
      <c r="V710" s="18"/>
      <c r="W710" s="18"/>
      <c r="X710" s="18"/>
      <c r="Y710" s="18"/>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c r="BC710" s="18"/>
      <c r="BD710" s="18"/>
      <c r="BE710" s="18"/>
      <c r="BF710" s="18"/>
      <c r="BG710" s="18"/>
      <c r="BH710" s="18"/>
      <c r="BI710" s="18"/>
      <c r="BJ710" s="18"/>
      <c r="BK710" s="18"/>
      <c r="BL710" s="18"/>
      <c r="BM710" s="18"/>
      <c r="BN710" s="18"/>
      <c r="BO710" s="18"/>
      <c r="BP710" s="18"/>
      <c r="BQ710" s="18"/>
      <c r="BR710" s="18"/>
      <c r="BS710" s="18"/>
      <c r="BT710" s="18"/>
      <c r="BU710" s="18"/>
      <c r="BV710" s="18"/>
      <c r="BW710" s="18"/>
      <c r="BX710" s="18"/>
      <c r="BY710" s="18"/>
      <c r="BZ710" s="18"/>
      <c r="CA710" s="18"/>
      <c r="CB710" s="18"/>
      <c r="CC710" s="18"/>
      <c r="CD710" s="18"/>
      <c r="CE710" s="18"/>
      <c r="CF710" s="18"/>
      <c r="CG710" s="18"/>
      <c r="CH710" s="18"/>
      <c r="CI710" s="18"/>
      <c r="CJ710" s="18"/>
      <c r="CK710" s="18"/>
      <c r="CL710" s="18"/>
      <c r="CM710" s="18"/>
      <c r="CN710" s="18"/>
      <c r="CO710" s="18"/>
      <c r="CP710" s="18"/>
      <c r="CQ710" s="18"/>
      <c r="CR710" s="18"/>
      <c r="CS710" s="18"/>
      <c r="CT710" s="18"/>
      <c r="CU710" s="18"/>
    </row>
    <row r="711" spans="1:99">
      <c r="A711" s="19"/>
      <c r="B711" s="19"/>
      <c r="C711" s="19"/>
      <c r="D711" s="19"/>
      <c r="E711" s="19"/>
      <c r="F711" s="19"/>
      <c r="G711" s="19"/>
      <c r="H711" s="19"/>
      <c r="I711" s="19"/>
      <c r="J711" s="19"/>
      <c r="K711" s="18"/>
      <c r="L711" s="18"/>
      <c r="M711" s="18"/>
      <c r="N711" s="18"/>
      <c r="O711" s="18"/>
      <c r="P711" s="18"/>
      <c r="Q711" s="18"/>
      <c r="R711" s="18"/>
      <c r="S711" s="18"/>
      <c r="T711" s="18"/>
      <c r="U711" s="18"/>
      <c r="V711" s="18"/>
      <c r="W711" s="18"/>
      <c r="X711" s="18"/>
      <c r="Y711" s="18"/>
      <c r="Z711" s="18"/>
      <c r="AA711" s="18"/>
      <c r="AB711" s="18"/>
      <c r="AC711" s="18"/>
      <c r="AD711" s="18"/>
      <c r="AE711" s="18"/>
      <c r="AF711" s="18"/>
      <c r="AG711" s="18"/>
      <c r="AH711" s="18"/>
      <c r="AI711" s="18"/>
      <c r="AJ711" s="18"/>
      <c r="AK711" s="18"/>
      <c r="AL711" s="18"/>
      <c r="AM711" s="18"/>
      <c r="AN711" s="18"/>
      <c r="AO711" s="18"/>
      <c r="AP711" s="18"/>
      <c r="AQ711" s="18"/>
      <c r="AR711" s="18"/>
      <c r="AS711" s="18"/>
      <c r="AT711" s="18"/>
      <c r="AU711" s="18"/>
      <c r="AV711" s="18"/>
      <c r="AW711" s="18"/>
      <c r="AX711" s="18"/>
      <c r="AY711" s="18"/>
      <c r="AZ711" s="18"/>
      <c r="BA711" s="18"/>
      <c r="BB711" s="18"/>
      <c r="BC711" s="18"/>
      <c r="BD711" s="18"/>
      <c r="BE711" s="18"/>
      <c r="BF711" s="18"/>
      <c r="BG711" s="18"/>
      <c r="BH711" s="18"/>
      <c r="BI711" s="18"/>
      <c r="BJ711" s="18"/>
      <c r="BK711" s="18"/>
      <c r="BL711" s="18"/>
      <c r="BM711" s="18"/>
      <c r="BN711" s="18"/>
      <c r="BO711" s="18"/>
      <c r="BP711" s="18"/>
      <c r="BQ711" s="18"/>
      <c r="BR711" s="18"/>
      <c r="BS711" s="18"/>
      <c r="BT711" s="18"/>
      <c r="BU711" s="18"/>
      <c r="BV711" s="18"/>
      <c r="BW711" s="18"/>
      <c r="BX711" s="18"/>
      <c r="BY711" s="18"/>
      <c r="BZ711" s="18"/>
      <c r="CA711" s="18"/>
      <c r="CB711" s="18"/>
      <c r="CC711" s="18"/>
      <c r="CD711" s="18"/>
      <c r="CE711" s="18"/>
      <c r="CF711" s="18"/>
      <c r="CG711" s="18"/>
      <c r="CH711" s="18"/>
      <c r="CI711" s="18"/>
      <c r="CJ711" s="18"/>
      <c r="CK711" s="18"/>
      <c r="CL711" s="18"/>
      <c r="CM711" s="18"/>
      <c r="CN711" s="18"/>
      <c r="CO711" s="18"/>
      <c r="CP711" s="18"/>
      <c r="CQ711" s="18"/>
      <c r="CR711" s="18"/>
      <c r="CS711" s="18"/>
      <c r="CT711" s="18"/>
      <c r="CU711" s="18"/>
    </row>
    <row r="712" spans="1:99">
      <c r="A712" s="19"/>
      <c r="B712" s="19"/>
      <c r="C712" s="19"/>
      <c r="D712" s="19"/>
      <c r="E712" s="19"/>
      <c r="F712" s="19"/>
      <c r="G712" s="19"/>
      <c r="H712" s="19"/>
      <c r="I712" s="19"/>
      <c r="J712" s="19"/>
      <c r="K712" s="18"/>
      <c r="L712" s="18"/>
      <c r="M712" s="18"/>
      <c r="N712" s="18"/>
      <c r="O712" s="18"/>
      <c r="P712" s="18"/>
      <c r="Q712" s="18"/>
      <c r="R712" s="18"/>
      <c r="S712" s="18"/>
      <c r="T712" s="18"/>
      <c r="U712" s="18"/>
      <c r="V712" s="18"/>
      <c r="W712" s="18"/>
      <c r="X712" s="18"/>
      <c r="Y712" s="18"/>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c r="BC712" s="18"/>
      <c r="BD712" s="18"/>
      <c r="BE712" s="18"/>
      <c r="BF712" s="18"/>
      <c r="BG712" s="18"/>
      <c r="BH712" s="18"/>
      <c r="BI712" s="18"/>
      <c r="BJ712" s="18"/>
      <c r="BK712" s="18"/>
      <c r="BL712" s="18"/>
      <c r="BM712" s="18"/>
      <c r="BN712" s="18"/>
      <c r="BO712" s="18"/>
      <c r="BP712" s="18"/>
      <c r="BQ712" s="18"/>
      <c r="BR712" s="18"/>
      <c r="BS712" s="18"/>
      <c r="BT712" s="18"/>
      <c r="BU712" s="18"/>
      <c r="BV712" s="18"/>
      <c r="BW712" s="18"/>
      <c r="BX712" s="18"/>
      <c r="BY712" s="18"/>
      <c r="BZ712" s="18"/>
      <c r="CA712" s="18"/>
      <c r="CB712" s="18"/>
      <c r="CC712" s="18"/>
      <c r="CD712" s="18"/>
      <c r="CE712" s="18"/>
      <c r="CF712" s="18"/>
      <c r="CG712" s="18"/>
      <c r="CH712" s="18"/>
      <c r="CI712" s="18"/>
      <c r="CJ712" s="18"/>
      <c r="CK712" s="18"/>
      <c r="CL712" s="18"/>
      <c r="CM712" s="18"/>
      <c r="CN712" s="18"/>
      <c r="CO712" s="18"/>
      <c r="CP712" s="18"/>
      <c r="CQ712" s="18"/>
      <c r="CR712" s="18"/>
      <c r="CS712" s="18"/>
      <c r="CT712" s="18"/>
      <c r="CU712" s="18"/>
    </row>
    <row r="713" spans="1:99">
      <c r="A713" s="19"/>
      <c r="B713" s="19"/>
      <c r="C713" s="19"/>
      <c r="D713" s="19"/>
      <c r="E713" s="19"/>
      <c r="F713" s="19"/>
      <c r="G713" s="19"/>
      <c r="H713" s="19"/>
      <c r="I713" s="19"/>
      <c r="J713" s="19"/>
      <c r="K713" s="18"/>
      <c r="L713" s="18"/>
      <c r="M713" s="18"/>
      <c r="N713" s="18"/>
      <c r="O713" s="18"/>
      <c r="P713" s="18"/>
      <c r="Q713" s="18"/>
      <c r="R713" s="18"/>
      <c r="S713" s="18"/>
      <c r="T713" s="18"/>
      <c r="U713" s="18"/>
      <c r="V713" s="18"/>
      <c r="W713" s="18"/>
      <c r="X713" s="18"/>
      <c r="Y713" s="18"/>
      <c r="Z713" s="18"/>
      <c r="AA713" s="18"/>
      <c r="AB713" s="18"/>
      <c r="AC713" s="18"/>
      <c r="AD713" s="18"/>
      <c r="AE713" s="18"/>
      <c r="AF713" s="18"/>
      <c r="AG713" s="18"/>
      <c r="AH713" s="18"/>
      <c r="AI713" s="18"/>
      <c r="AJ713" s="18"/>
      <c r="AK713" s="18"/>
      <c r="AL713" s="18"/>
      <c r="AM713" s="18"/>
      <c r="AN713" s="18"/>
      <c r="AO713" s="18"/>
      <c r="AP713" s="18"/>
      <c r="AQ713" s="18"/>
      <c r="AR713" s="18"/>
      <c r="AS713" s="18"/>
      <c r="AT713" s="18"/>
      <c r="AU713" s="18"/>
      <c r="AV713" s="18"/>
      <c r="AW713" s="18"/>
      <c r="AX713" s="18"/>
      <c r="AY713" s="18"/>
      <c r="AZ713" s="18"/>
      <c r="BA713" s="18"/>
      <c r="BB713" s="18"/>
      <c r="BC713" s="18"/>
      <c r="BD713" s="18"/>
      <c r="BE713" s="18"/>
      <c r="BF713" s="18"/>
      <c r="BG713" s="18"/>
      <c r="BH713" s="18"/>
      <c r="BI713" s="18"/>
      <c r="BJ713" s="18"/>
      <c r="BK713" s="18"/>
      <c r="BL713" s="18"/>
      <c r="BM713" s="18"/>
      <c r="BN713" s="18"/>
      <c r="BO713" s="18"/>
      <c r="BP713" s="18"/>
      <c r="BQ713" s="18"/>
      <c r="BR713" s="18"/>
      <c r="BS713" s="18"/>
      <c r="BT713" s="18"/>
      <c r="BU713" s="18"/>
      <c r="BV713" s="18"/>
      <c r="BW713" s="18"/>
      <c r="BX713" s="18"/>
      <c r="BY713" s="18"/>
      <c r="BZ713" s="18"/>
      <c r="CA713" s="18"/>
      <c r="CB713" s="18"/>
      <c r="CC713" s="18"/>
      <c r="CD713" s="18"/>
      <c r="CE713" s="18"/>
      <c r="CF713" s="18"/>
      <c r="CG713" s="18"/>
      <c r="CH713" s="18"/>
      <c r="CI713" s="18"/>
      <c r="CJ713" s="18"/>
      <c r="CK713" s="18"/>
      <c r="CL713" s="18"/>
      <c r="CM713" s="18"/>
      <c r="CN713" s="18"/>
      <c r="CO713" s="18"/>
      <c r="CP713" s="18"/>
      <c r="CQ713" s="18"/>
      <c r="CR713" s="18"/>
      <c r="CS713" s="18"/>
      <c r="CT713" s="18"/>
      <c r="CU713" s="18"/>
    </row>
    <row r="714" spans="1:99">
      <c r="A714" s="19"/>
      <c r="B714" s="19"/>
      <c r="C714" s="19"/>
      <c r="D714" s="19"/>
      <c r="E714" s="19"/>
      <c r="F714" s="19"/>
      <c r="G714" s="19"/>
      <c r="H714" s="19"/>
      <c r="I714" s="19"/>
      <c r="J714" s="19"/>
      <c r="K714" s="18"/>
      <c r="L714" s="18"/>
      <c r="M714" s="18"/>
      <c r="N714" s="18"/>
      <c r="O714" s="18"/>
      <c r="P714" s="18"/>
      <c r="Q714" s="18"/>
      <c r="R714" s="18"/>
      <c r="S714" s="18"/>
      <c r="T714" s="18"/>
      <c r="U714" s="18"/>
      <c r="V714" s="18"/>
      <c r="W714" s="18"/>
      <c r="X714" s="18"/>
      <c r="Y714" s="18"/>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c r="BC714" s="18"/>
      <c r="BD714" s="18"/>
      <c r="BE714" s="18"/>
      <c r="BF714" s="18"/>
      <c r="BG714" s="18"/>
      <c r="BH714" s="18"/>
      <c r="BI714" s="18"/>
      <c r="BJ714" s="18"/>
      <c r="BK714" s="18"/>
      <c r="BL714" s="18"/>
      <c r="BM714" s="18"/>
      <c r="BN714" s="18"/>
      <c r="BO714" s="18"/>
      <c r="BP714" s="18"/>
      <c r="BQ714" s="18"/>
      <c r="BR714" s="18"/>
      <c r="BS714" s="18"/>
      <c r="BT714" s="18"/>
      <c r="BU714" s="18"/>
      <c r="BV714" s="18"/>
      <c r="BW714" s="18"/>
      <c r="BX714" s="18"/>
      <c r="BY714" s="18"/>
      <c r="BZ714" s="18"/>
      <c r="CA714" s="18"/>
      <c r="CB714" s="18"/>
      <c r="CC714" s="18"/>
      <c r="CD714" s="18"/>
      <c r="CE714" s="18"/>
      <c r="CF714" s="18"/>
      <c r="CG714" s="18"/>
      <c r="CH714" s="18"/>
      <c r="CI714" s="18"/>
      <c r="CJ714" s="18"/>
      <c r="CK714" s="18"/>
      <c r="CL714" s="18"/>
      <c r="CM714" s="18"/>
      <c r="CN714" s="18"/>
      <c r="CO714" s="18"/>
      <c r="CP714" s="18"/>
      <c r="CQ714" s="18"/>
      <c r="CR714" s="18"/>
      <c r="CS714" s="18"/>
      <c r="CT714" s="18"/>
      <c r="CU714" s="18"/>
    </row>
    <row r="715" spans="1:99">
      <c r="A715" s="19"/>
      <c r="B715" s="19"/>
      <c r="C715" s="19"/>
      <c r="D715" s="19"/>
      <c r="E715" s="19"/>
      <c r="F715" s="19"/>
      <c r="G715" s="19"/>
      <c r="H715" s="19"/>
      <c r="I715" s="19"/>
      <c r="J715" s="19"/>
      <c r="K715" s="18"/>
      <c r="L715" s="18"/>
      <c r="M715" s="18"/>
      <c r="N715" s="18"/>
      <c r="O715" s="18"/>
      <c r="P715" s="18"/>
      <c r="Q715" s="18"/>
      <c r="R715" s="18"/>
      <c r="S715" s="18"/>
      <c r="T715" s="18"/>
      <c r="U715" s="18"/>
      <c r="V715" s="18"/>
      <c r="W715" s="18"/>
      <c r="X715" s="18"/>
      <c r="Y715" s="18"/>
      <c r="Z715" s="18"/>
      <c r="AA715" s="18"/>
      <c r="AB715" s="18"/>
      <c r="AC715" s="18"/>
      <c r="AD715" s="18"/>
      <c r="AE715" s="18"/>
      <c r="AF715" s="18"/>
      <c r="AG715" s="18"/>
      <c r="AH715" s="18"/>
      <c r="AI715" s="18"/>
      <c r="AJ715" s="18"/>
      <c r="AK715" s="18"/>
      <c r="AL715" s="18"/>
      <c r="AM715" s="18"/>
      <c r="AN715" s="18"/>
      <c r="AO715" s="18"/>
      <c r="AP715" s="18"/>
      <c r="AQ715" s="18"/>
      <c r="AR715" s="18"/>
      <c r="AS715" s="18"/>
      <c r="AT715" s="18"/>
      <c r="AU715" s="18"/>
      <c r="AV715" s="18"/>
      <c r="AW715" s="18"/>
      <c r="AX715" s="18"/>
      <c r="AY715" s="18"/>
      <c r="AZ715" s="18"/>
      <c r="BA715" s="18"/>
      <c r="BB715" s="18"/>
      <c r="BC715" s="18"/>
      <c r="BD715" s="18"/>
      <c r="BE715" s="18"/>
      <c r="BF715" s="18"/>
      <c r="BG715" s="18"/>
      <c r="BH715" s="18"/>
      <c r="BI715" s="18"/>
      <c r="BJ715" s="18"/>
      <c r="BK715" s="18"/>
      <c r="BL715" s="18"/>
      <c r="BM715" s="18"/>
      <c r="BN715" s="18"/>
      <c r="BO715" s="18"/>
      <c r="BP715" s="18"/>
      <c r="BQ715" s="18"/>
      <c r="BR715" s="18"/>
      <c r="BS715" s="18"/>
      <c r="BT715" s="18"/>
      <c r="BU715" s="18"/>
      <c r="BV715" s="18"/>
      <c r="BW715" s="18"/>
      <c r="BX715" s="18"/>
      <c r="BY715" s="18"/>
      <c r="BZ715" s="18"/>
      <c r="CA715" s="18"/>
      <c r="CB715" s="18"/>
      <c r="CC715" s="18"/>
      <c r="CD715" s="18"/>
      <c r="CE715" s="18"/>
      <c r="CF715" s="18"/>
      <c r="CG715" s="18"/>
      <c r="CH715" s="18"/>
      <c r="CI715" s="18"/>
      <c r="CJ715" s="18"/>
      <c r="CK715" s="18"/>
      <c r="CL715" s="18"/>
      <c r="CM715" s="18"/>
      <c r="CN715" s="18"/>
      <c r="CO715" s="18"/>
      <c r="CP715" s="18"/>
      <c r="CQ715" s="18"/>
      <c r="CR715" s="18"/>
      <c r="CS715" s="18"/>
      <c r="CT715" s="18"/>
      <c r="CU715" s="18"/>
    </row>
    <row r="716" spans="1:99">
      <c r="A716" s="19"/>
      <c r="B716" s="19"/>
      <c r="C716" s="19"/>
      <c r="D716" s="19"/>
      <c r="E716" s="19"/>
      <c r="F716" s="19"/>
      <c r="G716" s="19"/>
      <c r="H716" s="19"/>
      <c r="I716" s="19"/>
      <c r="J716" s="19"/>
      <c r="K716" s="18"/>
      <c r="L716" s="18"/>
      <c r="M716" s="18"/>
      <c r="N716" s="18"/>
      <c r="O716" s="18"/>
      <c r="P716" s="18"/>
      <c r="Q716" s="18"/>
      <c r="R716" s="18"/>
      <c r="S716" s="18"/>
      <c r="T716" s="18"/>
      <c r="U716" s="18"/>
      <c r="V716" s="18"/>
      <c r="W716" s="18"/>
      <c r="X716" s="18"/>
      <c r="Y716" s="18"/>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c r="BC716" s="18"/>
      <c r="BD716" s="18"/>
      <c r="BE716" s="18"/>
      <c r="BF716" s="18"/>
      <c r="BG716" s="18"/>
      <c r="BH716" s="18"/>
      <c r="BI716" s="18"/>
      <c r="BJ716" s="18"/>
      <c r="BK716" s="18"/>
      <c r="BL716" s="18"/>
      <c r="BM716" s="18"/>
      <c r="BN716" s="18"/>
      <c r="BO716" s="18"/>
      <c r="BP716" s="18"/>
      <c r="BQ716" s="18"/>
      <c r="BR716" s="18"/>
      <c r="BS716" s="18"/>
      <c r="BT716" s="18"/>
      <c r="BU716" s="18"/>
      <c r="BV716" s="18"/>
      <c r="BW716" s="18"/>
      <c r="BX716" s="18"/>
      <c r="BY716" s="18"/>
      <c r="BZ716" s="18"/>
      <c r="CA716" s="18"/>
      <c r="CB716" s="18"/>
      <c r="CC716" s="18"/>
      <c r="CD716" s="18"/>
      <c r="CE716" s="18"/>
      <c r="CF716" s="18"/>
      <c r="CG716" s="18"/>
      <c r="CH716" s="18"/>
      <c r="CI716" s="18"/>
      <c r="CJ716" s="18"/>
      <c r="CK716" s="18"/>
      <c r="CL716" s="18"/>
      <c r="CM716" s="18"/>
      <c r="CN716" s="18"/>
      <c r="CO716" s="18"/>
      <c r="CP716" s="18"/>
      <c r="CQ716" s="18"/>
      <c r="CR716" s="18"/>
      <c r="CS716" s="18"/>
      <c r="CT716" s="18"/>
      <c r="CU716" s="18"/>
    </row>
    <row r="717" spans="1:99">
      <c r="A717" s="19"/>
      <c r="B717" s="19"/>
      <c r="C717" s="19"/>
      <c r="D717" s="19"/>
      <c r="E717" s="19"/>
      <c r="F717" s="19"/>
      <c r="G717" s="19"/>
      <c r="H717" s="19"/>
      <c r="I717" s="19"/>
      <c r="J717" s="19"/>
      <c r="K717" s="18"/>
      <c r="L717" s="18"/>
      <c r="M717" s="18"/>
      <c r="N717" s="18"/>
      <c r="O717" s="18"/>
      <c r="P717" s="18"/>
      <c r="Q717" s="18"/>
      <c r="R717" s="18"/>
      <c r="S717" s="18"/>
      <c r="T717" s="18"/>
      <c r="U717" s="18"/>
      <c r="V717" s="18"/>
      <c r="W717" s="18"/>
      <c r="X717" s="18"/>
      <c r="Y717" s="18"/>
      <c r="Z717" s="18"/>
      <c r="AA717" s="18"/>
      <c r="AB717" s="18"/>
      <c r="AC717" s="18"/>
      <c r="AD717" s="18"/>
      <c r="AE717" s="18"/>
      <c r="AF717" s="18"/>
      <c r="AG717" s="18"/>
      <c r="AH717" s="18"/>
      <c r="AI717" s="18"/>
      <c r="AJ717" s="18"/>
      <c r="AK717" s="18"/>
      <c r="AL717" s="18"/>
      <c r="AM717" s="18"/>
      <c r="AN717" s="18"/>
      <c r="AO717" s="18"/>
      <c r="AP717" s="18"/>
      <c r="AQ717" s="18"/>
      <c r="AR717" s="18"/>
      <c r="AS717" s="18"/>
      <c r="AT717" s="18"/>
      <c r="AU717" s="18"/>
      <c r="AV717" s="18"/>
      <c r="AW717" s="18"/>
      <c r="AX717" s="18"/>
      <c r="AY717" s="18"/>
      <c r="AZ717" s="18"/>
      <c r="BA717" s="18"/>
      <c r="BB717" s="18"/>
      <c r="BC717" s="18"/>
      <c r="BD717" s="18"/>
      <c r="BE717" s="18"/>
      <c r="BF717" s="18"/>
      <c r="BG717" s="18"/>
      <c r="BH717" s="18"/>
      <c r="BI717" s="18"/>
      <c r="BJ717" s="18"/>
      <c r="BK717" s="18"/>
      <c r="BL717" s="18"/>
      <c r="BM717" s="18"/>
      <c r="BN717" s="18"/>
      <c r="BO717" s="18"/>
      <c r="BP717" s="18"/>
      <c r="BQ717" s="18"/>
      <c r="BR717" s="18"/>
      <c r="BS717" s="18"/>
      <c r="BT717" s="18"/>
      <c r="BU717" s="18"/>
      <c r="BV717" s="18"/>
      <c r="BW717" s="18"/>
      <c r="BX717" s="18"/>
      <c r="BY717" s="18"/>
      <c r="BZ717" s="18"/>
      <c r="CA717" s="18"/>
      <c r="CB717" s="18"/>
      <c r="CC717" s="18"/>
      <c r="CD717" s="18"/>
      <c r="CE717" s="18"/>
      <c r="CF717" s="18"/>
      <c r="CG717" s="18"/>
      <c r="CH717" s="18"/>
      <c r="CI717" s="18"/>
      <c r="CJ717" s="18"/>
      <c r="CK717" s="18"/>
      <c r="CL717" s="18"/>
      <c r="CM717" s="18"/>
      <c r="CN717" s="18"/>
      <c r="CO717" s="18"/>
      <c r="CP717" s="18"/>
      <c r="CQ717" s="18"/>
      <c r="CR717" s="18"/>
      <c r="CS717" s="18"/>
      <c r="CT717" s="18"/>
      <c r="CU717" s="18"/>
    </row>
    <row r="718" spans="1:99">
      <c r="A718" s="19"/>
      <c r="B718" s="19"/>
      <c r="C718" s="19"/>
      <c r="D718" s="19"/>
      <c r="E718" s="19"/>
      <c r="F718" s="19"/>
      <c r="G718" s="19"/>
      <c r="H718" s="19"/>
      <c r="I718" s="19"/>
      <c r="J718" s="19"/>
      <c r="K718" s="18"/>
      <c r="L718" s="18"/>
      <c r="M718" s="18"/>
      <c r="N718" s="18"/>
      <c r="O718" s="18"/>
      <c r="P718" s="18"/>
      <c r="Q718" s="18"/>
      <c r="R718" s="18"/>
      <c r="S718" s="18"/>
      <c r="T718" s="18"/>
      <c r="U718" s="18"/>
      <c r="V718" s="18"/>
      <c r="W718" s="18"/>
      <c r="X718" s="18"/>
      <c r="Y718" s="18"/>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c r="BC718" s="18"/>
      <c r="BD718" s="18"/>
      <c r="BE718" s="18"/>
      <c r="BF718" s="18"/>
      <c r="BG718" s="18"/>
      <c r="BH718" s="18"/>
      <c r="BI718" s="18"/>
      <c r="BJ718" s="18"/>
      <c r="BK718" s="18"/>
      <c r="BL718" s="18"/>
      <c r="BM718" s="18"/>
      <c r="BN718" s="18"/>
      <c r="BO718" s="18"/>
      <c r="BP718" s="18"/>
      <c r="BQ718" s="18"/>
      <c r="BR718" s="18"/>
      <c r="BS718" s="18"/>
      <c r="BT718" s="18"/>
      <c r="BU718" s="18"/>
      <c r="BV718" s="18"/>
      <c r="BW718" s="18"/>
      <c r="BX718" s="18"/>
      <c r="BY718" s="18"/>
      <c r="BZ718" s="18"/>
      <c r="CA718" s="18"/>
      <c r="CB718" s="18"/>
      <c r="CC718" s="18"/>
      <c r="CD718" s="18"/>
      <c r="CE718" s="18"/>
      <c r="CF718" s="18"/>
      <c r="CG718" s="18"/>
      <c r="CH718" s="18"/>
      <c r="CI718" s="18"/>
      <c r="CJ718" s="18"/>
      <c r="CK718" s="18"/>
      <c r="CL718" s="18"/>
      <c r="CM718" s="18"/>
      <c r="CN718" s="18"/>
      <c r="CO718" s="18"/>
      <c r="CP718" s="18"/>
      <c r="CQ718" s="18"/>
      <c r="CR718" s="18"/>
      <c r="CS718" s="18"/>
      <c r="CT718" s="18"/>
      <c r="CU718" s="18"/>
    </row>
    <row r="719" spans="1:99">
      <c r="A719" s="19"/>
      <c r="B719" s="19"/>
      <c r="C719" s="19"/>
      <c r="D719" s="19"/>
      <c r="E719" s="19"/>
      <c r="F719" s="19"/>
      <c r="G719" s="19"/>
      <c r="H719" s="19"/>
      <c r="I719" s="19"/>
      <c r="J719" s="19"/>
      <c r="K719" s="18"/>
      <c r="L719" s="18"/>
      <c r="M719" s="18"/>
      <c r="N719" s="18"/>
      <c r="O719" s="18"/>
      <c r="P719" s="18"/>
      <c r="Q719" s="18"/>
      <c r="R719" s="18"/>
      <c r="S719" s="18"/>
      <c r="T719" s="18"/>
      <c r="U719" s="18"/>
      <c r="V719" s="18"/>
      <c r="W719" s="18"/>
      <c r="X719" s="18"/>
      <c r="Y719" s="18"/>
      <c r="Z719" s="18"/>
      <c r="AA719" s="18"/>
      <c r="AB719" s="18"/>
      <c r="AC719" s="18"/>
      <c r="AD719" s="18"/>
      <c r="AE719" s="18"/>
      <c r="AF719" s="18"/>
      <c r="AG719" s="18"/>
      <c r="AH719" s="18"/>
      <c r="AI719" s="18"/>
      <c r="AJ719" s="18"/>
      <c r="AK719" s="18"/>
      <c r="AL719" s="18"/>
      <c r="AM719" s="18"/>
      <c r="AN719" s="18"/>
      <c r="AO719" s="18"/>
      <c r="AP719" s="18"/>
      <c r="AQ719" s="18"/>
      <c r="AR719" s="18"/>
      <c r="AS719" s="18"/>
      <c r="AT719" s="18"/>
      <c r="AU719" s="18"/>
      <c r="AV719" s="18"/>
      <c r="AW719" s="18"/>
      <c r="AX719" s="18"/>
      <c r="AY719" s="18"/>
      <c r="AZ719" s="18"/>
      <c r="BA719" s="18"/>
      <c r="BB719" s="18"/>
      <c r="BC719" s="18"/>
      <c r="BD719" s="18"/>
      <c r="BE719" s="18"/>
      <c r="BF719" s="18"/>
      <c r="BG719" s="18"/>
      <c r="BH719" s="18"/>
      <c r="BI719" s="18"/>
      <c r="BJ719" s="18"/>
      <c r="BK719" s="18"/>
      <c r="BL719" s="18"/>
      <c r="BM719" s="18"/>
      <c r="BN719" s="18"/>
      <c r="BO719" s="18"/>
      <c r="BP719" s="18"/>
      <c r="BQ719" s="18"/>
      <c r="BR719" s="18"/>
      <c r="BS719" s="18"/>
      <c r="BT719" s="18"/>
      <c r="BU719" s="18"/>
      <c r="BV719" s="18"/>
      <c r="BW719" s="18"/>
      <c r="BX719" s="18"/>
      <c r="BY719" s="18"/>
      <c r="BZ719" s="18"/>
      <c r="CA719" s="18"/>
      <c r="CB719" s="18"/>
      <c r="CC719" s="18"/>
      <c r="CD719" s="18"/>
      <c r="CE719" s="18"/>
      <c r="CF719" s="18"/>
      <c r="CG719" s="18"/>
      <c r="CH719" s="18"/>
      <c r="CI719" s="18"/>
      <c r="CJ719" s="18"/>
      <c r="CK719" s="18"/>
      <c r="CL719" s="18"/>
      <c r="CM719" s="18"/>
      <c r="CN719" s="18"/>
      <c r="CO719" s="18"/>
      <c r="CP719" s="18"/>
      <c r="CQ719" s="18"/>
      <c r="CR719" s="18"/>
      <c r="CS719" s="18"/>
      <c r="CT719" s="18"/>
      <c r="CU719" s="18"/>
    </row>
    <row r="720" spans="1:99">
      <c r="A720" s="19"/>
      <c r="B720" s="19"/>
      <c r="C720" s="19"/>
      <c r="D720" s="19"/>
      <c r="E720" s="19"/>
      <c r="F720" s="19"/>
      <c r="G720" s="19"/>
      <c r="H720" s="19"/>
      <c r="I720" s="19"/>
      <c r="J720" s="19"/>
      <c r="K720" s="18"/>
      <c r="L720" s="18"/>
      <c r="M720" s="18"/>
      <c r="N720" s="18"/>
      <c r="O720" s="18"/>
      <c r="P720" s="18"/>
      <c r="Q720" s="18"/>
      <c r="R720" s="18"/>
      <c r="S720" s="18"/>
      <c r="T720" s="18"/>
      <c r="U720" s="18"/>
      <c r="V720" s="18"/>
      <c r="W720" s="18"/>
      <c r="X720" s="18"/>
      <c r="Y720" s="18"/>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c r="BC720" s="18"/>
      <c r="BD720" s="18"/>
      <c r="BE720" s="18"/>
      <c r="BF720" s="18"/>
      <c r="BG720" s="18"/>
      <c r="BH720" s="18"/>
      <c r="BI720" s="18"/>
      <c r="BJ720" s="18"/>
      <c r="BK720" s="18"/>
      <c r="BL720" s="18"/>
      <c r="BM720" s="18"/>
      <c r="BN720" s="18"/>
      <c r="BO720" s="18"/>
      <c r="BP720" s="18"/>
      <c r="BQ720" s="18"/>
      <c r="BR720" s="18"/>
      <c r="BS720" s="18"/>
      <c r="BT720" s="18"/>
      <c r="BU720" s="18"/>
      <c r="BV720" s="18"/>
      <c r="BW720" s="18"/>
      <c r="BX720" s="18"/>
      <c r="BY720" s="18"/>
      <c r="BZ720" s="18"/>
      <c r="CA720" s="18"/>
      <c r="CB720" s="18"/>
      <c r="CC720" s="18"/>
      <c r="CD720" s="18"/>
      <c r="CE720" s="18"/>
      <c r="CF720" s="18"/>
      <c r="CG720" s="18"/>
      <c r="CH720" s="18"/>
      <c r="CI720" s="18"/>
      <c r="CJ720" s="18"/>
      <c r="CK720" s="18"/>
      <c r="CL720" s="18"/>
      <c r="CM720" s="18"/>
      <c r="CN720" s="18"/>
      <c r="CO720" s="18"/>
      <c r="CP720" s="18"/>
      <c r="CQ720" s="18"/>
      <c r="CR720" s="18"/>
      <c r="CS720" s="18"/>
      <c r="CT720" s="18"/>
      <c r="CU720" s="18"/>
    </row>
    <row r="721" spans="1:99">
      <c r="A721" s="19"/>
      <c r="B721" s="19"/>
      <c r="C721" s="19"/>
      <c r="D721" s="19"/>
      <c r="E721" s="19"/>
      <c r="F721" s="19"/>
      <c r="G721" s="19"/>
      <c r="H721" s="19"/>
      <c r="I721" s="19"/>
      <c r="J721" s="19"/>
      <c r="K721" s="18"/>
      <c r="L721" s="18"/>
      <c r="M721" s="18"/>
      <c r="N721" s="18"/>
      <c r="O721" s="18"/>
      <c r="P721" s="18"/>
      <c r="Q721" s="18"/>
      <c r="R721" s="18"/>
      <c r="S721" s="18"/>
      <c r="T721" s="18"/>
      <c r="U721" s="18"/>
      <c r="V721" s="18"/>
      <c r="W721" s="18"/>
      <c r="X721" s="18"/>
      <c r="Y721" s="18"/>
      <c r="Z721" s="18"/>
      <c r="AA721" s="18"/>
      <c r="AB721" s="18"/>
      <c r="AC721" s="18"/>
      <c r="AD721" s="18"/>
      <c r="AE721" s="18"/>
      <c r="AF721" s="18"/>
      <c r="AG721" s="18"/>
      <c r="AH721" s="18"/>
      <c r="AI721" s="18"/>
      <c r="AJ721" s="18"/>
      <c r="AK721" s="18"/>
      <c r="AL721" s="18"/>
      <c r="AM721" s="18"/>
      <c r="AN721" s="18"/>
      <c r="AO721" s="18"/>
      <c r="AP721" s="18"/>
      <c r="AQ721" s="18"/>
      <c r="AR721" s="18"/>
      <c r="AS721" s="18"/>
      <c r="AT721" s="18"/>
      <c r="AU721" s="18"/>
      <c r="AV721" s="18"/>
      <c r="AW721" s="18"/>
      <c r="AX721" s="18"/>
      <c r="AY721" s="18"/>
      <c r="AZ721" s="18"/>
      <c r="BA721" s="18"/>
      <c r="BB721" s="18"/>
      <c r="BC721" s="18"/>
      <c r="BD721" s="18"/>
      <c r="BE721" s="18"/>
      <c r="BF721" s="18"/>
      <c r="BG721" s="18"/>
      <c r="BH721" s="18"/>
      <c r="BI721" s="18"/>
      <c r="BJ721" s="18"/>
      <c r="BK721" s="18"/>
      <c r="BL721" s="18"/>
      <c r="BM721" s="18"/>
      <c r="BN721" s="18"/>
      <c r="BO721" s="18"/>
      <c r="BP721" s="18"/>
      <c r="BQ721" s="18"/>
      <c r="BR721" s="18"/>
      <c r="BS721" s="18"/>
      <c r="BT721" s="18"/>
      <c r="BU721" s="18"/>
      <c r="BV721" s="18"/>
      <c r="BW721" s="18"/>
      <c r="BX721" s="18"/>
      <c r="BY721" s="18"/>
      <c r="BZ721" s="18"/>
      <c r="CA721" s="18"/>
      <c r="CB721" s="18"/>
      <c r="CC721" s="18"/>
      <c r="CD721" s="18"/>
      <c r="CE721" s="18"/>
      <c r="CF721" s="18"/>
      <c r="CG721" s="18"/>
      <c r="CH721" s="18"/>
      <c r="CI721" s="18"/>
      <c r="CJ721" s="18"/>
      <c r="CK721" s="18"/>
      <c r="CL721" s="18"/>
      <c r="CM721" s="18"/>
      <c r="CN721" s="18"/>
      <c r="CO721" s="18"/>
      <c r="CP721" s="18"/>
      <c r="CQ721" s="18"/>
      <c r="CR721" s="18"/>
      <c r="CS721" s="18"/>
      <c r="CT721" s="18"/>
      <c r="CU721" s="18"/>
    </row>
    <row r="722" spans="1:99">
      <c r="A722" s="19"/>
      <c r="B722" s="19"/>
      <c r="C722" s="19"/>
      <c r="D722" s="19"/>
      <c r="E722" s="19"/>
      <c r="F722" s="19"/>
      <c r="G722" s="19"/>
      <c r="H722" s="19"/>
      <c r="I722" s="19"/>
      <c r="J722" s="19"/>
      <c r="K722" s="18"/>
      <c r="L722" s="18"/>
      <c r="M722" s="18"/>
      <c r="N722" s="18"/>
      <c r="O722" s="18"/>
      <c r="P722" s="18"/>
      <c r="Q722" s="18"/>
      <c r="R722" s="18"/>
      <c r="S722" s="18"/>
      <c r="T722" s="18"/>
      <c r="U722" s="18"/>
      <c r="V722" s="18"/>
      <c r="W722" s="18"/>
      <c r="X722" s="18"/>
      <c r="Y722" s="18"/>
      <c r="Z722" s="18"/>
      <c r="AA722" s="18"/>
      <c r="AB722" s="18"/>
      <c r="AC722" s="18"/>
      <c r="AD722" s="18"/>
      <c r="AE722" s="18"/>
      <c r="AF722" s="18"/>
      <c r="AG722" s="18"/>
      <c r="AH722" s="18"/>
      <c r="AI722" s="18"/>
      <c r="AJ722" s="18"/>
      <c r="AK722" s="18"/>
      <c r="AL722" s="18"/>
      <c r="AM722" s="18"/>
      <c r="AN722" s="18"/>
      <c r="AO722" s="18"/>
      <c r="AP722" s="18"/>
      <c r="AQ722" s="18"/>
      <c r="AR722" s="18"/>
      <c r="AS722" s="18"/>
      <c r="AT722" s="18"/>
      <c r="AU722" s="18"/>
      <c r="AV722" s="18"/>
      <c r="AW722" s="18"/>
      <c r="AX722" s="18"/>
      <c r="AY722" s="18"/>
      <c r="AZ722" s="18"/>
      <c r="BA722" s="18"/>
      <c r="BB722" s="18"/>
      <c r="BC722" s="18"/>
      <c r="BD722" s="18"/>
      <c r="BE722" s="18"/>
      <c r="BF722" s="18"/>
      <c r="BG722" s="18"/>
      <c r="BH722" s="18"/>
      <c r="BI722" s="18"/>
      <c r="BJ722" s="18"/>
      <c r="BK722" s="18"/>
      <c r="BL722" s="18"/>
      <c r="BM722" s="18"/>
      <c r="BN722" s="18"/>
      <c r="BO722" s="18"/>
      <c r="BP722" s="18"/>
      <c r="BQ722" s="18"/>
      <c r="BR722" s="18"/>
      <c r="BS722" s="18"/>
      <c r="BT722" s="18"/>
      <c r="BU722" s="18"/>
      <c r="BV722" s="18"/>
      <c r="BW722" s="18"/>
      <c r="BX722" s="18"/>
      <c r="BY722" s="18"/>
      <c r="BZ722" s="18"/>
      <c r="CA722" s="18"/>
      <c r="CB722" s="18"/>
      <c r="CC722" s="18"/>
      <c r="CD722" s="18"/>
      <c r="CE722" s="18"/>
      <c r="CF722" s="18"/>
      <c r="CG722" s="18"/>
      <c r="CH722" s="18"/>
      <c r="CI722" s="18"/>
      <c r="CJ722" s="18"/>
      <c r="CK722" s="18"/>
      <c r="CL722" s="18"/>
      <c r="CM722" s="18"/>
      <c r="CN722" s="18"/>
      <c r="CO722" s="18"/>
      <c r="CP722" s="18"/>
      <c r="CQ722" s="18"/>
      <c r="CR722" s="18"/>
      <c r="CS722" s="18"/>
      <c r="CT722" s="18"/>
      <c r="CU722" s="18"/>
    </row>
    <row r="723" spans="1:99">
      <c r="A723" s="19"/>
      <c r="B723" s="19"/>
      <c r="C723" s="19"/>
      <c r="D723" s="19"/>
      <c r="E723" s="19"/>
      <c r="F723" s="19"/>
      <c r="G723" s="19"/>
      <c r="H723" s="19"/>
      <c r="I723" s="19"/>
      <c r="J723" s="19"/>
      <c r="K723" s="18"/>
      <c r="L723" s="18"/>
      <c r="M723" s="18"/>
      <c r="N723" s="18"/>
      <c r="O723" s="18"/>
      <c r="P723" s="18"/>
      <c r="Q723" s="18"/>
      <c r="R723" s="18"/>
      <c r="S723" s="18"/>
      <c r="T723" s="18"/>
      <c r="U723" s="18"/>
      <c r="V723" s="18"/>
      <c r="W723" s="18"/>
      <c r="X723" s="18"/>
      <c r="Y723" s="18"/>
      <c r="Z723" s="18"/>
      <c r="AA723" s="18"/>
      <c r="AB723" s="18"/>
      <c r="AC723" s="18"/>
      <c r="AD723" s="18"/>
      <c r="AE723" s="18"/>
      <c r="AF723" s="18"/>
      <c r="AG723" s="18"/>
      <c r="AH723" s="18"/>
      <c r="AI723" s="18"/>
      <c r="AJ723" s="18"/>
      <c r="AK723" s="18"/>
      <c r="AL723" s="18"/>
      <c r="AM723" s="18"/>
      <c r="AN723" s="18"/>
      <c r="AO723" s="18"/>
      <c r="AP723" s="18"/>
      <c r="AQ723" s="18"/>
      <c r="AR723" s="18"/>
      <c r="AS723" s="18"/>
      <c r="AT723" s="18"/>
      <c r="AU723" s="18"/>
      <c r="AV723" s="18"/>
      <c r="AW723" s="18"/>
      <c r="AX723" s="18"/>
      <c r="AY723" s="18"/>
      <c r="AZ723" s="18"/>
      <c r="BA723" s="18"/>
      <c r="BB723" s="18"/>
      <c r="BC723" s="18"/>
      <c r="BD723" s="18"/>
      <c r="BE723" s="18"/>
      <c r="BF723" s="18"/>
      <c r="BG723" s="18"/>
      <c r="BH723" s="18"/>
      <c r="BI723" s="18"/>
      <c r="BJ723" s="18"/>
      <c r="BK723" s="18"/>
      <c r="BL723" s="18"/>
      <c r="BM723" s="18"/>
      <c r="BN723" s="18"/>
      <c r="BO723" s="18"/>
      <c r="BP723" s="18"/>
      <c r="BQ723" s="18"/>
      <c r="BR723" s="18"/>
      <c r="BS723" s="18"/>
      <c r="BT723" s="18"/>
      <c r="BU723" s="18"/>
      <c r="BV723" s="18"/>
      <c r="BW723" s="18"/>
      <c r="BX723" s="18"/>
      <c r="BY723" s="18"/>
      <c r="BZ723" s="18"/>
      <c r="CA723" s="18"/>
      <c r="CB723" s="18"/>
      <c r="CC723" s="18"/>
      <c r="CD723" s="18"/>
      <c r="CE723" s="18"/>
      <c r="CF723" s="18"/>
      <c r="CG723" s="18"/>
      <c r="CH723" s="18"/>
      <c r="CI723" s="18"/>
      <c r="CJ723" s="18"/>
      <c r="CK723" s="18"/>
      <c r="CL723" s="18"/>
      <c r="CM723" s="18"/>
      <c r="CN723" s="18"/>
      <c r="CO723" s="18"/>
      <c r="CP723" s="18"/>
      <c r="CQ723" s="18"/>
      <c r="CR723" s="18"/>
      <c r="CS723" s="18"/>
      <c r="CT723" s="18"/>
      <c r="CU723" s="18"/>
    </row>
    <row r="724" spans="1:99">
      <c r="A724" s="19"/>
      <c r="B724" s="19"/>
      <c r="C724" s="19"/>
      <c r="D724" s="19"/>
      <c r="E724" s="19"/>
      <c r="F724" s="19"/>
      <c r="G724" s="19"/>
      <c r="H724" s="19"/>
      <c r="I724" s="19"/>
      <c r="J724" s="19"/>
      <c r="K724" s="18"/>
      <c r="L724" s="18"/>
      <c r="M724" s="18"/>
      <c r="N724" s="18"/>
      <c r="O724" s="18"/>
      <c r="P724" s="18"/>
      <c r="Q724" s="18"/>
      <c r="R724" s="18"/>
      <c r="S724" s="18"/>
      <c r="T724" s="18"/>
      <c r="U724" s="18"/>
      <c r="V724" s="18"/>
      <c r="W724" s="18"/>
      <c r="X724" s="18"/>
      <c r="Y724" s="18"/>
      <c r="Z724" s="18"/>
      <c r="AA724" s="18"/>
      <c r="AB724" s="18"/>
      <c r="AC724" s="18"/>
      <c r="AD724" s="18"/>
      <c r="AE724" s="18"/>
      <c r="AF724" s="18"/>
      <c r="AG724" s="18"/>
      <c r="AH724" s="18"/>
      <c r="AI724" s="18"/>
      <c r="AJ724" s="18"/>
      <c r="AK724" s="18"/>
      <c r="AL724" s="18"/>
      <c r="AM724" s="18"/>
      <c r="AN724" s="18"/>
      <c r="AO724" s="18"/>
      <c r="AP724" s="18"/>
      <c r="AQ724" s="18"/>
      <c r="AR724" s="18"/>
      <c r="AS724" s="18"/>
      <c r="AT724" s="18"/>
      <c r="AU724" s="18"/>
      <c r="AV724" s="18"/>
      <c r="AW724" s="18"/>
      <c r="AX724" s="18"/>
      <c r="AY724" s="18"/>
      <c r="AZ724" s="18"/>
      <c r="BA724" s="18"/>
      <c r="BB724" s="18"/>
      <c r="BC724" s="18"/>
      <c r="BD724" s="18"/>
      <c r="BE724" s="18"/>
      <c r="BF724" s="18"/>
      <c r="BG724" s="18"/>
      <c r="BH724" s="18"/>
      <c r="BI724" s="18"/>
      <c r="BJ724" s="18"/>
      <c r="BK724" s="18"/>
      <c r="BL724" s="18"/>
      <c r="BM724" s="18"/>
      <c r="BN724" s="18"/>
      <c r="BO724" s="18"/>
      <c r="BP724" s="18"/>
      <c r="BQ724" s="18"/>
      <c r="BR724" s="18"/>
      <c r="BS724" s="18"/>
      <c r="BT724" s="18"/>
      <c r="BU724" s="18"/>
      <c r="BV724" s="18"/>
      <c r="BW724" s="18"/>
      <c r="BX724" s="18"/>
      <c r="BY724" s="18"/>
      <c r="BZ724" s="18"/>
      <c r="CA724" s="18"/>
      <c r="CB724" s="18"/>
      <c r="CC724" s="18"/>
      <c r="CD724" s="18"/>
      <c r="CE724" s="18"/>
      <c r="CF724" s="18"/>
      <c r="CG724" s="18"/>
      <c r="CH724" s="18"/>
      <c r="CI724" s="18"/>
      <c r="CJ724" s="18"/>
      <c r="CK724" s="18"/>
      <c r="CL724" s="18"/>
      <c r="CM724" s="18"/>
      <c r="CN724" s="18"/>
      <c r="CO724" s="18"/>
      <c r="CP724" s="18"/>
      <c r="CQ724" s="18"/>
      <c r="CR724" s="18"/>
      <c r="CS724" s="18"/>
      <c r="CT724" s="18"/>
      <c r="CU724" s="18"/>
    </row>
    <row r="725" spans="1:99">
      <c r="A725" s="19"/>
      <c r="B725" s="19"/>
      <c r="C725" s="19"/>
      <c r="D725" s="19"/>
      <c r="E725" s="19"/>
      <c r="F725" s="19"/>
      <c r="G725" s="19"/>
      <c r="H725" s="19"/>
      <c r="I725" s="19"/>
      <c r="J725" s="19"/>
      <c r="K725" s="18"/>
      <c r="L725" s="18"/>
      <c r="M725" s="18"/>
      <c r="N725" s="18"/>
      <c r="O725" s="18"/>
      <c r="P725" s="18"/>
      <c r="Q725" s="18"/>
      <c r="R725" s="18"/>
      <c r="S725" s="18"/>
      <c r="T725" s="18"/>
      <c r="U725" s="18"/>
      <c r="V725" s="18"/>
      <c r="W725" s="18"/>
      <c r="X725" s="18"/>
      <c r="Y725" s="18"/>
      <c r="Z725" s="18"/>
      <c r="AA725" s="18"/>
      <c r="AB725" s="18"/>
      <c r="AC725" s="18"/>
      <c r="AD725" s="18"/>
      <c r="AE725" s="18"/>
      <c r="AF725" s="18"/>
      <c r="AG725" s="18"/>
      <c r="AH725" s="18"/>
      <c r="AI725" s="18"/>
      <c r="AJ725" s="18"/>
      <c r="AK725" s="18"/>
      <c r="AL725" s="18"/>
      <c r="AM725" s="18"/>
      <c r="AN725" s="18"/>
      <c r="AO725" s="18"/>
      <c r="AP725" s="18"/>
      <c r="AQ725" s="18"/>
      <c r="AR725" s="18"/>
      <c r="AS725" s="18"/>
      <c r="AT725" s="18"/>
      <c r="AU725" s="18"/>
      <c r="AV725" s="18"/>
      <c r="AW725" s="18"/>
      <c r="AX725" s="18"/>
      <c r="AY725" s="18"/>
      <c r="AZ725" s="18"/>
      <c r="BA725" s="18"/>
      <c r="BB725" s="18"/>
      <c r="BC725" s="18"/>
      <c r="BD725" s="18"/>
      <c r="BE725" s="18"/>
      <c r="BF725" s="18"/>
      <c r="BG725" s="18"/>
      <c r="BH725" s="18"/>
      <c r="BI725" s="18"/>
      <c r="BJ725" s="18"/>
      <c r="BK725" s="18"/>
      <c r="BL725" s="18"/>
      <c r="BM725" s="18"/>
      <c r="BN725" s="18"/>
      <c r="BO725" s="18"/>
      <c r="BP725" s="18"/>
      <c r="BQ725" s="18"/>
      <c r="BR725" s="18"/>
      <c r="BS725" s="18"/>
      <c r="BT725" s="18"/>
      <c r="BU725" s="18"/>
      <c r="BV725" s="18"/>
      <c r="BW725" s="18"/>
      <c r="BX725" s="18"/>
      <c r="BY725" s="18"/>
      <c r="BZ725" s="18"/>
      <c r="CA725" s="18"/>
      <c r="CB725" s="18"/>
      <c r="CC725" s="18"/>
      <c r="CD725" s="18"/>
      <c r="CE725" s="18"/>
      <c r="CF725" s="18"/>
      <c r="CG725" s="18"/>
      <c r="CH725" s="18"/>
      <c r="CI725" s="18"/>
      <c r="CJ725" s="18"/>
      <c r="CK725" s="18"/>
      <c r="CL725" s="18"/>
      <c r="CM725" s="18"/>
      <c r="CN725" s="18"/>
      <c r="CO725" s="18"/>
      <c r="CP725" s="18"/>
      <c r="CQ725" s="18"/>
      <c r="CR725" s="18"/>
      <c r="CS725" s="18"/>
      <c r="CT725" s="18"/>
      <c r="CU725" s="18"/>
    </row>
    <row r="726" spans="1:99">
      <c r="A726" s="19"/>
      <c r="B726" s="19"/>
      <c r="C726" s="19"/>
      <c r="D726" s="19"/>
      <c r="E726" s="19"/>
      <c r="F726" s="19"/>
      <c r="G726" s="19"/>
      <c r="H726" s="19"/>
      <c r="I726" s="19"/>
      <c r="J726" s="19"/>
      <c r="K726" s="18"/>
      <c r="L726" s="18"/>
      <c r="M726" s="18"/>
      <c r="N726" s="18"/>
      <c r="O726" s="18"/>
      <c r="P726" s="18"/>
      <c r="Q726" s="18"/>
      <c r="R726" s="18"/>
      <c r="S726" s="18"/>
      <c r="T726" s="18"/>
      <c r="U726" s="18"/>
      <c r="V726" s="18"/>
      <c r="W726" s="18"/>
      <c r="X726" s="18"/>
      <c r="Y726" s="18"/>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c r="BC726" s="18"/>
      <c r="BD726" s="18"/>
      <c r="BE726" s="18"/>
      <c r="BF726" s="18"/>
      <c r="BG726" s="18"/>
      <c r="BH726" s="18"/>
      <c r="BI726" s="18"/>
      <c r="BJ726" s="18"/>
      <c r="BK726" s="18"/>
      <c r="BL726" s="18"/>
      <c r="BM726" s="18"/>
      <c r="BN726" s="18"/>
      <c r="BO726" s="18"/>
      <c r="BP726" s="18"/>
      <c r="BQ726" s="18"/>
      <c r="BR726" s="18"/>
      <c r="BS726" s="18"/>
      <c r="BT726" s="18"/>
      <c r="BU726" s="18"/>
      <c r="BV726" s="18"/>
      <c r="BW726" s="18"/>
      <c r="BX726" s="18"/>
      <c r="BY726" s="18"/>
      <c r="BZ726" s="18"/>
      <c r="CA726" s="18"/>
      <c r="CB726" s="18"/>
      <c r="CC726" s="18"/>
      <c r="CD726" s="18"/>
      <c r="CE726" s="18"/>
      <c r="CF726" s="18"/>
      <c r="CG726" s="18"/>
      <c r="CH726" s="18"/>
      <c r="CI726" s="18"/>
      <c r="CJ726" s="18"/>
      <c r="CK726" s="18"/>
      <c r="CL726" s="18"/>
      <c r="CM726" s="18"/>
      <c r="CN726" s="18"/>
      <c r="CO726" s="18"/>
      <c r="CP726" s="18"/>
      <c r="CQ726" s="18"/>
      <c r="CR726" s="18"/>
      <c r="CS726" s="18"/>
      <c r="CT726" s="18"/>
      <c r="CU726" s="18"/>
    </row>
    <row r="727" spans="1:99">
      <c r="A727" s="19"/>
      <c r="B727" s="19"/>
      <c r="C727" s="19"/>
      <c r="D727" s="19"/>
      <c r="E727" s="19"/>
      <c r="F727" s="19"/>
      <c r="G727" s="19"/>
      <c r="H727" s="19"/>
      <c r="I727" s="19"/>
      <c r="J727" s="19"/>
      <c r="K727" s="18"/>
      <c r="L727" s="18"/>
      <c r="M727" s="18"/>
      <c r="N727" s="18"/>
      <c r="O727" s="18"/>
      <c r="P727" s="18"/>
      <c r="Q727" s="18"/>
      <c r="R727" s="18"/>
      <c r="S727" s="18"/>
      <c r="T727" s="18"/>
      <c r="U727" s="18"/>
      <c r="V727" s="18"/>
      <c r="W727" s="18"/>
      <c r="X727" s="18"/>
      <c r="Y727" s="18"/>
      <c r="Z727" s="18"/>
      <c r="AA727" s="18"/>
      <c r="AB727" s="18"/>
      <c r="AC727" s="18"/>
      <c r="AD727" s="18"/>
      <c r="AE727" s="18"/>
      <c r="AF727" s="18"/>
      <c r="AG727" s="18"/>
      <c r="AH727" s="18"/>
      <c r="AI727" s="18"/>
      <c r="AJ727" s="18"/>
      <c r="AK727" s="18"/>
      <c r="AL727" s="18"/>
      <c r="AM727" s="18"/>
      <c r="AN727" s="18"/>
      <c r="AO727" s="18"/>
      <c r="AP727" s="18"/>
      <c r="AQ727" s="18"/>
      <c r="AR727" s="18"/>
      <c r="AS727" s="18"/>
      <c r="AT727" s="18"/>
      <c r="AU727" s="18"/>
      <c r="AV727" s="18"/>
      <c r="AW727" s="18"/>
      <c r="AX727" s="18"/>
      <c r="AY727" s="18"/>
      <c r="AZ727" s="18"/>
      <c r="BA727" s="18"/>
      <c r="BB727" s="18"/>
      <c r="BC727" s="18"/>
      <c r="BD727" s="18"/>
      <c r="BE727" s="18"/>
      <c r="BF727" s="18"/>
      <c r="BG727" s="18"/>
      <c r="BH727" s="18"/>
      <c r="BI727" s="18"/>
      <c r="BJ727" s="18"/>
      <c r="BK727" s="18"/>
      <c r="BL727" s="18"/>
      <c r="BM727" s="18"/>
      <c r="BN727" s="18"/>
      <c r="BO727" s="18"/>
      <c r="BP727" s="18"/>
      <c r="BQ727" s="18"/>
      <c r="BR727" s="18"/>
      <c r="BS727" s="18"/>
      <c r="BT727" s="18"/>
      <c r="BU727" s="18"/>
      <c r="BV727" s="18"/>
      <c r="BW727" s="18"/>
      <c r="BX727" s="18"/>
      <c r="BY727" s="18"/>
      <c r="BZ727" s="18"/>
      <c r="CA727" s="18"/>
      <c r="CB727" s="18"/>
      <c r="CC727" s="18"/>
      <c r="CD727" s="18"/>
      <c r="CE727" s="18"/>
      <c r="CF727" s="18"/>
      <c r="CG727" s="18"/>
      <c r="CH727" s="18"/>
      <c r="CI727" s="18"/>
      <c r="CJ727" s="18"/>
      <c r="CK727" s="18"/>
      <c r="CL727" s="18"/>
      <c r="CM727" s="18"/>
      <c r="CN727" s="18"/>
      <c r="CO727" s="18"/>
      <c r="CP727" s="18"/>
      <c r="CQ727" s="18"/>
      <c r="CR727" s="18"/>
      <c r="CS727" s="18"/>
      <c r="CT727" s="18"/>
      <c r="CU727" s="18"/>
    </row>
    <row r="728" spans="1:99">
      <c r="A728" s="19"/>
      <c r="B728" s="19"/>
      <c r="C728" s="19"/>
      <c r="D728" s="19"/>
      <c r="E728" s="19"/>
      <c r="F728" s="19"/>
      <c r="G728" s="19"/>
      <c r="H728" s="19"/>
      <c r="I728" s="19"/>
      <c r="J728" s="19"/>
      <c r="K728" s="18"/>
      <c r="L728" s="18"/>
      <c r="M728" s="18"/>
      <c r="N728" s="18"/>
      <c r="O728" s="18"/>
      <c r="P728" s="18"/>
      <c r="Q728" s="18"/>
      <c r="R728" s="18"/>
      <c r="S728" s="18"/>
      <c r="T728" s="18"/>
      <c r="U728" s="18"/>
      <c r="V728" s="18"/>
      <c r="W728" s="18"/>
      <c r="X728" s="18"/>
      <c r="Y728" s="18"/>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c r="BC728" s="18"/>
      <c r="BD728" s="18"/>
      <c r="BE728" s="18"/>
      <c r="BF728" s="18"/>
      <c r="BG728" s="18"/>
      <c r="BH728" s="18"/>
      <c r="BI728" s="18"/>
      <c r="BJ728" s="18"/>
      <c r="BK728" s="18"/>
      <c r="BL728" s="18"/>
      <c r="BM728" s="18"/>
      <c r="BN728" s="18"/>
      <c r="BO728" s="18"/>
      <c r="BP728" s="18"/>
      <c r="BQ728" s="18"/>
      <c r="BR728" s="18"/>
      <c r="BS728" s="18"/>
      <c r="BT728" s="18"/>
      <c r="BU728" s="18"/>
      <c r="BV728" s="18"/>
      <c r="BW728" s="18"/>
      <c r="BX728" s="18"/>
      <c r="BY728" s="18"/>
      <c r="BZ728" s="18"/>
      <c r="CA728" s="18"/>
      <c r="CB728" s="18"/>
      <c r="CC728" s="18"/>
      <c r="CD728" s="18"/>
      <c r="CE728" s="18"/>
      <c r="CF728" s="18"/>
      <c r="CG728" s="18"/>
      <c r="CH728" s="18"/>
      <c r="CI728" s="18"/>
      <c r="CJ728" s="18"/>
      <c r="CK728" s="18"/>
      <c r="CL728" s="18"/>
      <c r="CM728" s="18"/>
      <c r="CN728" s="18"/>
      <c r="CO728" s="18"/>
      <c r="CP728" s="18"/>
      <c r="CQ728" s="18"/>
      <c r="CR728" s="18"/>
      <c r="CS728" s="18"/>
      <c r="CT728" s="18"/>
      <c r="CU728" s="18"/>
    </row>
    <row r="729" spans="1:99">
      <c r="A729" s="19"/>
      <c r="B729" s="19"/>
      <c r="C729" s="19"/>
      <c r="D729" s="19"/>
      <c r="E729" s="19"/>
      <c r="F729" s="19"/>
      <c r="G729" s="19"/>
      <c r="H729" s="19"/>
      <c r="I729" s="19"/>
      <c r="J729" s="19"/>
      <c r="K729" s="18"/>
      <c r="L729" s="18"/>
      <c r="M729" s="18"/>
      <c r="N729" s="18"/>
      <c r="O729" s="18"/>
      <c r="P729" s="18"/>
      <c r="Q729" s="18"/>
      <c r="R729" s="18"/>
      <c r="S729" s="18"/>
      <c r="T729" s="18"/>
      <c r="U729" s="18"/>
      <c r="V729" s="18"/>
      <c r="W729" s="18"/>
      <c r="X729" s="18"/>
      <c r="Y729" s="18"/>
      <c r="Z729" s="18"/>
      <c r="AA729" s="18"/>
      <c r="AB729" s="18"/>
      <c r="AC729" s="18"/>
      <c r="AD729" s="18"/>
      <c r="AE729" s="18"/>
      <c r="AF729" s="18"/>
      <c r="AG729" s="18"/>
      <c r="AH729" s="18"/>
      <c r="AI729" s="18"/>
      <c r="AJ729" s="18"/>
      <c r="AK729" s="18"/>
      <c r="AL729" s="18"/>
      <c r="AM729" s="18"/>
      <c r="AN729" s="18"/>
      <c r="AO729" s="18"/>
      <c r="AP729" s="18"/>
      <c r="AQ729" s="18"/>
      <c r="AR729" s="18"/>
      <c r="AS729" s="18"/>
      <c r="AT729" s="18"/>
      <c r="AU729" s="18"/>
      <c r="AV729" s="18"/>
      <c r="AW729" s="18"/>
      <c r="AX729" s="18"/>
      <c r="AY729" s="18"/>
      <c r="AZ729" s="18"/>
      <c r="BA729" s="18"/>
      <c r="BB729" s="18"/>
      <c r="BC729" s="18"/>
      <c r="BD729" s="18"/>
      <c r="BE729" s="18"/>
      <c r="BF729" s="18"/>
      <c r="BG729" s="18"/>
      <c r="BH729" s="18"/>
      <c r="BI729" s="18"/>
      <c r="BJ729" s="18"/>
      <c r="BK729" s="18"/>
      <c r="BL729" s="18"/>
      <c r="BM729" s="18"/>
      <c r="BN729" s="18"/>
      <c r="BO729" s="18"/>
      <c r="BP729" s="18"/>
      <c r="BQ729" s="18"/>
      <c r="BR729" s="18"/>
      <c r="BS729" s="18"/>
      <c r="BT729" s="18"/>
      <c r="BU729" s="18"/>
      <c r="BV729" s="18"/>
      <c r="BW729" s="18"/>
      <c r="BX729" s="18"/>
      <c r="BY729" s="18"/>
      <c r="BZ729" s="18"/>
      <c r="CA729" s="18"/>
      <c r="CB729" s="18"/>
      <c r="CC729" s="18"/>
      <c r="CD729" s="18"/>
      <c r="CE729" s="18"/>
      <c r="CF729" s="18"/>
      <c r="CG729" s="18"/>
      <c r="CH729" s="18"/>
      <c r="CI729" s="18"/>
      <c r="CJ729" s="18"/>
      <c r="CK729" s="18"/>
      <c r="CL729" s="18"/>
      <c r="CM729" s="18"/>
      <c r="CN729" s="18"/>
      <c r="CO729" s="18"/>
      <c r="CP729" s="18"/>
      <c r="CQ729" s="18"/>
      <c r="CR729" s="18"/>
      <c r="CS729" s="18"/>
      <c r="CT729" s="18"/>
      <c r="CU729" s="18"/>
    </row>
    <row r="730" spans="1:99">
      <c r="A730" s="19"/>
      <c r="B730" s="19"/>
      <c r="C730" s="19"/>
      <c r="D730" s="19"/>
      <c r="E730" s="19"/>
      <c r="F730" s="19"/>
      <c r="G730" s="19"/>
      <c r="H730" s="19"/>
      <c r="I730" s="19"/>
      <c r="J730" s="19"/>
      <c r="K730" s="18"/>
      <c r="L730" s="18"/>
      <c r="M730" s="18"/>
      <c r="N730" s="18"/>
      <c r="O730" s="18"/>
      <c r="P730" s="18"/>
      <c r="Q730" s="18"/>
      <c r="R730" s="18"/>
      <c r="S730" s="18"/>
      <c r="T730" s="18"/>
      <c r="U730" s="18"/>
      <c r="V730" s="18"/>
      <c r="W730" s="18"/>
      <c r="X730" s="18"/>
      <c r="Y730" s="18"/>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c r="BC730" s="18"/>
      <c r="BD730" s="18"/>
      <c r="BE730" s="18"/>
      <c r="BF730" s="18"/>
      <c r="BG730" s="18"/>
      <c r="BH730" s="18"/>
      <c r="BI730" s="18"/>
      <c r="BJ730" s="18"/>
      <c r="BK730" s="18"/>
      <c r="BL730" s="18"/>
      <c r="BM730" s="18"/>
      <c r="BN730" s="18"/>
      <c r="BO730" s="18"/>
      <c r="BP730" s="18"/>
      <c r="BQ730" s="18"/>
      <c r="BR730" s="18"/>
      <c r="BS730" s="18"/>
      <c r="BT730" s="18"/>
      <c r="BU730" s="18"/>
      <c r="BV730" s="18"/>
      <c r="BW730" s="18"/>
      <c r="BX730" s="18"/>
      <c r="BY730" s="18"/>
      <c r="BZ730" s="18"/>
      <c r="CA730" s="18"/>
      <c r="CB730" s="18"/>
      <c r="CC730" s="18"/>
      <c r="CD730" s="18"/>
      <c r="CE730" s="18"/>
      <c r="CF730" s="18"/>
      <c r="CG730" s="18"/>
      <c r="CH730" s="18"/>
      <c r="CI730" s="18"/>
      <c r="CJ730" s="18"/>
      <c r="CK730" s="18"/>
      <c r="CL730" s="18"/>
      <c r="CM730" s="18"/>
      <c r="CN730" s="18"/>
      <c r="CO730" s="18"/>
      <c r="CP730" s="18"/>
      <c r="CQ730" s="18"/>
      <c r="CR730" s="18"/>
      <c r="CS730" s="18"/>
      <c r="CT730" s="18"/>
      <c r="CU730" s="18"/>
    </row>
    <row r="731" spans="1:99">
      <c r="A731" s="19"/>
      <c r="B731" s="19"/>
      <c r="C731" s="19"/>
      <c r="D731" s="19"/>
      <c r="E731" s="19"/>
      <c r="F731" s="19"/>
      <c r="G731" s="19"/>
      <c r="H731" s="19"/>
      <c r="I731" s="19"/>
      <c r="J731" s="19"/>
      <c r="K731" s="18"/>
      <c r="L731" s="18"/>
      <c r="M731" s="18"/>
      <c r="N731" s="18"/>
      <c r="O731" s="18"/>
      <c r="P731" s="18"/>
      <c r="Q731" s="18"/>
      <c r="R731" s="18"/>
      <c r="S731" s="18"/>
      <c r="T731" s="18"/>
      <c r="U731" s="18"/>
      <c r="V731" s="18"/>
      <c r="W731" s="18"/>
      <c r="X731" s="18"/>
      <c r="Y731" s="18"/>
      <c r="Z731" s="18"/>
      <c r="AA731" s="18"/>
      <c r="AB731" s="18"/>
      <c r="AC731" s="18"/>
      <c r="AD731" s="18"/>
      <c r="AE731" s="18"/>
      <c r="AF731" s="18"/>
      <c r="AG731" s="18"/>
      <c r="AH731" s="18"/>
      <c r="AI731" s="18"/>
      <c r="AJ731" s="18"/>
      <c r="AK731" s="18"/>
      <c r="AL731" s="18"/>
      <c r="AM731" s="18"/>
      <c r="AN731" s="18"/>
      <c r="AO731" s="18"/>
      <c r="AP731" s="18"/>
      <c r="AQ731" s="18"/>
      <c r="AR731" s="18"/>
      <c r="AS731" s="18"/>
      <c r="AT731" s="18"/>
      <c r="AU731" s="18"/>
      <c r="AV731" s="18"/>
      <c r="AW731" s="18"/>
      <c r="AX731" s="18"/>
      <c r="AY731" s="18"/>
      <c r="AZ731" s="18"/>
      <c r="BA731" s="18"/>
      <c r="BB731" s="18"/>
      <c r="BC731" s="18"/>
      <c r="BD731" s="18"/>
      <c r="BE731" s="18"/>
      <c r="BF731" s="18"/>
      <c r="BG731" s="18"/>
      <c r="BH731" s="18"/>
      <c r="BI731" s="18"/>
      <c r="BJ731" s="18"/>
      <c r="BK731" s="18"/>
      <c r="BL731" s="18"/>
      <c r="BM731" s="18"/>
      <c r="BN731" s="18"/>
      <c r="BO731" s="18"/>
      <c r="BP731" s="18"/>
      <c r="BQ731" s="18"/>
      <c r="BR731" s="18"/>
      <c r="BS731" s="18"/>
      <c r="BT731" s="18"/>
      <c r="BU731" s="18"/>
      <c r="BV731" s="18"/>
      <c r="BW731" s="18"/>
      <c r="BX731" s="18"/>
      <c r="BY731" s="18"/>
      <c r="BZ731" s="18"/>
      <c r="CA731" s="18"/>
      <c r="CB731" s="18"/>
      <c r="CC731" s="18"/>
      <c r="CD731" s="18"/>
      <c r="CE731" s="18"/>
      <c r="CF731" s="18"/>
      <c r="CG731" s="18"/>
      <c r="CH731" s="18"/>
      <c r="CI731" s="18"/>
      <c r="CJ731" s="18"/>
      <c r="CK731" s="18"/>
      <c r="CL731" s="18"/>
      <c r="CM731" s="18"/>
      <c r="CN731" s="18"/>
      <c r="CO731" s="18"/>
      <c r="CP731" s="18"/>
      <c r="CQ731" s="18"/>
      <c r="CR731" s="18"/>
      <c r="CS731" s="18"/>
      <c r="CT731" s="18"/>
      <c r="CU731" s="18"/>
    </row>
    <row r="732" spans="1:99">
      <c r="A732" s="19"/>
      <c r="B732" s="19"/>
      <c r="C732" s="19"/>
      <c r="D732" s="19"/>
      <c r="E732" s="19"/>
      <c r="F732" s="19"/>
      <c r="G732" s="19"/>
      <c r="H732" s="19"/>
      <c r="I732" s="19"/>
      <c r="J732" s="19"/>
      <c r="K732" s="18"/>
      <c r="L732" s="18"/>
      <c r="M732" s="18"/>
      <c r="N732" s="18"/>
      <c r="O732" s="18"/>
      <c r="P732" s="18"/>
      <c r="Q732" s="18"/>
      <c r="R732" s="18"/>
      <c r="S732" s="18"/>
      <c r="T732" s="18"/>
      <c r="U732" s="18"/>
      <c r="V732" s="18"/>
      <c r="W732" s="18"/>
      <c r="X732" s="18"/>
      <c r="Y732" s="18"/>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c r="BC732" s="18"/>
      <c r="BD732" s="18"/>
      <c r="BE732" s="18"/>
      <c r="BF732" s="18"/>
      <c r="BG732" s="18"/>
      <c r="BH732" s="18"/>
      <c r="BI732" s="18"/>
      <c r="BJ732" s="18"/>
      <c r="BK732" s="18"/>
      <c r="BL732" s="18"/>
      <c r="BM732" s="18"/>
      <c r="BN732" s="18"/>
      <c r="BO732" s="18"/>
      <c r="BP732" s="18"/>
      <c r="BQ732" s="18"/>
      <c r="BR732" s="18"/>
      <c r="BS732" s="18"/>
      <c r="BT732" s="18"/>
      <c r="BU732" s="18"/>
      <c r="BV732" s="18"/>
      <c r="BW732" s="18"/>
      <c r="BX732" s="18"/>
      <c r="BY732" s="18"/>
      <c r="BZ732" s="18"/>
      <c r="CA732" s="18"/>
      <c r="CB732" s="18"/>
      <c r="CC732" s="18"/>
      <c r="CD732" s="18"/>
      <c r="CE732" s="18"/>
      <c r="CF732" s="18"/>
      <c r="CG732" s="18"/>
      <c r="CH732" s="18"/>
      <c r="CI732" s="18"/>
      <c r="CJ732" s="18"/>
      <c r="CK732" s="18"/>
      <c r="CL732" s="18"/>
      <c r="CM732" s="18"/>
      <c r="CN732" s="18"/>
      <c r="CO732" s="18"/>
      <c r="CP732" s="18"/>
      <c r="CQ732" s="18"/>
      <c r="CR732" s="18"/>
      <c r="CS732" s="18"/>
      <c r="CT732" s="18"/>
      <c r="CU732" s="18"/>
    </row>
    <row r="733" spans="1:99">
      <c r="A733" s="19"/>
      <c r="B733" s="19"/>
      <c r="C733" s="19"/>
      <c r="D733" s="19"/>
      <c r="E733" s="19"/>
      <c r="F733" s="19"/>
      <c r="G733" s="19"/>
      <c r="H733" s="19"/>
      <c r="I733" s="19"/>
      <c r="J733" s="19"/>
      <c r="K733" s="18"/>
      <c r="L733" s="18"/>
      <c r="M733" s="18"/>
      <c r="N733" s="18"/>
      <c r="O733" s="18"/>
      <c r="P733" s="18"/>
      <c r="Q733" s="18"/>
      <c r="R733" s="18"/>
      <c r="S733" s="18"/>
      <c r="T733" s="18"/>
      <c r="U733" s="18"/>
      <c r="V733" s="18"/>
      <c r="W733" s="18"/>
      <c r="X733" s="18"/>
      <c r="Y733" s="18"/>
      <c r="Z733" s="18"/>
      <c r="AA733" s="18"/>
      <c r="AB733" s="18"/>
      <c r="AC733" s="18"/>
      <c r="AD733" s="18"/>
      <c r="AE733" s="18"/>
      <c r="AF733" s="18"/>
      <c r="AG733" s="18"/>
      <c r="AH733" s="18"/>
      <c r="AI733" s="18"/>
      <c r="AJ733" s="18"/>
      <c r="AK733" s="18"/>
      <c r="AL733" s="18"/>
      <c r="AM733" s="18"/>
      <c r="AN733" s="18"/>
      <c r="AO733" s="18"/>
      <c r="AP733" s="18"/>
      <c r="AQ733" s="18"/>
      <c r="AR733" s="18"/>
      <c r="AS733" s="18"/>
      <c r="AT733" s="18"/>
      <c r="AU733" s="18"/>
      <c r="AV733" s="18"/>
      <c r="AW733" s="18"/>
      <c r="AX733" s="18"/>
      <c r="AY733" s="18"/>
      <c r="AZ733" s="18"/>
      <c r="BA733" s="18"/>
      <c r="BB733" s="18"/>
      <c r="BC733" s="18"/>
      <c r="BD733" s="18"/>
      <c r="BE733" s="18"/>
      <c r="BF733" s="18"/>
      <c r="BG733" s="18"/>
      <c r="BH733" s="18"/>
      <c r="BI733" s="18"/>
      <c r="BJ733" s="18"/>
      <c r="BK733" s="18"/>
      <c r="BL733" s="18"/>
      <c r="BM733" s="18"/>
      <c r="BN733" s="18"/>
      <c r="BO733" s="18"/>
      <c r="BP733" s="18"/>
      <c r="BQ733" s="18"/>
      <c r="BR733" s="18"/>
      <c r="BS733" s="18"/>
      <c r="BT733" s="18"/>
      <c r="BU733" s="18"/>
      <c r="BV733" s="18"/>
      <c r="BW733" s="18"/>
      <c r="BX733" s="18"/>
      <c r="BY733" s="18"/>
      <c r="BZ733" s="18"/>
      <c r="CA733" s="18"/>
      <c r="CB733" s="18"/>
      <c r="CC733" s="18"/>
      <c r="CD733" s="18"/>
      <c r="CE733" s="18"/>
      <c r="CF733" s="18"/>
      <c r="CG733" s="18"/>
      <c r="CH733" s="18"/>
      <c r="CI733" s="18"/>
      <c r="CJ733" s="18"/>
      <c r="CK733" s="18"/>
      <c r="CL733" s="18"/>
      <c r="CM733" s="18"/>
      <c r="CN733" s="18"/>
      <c r="CO733" s="18"/>
      <c r="CP733" s="18"/>
      <c r="CQ733" s="18"/>
      <c r="CR733" s="18"/>
      <c r="CS733" s="18"/>
      <c r="CT733" s="18"/>
      <c r="CU733" s="18"/>
    </row>
    <row r="734" spans="1:99">
      <c r="A734" s="19"/>
      <c r="B734" s="19"/>
      <c r="C734" s="19"/>
      <c r="D734" s="19"/>
      <c r="E734" s="19"/>
      <c r="F734" s="19"/>
      <c r="G734" s="19"/>
      <c r="H734" s="19"/>
      <c r="I734" s="19"/>
      <c r="J734" s="19"/>
      <c r="K734" s="18"/>
      <c r="L734" s="18"/>
      <c r="M734" s="18"/>
      <c r="N734" s="18"/>
      <c r="O734" s="18"/>
      <c r="P734" s="18"/>
      <c r="Q734" s="18"/>
      <c r="R734" s="18"/>
      <c r="S734" s="18"/>
      <c r="T734" s="18"/>
      <c r="U734" s="18"/>
      <c r="V734" s="18"/>
      <c r="W734" s="18"/>
      <c r="X734" s="18"/>
      <c r="Y734" s="18"/>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c r="BC734" s="18"/>
      <c r="BD734" s="18"/>
      <c r="BE734" s="18"/>
      <c r="BF734" s="18"/>
      <c r="BG734" s="18"/>
      <c r="BH734" s="18"/>
      <c r="BI734" s="18"/>
      <c r="BJ734" s="18"/>
      <c r="BK734" s="18"/>
      <c r="BL734" s="18"/>
      <c r="BM734" s="18"/>
      <c r="BN734" s="18"/>
      <c r="BO734" s="18"/>
      <c r="BP734" s="18"/>
      <c r="BQ734" s="18"/>
      <c r="BR734" s="18"/>
      <c r="BS734" s="18"/>
      <c r="BT734" s="18"/>
      <c r="BU734" s="18"/>
      <c r="BV734" s="18"/>
      <c r="BW734" s="18"/>
      <c r="BX734" s="18"/>
      <c r="BY734" s="18"/>
      <c r="BZ734" s="18"/>
      <c r="CA734" s="18"/>
      <c r="CB734" s="18"/>
      <c r="CC734" s="18"/>
      <c r="CD734" s="18"/>
      <c r="CE734" s="18"/>
      <c r="CF734" s="18"/>
      <c r="CG734" s="18"/>
      <c r="CH734" s="18"/>
      <c r="CI734" s="18"/>
      <c r="CJ734" s="18"/>
      <c r="CK734" s="18"/>
      <c r="CL734" s="18"/>
      <c r="CM734" s="18"/>
      <c r="CN734" s="18"/>
      <c r="CO734" s="18"/>
      <c r="CP734" s="18"/>
      <c r="CQ734" s="18"/>
      <c r="CR734" s="18"/>
      <c r="CS734" s="18"/>
      <c r="CT734" s="18"/>
      <c r="CU734" s="18"/>
    </row>
    <row r="735" spans="1:99">
      <c r="A735" s="19"/>
      <c r="B735" s="19"/>
      <c r="C735" s="19"/>
      <c r="D735" s="19"/>
      <c r="E735" s="19"/>
      <c r="F735" s="19"/>
      <c r="G735" s="19"/>
      <c r="H735" s="19"/>
      <c r="I735" s="19"/>
      <c r="J735" s="19"/>
      <c r="K735" s="18"/>
      <c r="L735" s="18"/>
      <c r="M735" s="18"/>
      <c r="N735" s="18"/>
      <c r="O735" s="18"/>
      <c r="P735" s="18"/>
      <c r="Q735" s="18"/>
      <c r="R735" s="18"/>
      <c r="S735" s="18"/>
      <c r="T735" s="18"/>
      <c r="U735" s="18"/>
      <c r="V735" s="18"/>
      <c r="W735" s="18"/>
      <c r="X735" s="18"/>
      <c r="Y735" s="18"/>
      <c r="Z735" s="18"/>
      <c r="AA735" s="18"/>
      <c r="AB735" s="18"/>
      <c r="AC735" s="18"/>
      <c r="AD735" s="18"/>
      <c r="AE735" s="18"/>
      <c r="AF735" s="18"/>
      <c r="AG735" s="18"/>
      <c r="AH735" s="18"/>
      <c r="AI735" s="18"/>
      <c r="AJ735" s="18"/>
      <c r="AK735" s="18"/>
      <c r="AL735" s="18"/>
      <c r="AM735" s="18"/>
      <c r="AN735" s="18"/>
      <c r="AO735" s="18"/>
      <c r="AP735" s="18"/>
      <c r="AQ735" s="18"/>
      <c r="AR735" s="18"/>
      <c r="AS735" s="18"/>
      <c r="AT735" s="18"/>
      <c r="AU735" s="18"/>
      <c r="AV735" s="18"/>
      <c r="AW735" s="18"/>
      <c r="AX735" s="18"/>
      <c r="AY735" s="18"/>
      <c r="AZ735" s="18"/>
      <c r="BA735" s="18"/>
      <c r="BB735" s="18"/>
      <c r="BC735" s="18"/>
      <c r="BD735" s="18"/>
      <c r="BE735" s="18"/>
      <c r="BF735" s="18"/>
      <c r="BG735" s="18"/>
      <c r="BH735" s="18"/>
      <c r="BI735" s="18"/>
      <c r="BJ735" s="18"/>
      <c r="BK735" s="18"/>
      <c r="BL735" s="18"/>
      <c r="BM735" s="18"/>
      <c r="BN735" s="18"/>
      <c r="BO735" s="18"/>
      <c r="BP735" s="18"/>
      <c r="BQ735" s="18"/>
      <c r="BR735" s="18"/>
      <c r="BS735" s="18"/>
      <c r="BT735" s="18"/>
      <c r="BU735" s="18"/>
      <c r="BV735" s="18"/>
      <c r="BW735" s="18"/>
      <c r="BX735" s="18"/>
      <c r="BY735" s="18"/>
      <c r="BZ735" s="18"/>
      <c r="CA735" s="18"/>
      <c r="CB735" s="18"/>
      <c r="CC735" s="18"/>
      <c r="CD735" s="18"/>
      <c r="CE735" s="18"/>
      <c r="CF735" s="18"/>
      <c r="CG735" s="18"/>
      <c r="CH735" s="18"/>
      <c r="CI735" s="18"/>
      <c r="CJ735" s="18"/>
      <c r="CK735" s="18"/>
      <c r="CL735" s="18"/>
      <c r="CM735" s="18"/>
      <c r="CN735" s="18"/>
      <c r="CO735" s="18"/>
      <c r="CP735" s="18"/>
      <c r="CQ735" s="18"/>
      <c r="CR735" s="18"/>
      <c r="CS735" s="18"/>
      <c r="CT735" s="18"/>
      <c r="CU735" s="18"/>
    </row>
    <row r="736" spans="1:99">
      <c r="A736" s="19"/>
      <c r="B736" s="19"/>
      <c r="C736" s="19"/>
      <c r="D736" s="19"/>
      <c r="E736" s="19"/>
      <c r="F736" s="19"/>
      <c r="G736" s="19"/>
      <c r="H736" s="19"/>
      <c r="I736" s="19"/>
      <c r="J736" s="19"/>
      <c r="K736" s="18"/>
      <c r="L736" s="18"/>
      <c r="M736" s="18"/>
      <c r="N736" s="18"/>
      <c r="O736" s="18"/>
      <c r="P736" s="18"/>
      <c r="Q736" s="18"/>
      <c r="R736" s="18"/>
      <c r="S736" s="18"/>
      <c r="T736" s="18"/>
      <c r="U736" s="18"/>
      <c r="V736" s="18"/>
      <c r="W736" s="18"/>
      <c r="X736" s="18"/>
      <c r="Y736" s="18"/>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c r="BC736" s="18"/>
      <c r="BD736" s="18"/>
      <c r="BE736" s="18"/>
      <c r="BF736" s="18"/>
      <c r="BG736" s="18"/>
      <c r="BH736" s="18"/>
      <c r="BI736" s="18"/>
      <c r="BJ736" s="18"/>
      <c r="BK736" s="18"/>
      <c r="BL736" s="18"/>
      <c r="BM736" s="18"/>
      <c r="BN736" s="18"/>
      <c r="BO736" s="18"/>
      <c r="BP736" s="18"/>
      <c r="BQ736" s="18"/>
      <c r="BR736" s="18"/>
      <c r="BS736" s="18"/>
      <c r="BT736" s="18"/>
      <c r="BU736" s="18"/>
      <c r="BV736" s="18"/>
      <c r="BW736" s="18"/>
      <c r="BX736" s="18"/>
      <c r="BY736" s="18"/>
      <c r="BZ736" s="18"/>
      <c r="CA736" s="18"/>
      <c r="CB736" s="18"/>
      <c r="CC736" s="18"/>
      <c r="CD736" s="18"/>
      <c r="CE736" s="18"/>
      <c r="CF736" s="18"/>
      <c r="CG736" s="18"/>
      <c r="CH736" s="18"/>
      <c r="CI736" s="18"/>
      <c r="CJ736" s="18"/>
      <c r="CK736" s="18"/>
      <c r="CL736" s="18"/>
      <c r="CM736" s="18"/>
      <c r="CN736" s="18"/>
      <c r="CO736" s="18"/>
      <c r="CP736" s="18"/>
      <c r="CQ736" s="18"/>
      <c r="CR736" s="18"/>
      <c r="CS736" s="18"/>
      <c r="CT736" s="18"/>
      <c r="CU736" s="18"/>
    </row>
    <row r="737" spans="1:99">
      <c r="A737" s="19"/>
      <c r="B737" s="19"/>
      <c r="C737" s="19"/>
      <c r="D737" s="19"/>
      <c r="E737" s="19"/>
      <c r="F737" s="19"/>
      <c r="G737" s="19"/>
      <c r="H737" s="19"/>
      <c r="I737" s="19"/>
      <c r="J737" s="19"/>
      <c r="K737" s="18"/>
      <c r="L737" s="18"/>
      <c r="M737" s="18"/>
      <c r="N737" s="18"/>
      <c r="O737" s="18"/>
      <c r="P737" s="18"/>
      <c r="Q737" s="18"/>
      <c r="R737" s="18"/>
      <c r="S737" s="18"/>
      <c r="T737" s="18"/>
      <c r="U737" s="18"/>
      <c r="V737" s="18"/>
      <c r="W737" s="18"/>
      <c r="X737" s="18"/>
      <c r="Y737" s="18"/>
      <c r="Z737" s="18"/>
      <c r="AA737" s="18"/>
      <c r="AB737" s="18"/>
      <c r="AC737" s="18"/>
      <c r="AD737" s="18"/>
      <c r="AE737" s="18"/>
      <c r="AF737" s="18"/>
      <c r="AG737" s="18"/>
      <c r="AH737" s="18"/>
      <c r="AI737" s="18"/>
      <c r="AJ737" s="18"/>
      <c r="AK737" s="18"/>
      <c r="AL737" s="18"/>
      <c r="AM737" s="18"/>
      <c r="AN737" s="18"/>
      <c r="AO737" s="18"/>
      <c r="AP737" s="18"/>
      <c r="AQ737" s="18"/>
      <c r="AR737" s="18"/>
      <c r="AS737" s="18"/>
      <c r="AT737" s="18"/>
      <c r="AU737" s="18"/>
      <c r="AV737" s="18"/>
      <c r="AW737" s="18"/>
      <c r="AX737" s="18"/>
      <c r="AY737" s="18"/>
      <c r="AZ737" s="18"/>
      <c r="BA737" s="18"/>
      <c r="BB737" s="18"/>
      <c r="BC737" s="18"/>
      <c r="BD737" s="18"/>
      <c r="BE737" s="18"/>
      <c r="BF737" s="18"/>
      <c r="BG737" s="18"/>
      <c r="BH737" s="18"/>
      <c r="BI737" s="18"/>
      <c r="BJ737" s="18"/>
      <c r="BK737" s="18"/>
      <c r="BL737" s="18"/>
      <c r="BM737" s="18"/>
      <c r="BN737" s="18"/>
      <c r="BO737" s="18"/>
      <c r="BP737" s="18"/>
      <c r="BQ737" s="18"/>
      <c r="BR737" s="18"/>
      <c r="BS737" s="18"/>
      <c r="BT737" s="18"/>
      <c r="BU737" s="18"/>
      <c r="BV737" s="18"/>
      <c r="BW737" s="18"/>
      <c r="BX737" s="18"/>
      <c r="BY737" s="18"/>
      <c r="BZ737" s="18"/>
      <c r="CA737" s="18"/>
      <c r="CB737" s="18"/>
      <c r="CC737" s="18"/>
      <c r="CD737" s="18"/>
      <c r="CE737" s="18"/>
      <c r="CF737" s="18"/>
      <c r="CG737" s="18"/>
      <c r="CH737" s="18"/>
      <c r="CI737" s="18"/>
      <c r="CJ737" s="18"/>
      <c r="CK737" s="18"/>
      <c r="CL737" s="18"/>
      <c r="CM737" s="18"/>
      <c r="CN737" s="18"/>
      <c r="CO737" s="18"/>
      <c r="CP737" s="18"/>
      <c r="CQ737" s="18"/>
      <c r="CR737" s="18"/>
      <c r="CS737" s="18"/>
      <c r="CT737" s="18"/>
      <c r="CU737" s="18"/>
    </row>
    <row r="738" spans="1:99">
      <c r="A738" s="19"/>
      <c r="B738" s="19"/>
      <c r="C738" s="19"/>
      <c r="D738" s="19"/>
      <c r="E738" s="19"/>
      <c r="F738" s="19"/>
      <c r="G738" s="19"/>
      <c r="H738" s="19"/>
      <c r="I738" s="19"/>
      <c r="J738" s="19"/>
      <c r="K738" s="18"/>
      <c r="L738" s="18"/>
      <c r="M738" s="18"/>
      <c r="N738" s="18"/>
      <c r="O738" s="18"/>
      <c r="P738" s="18"/>
      <c r="Q738" s="18"/>
      <c r="R738" s="18"/>
      <c r="S738" s="18"/>
      <c r="T738" s="18"/>
      <c r="U738" s="18"/>
      <c r="V738" s="18"/>
      <c r="W738" s="18"/>
      <c r="X738" s="18"/>
      <c r="Y738" s="18"/>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c r="BC738" s="18"/>
      <c r="BD738" s="18"/>
      <c r="BE738" s="18"/>
      <c r="BF738" s="18"/>
      <c r="BG738" s="18"/>
      <c r="BH738" s="18"/>
      <c r="BI738" s="18"/>
      <c r="BJ738" s="18"/>
      <c r="BK738" s="18"/>
      <c r="BL738" s="18"/>
      <c r="BM738" s="18"/>
      <c r="BN738" s="18"/>
      <c r="BO738" s="18"/>
      <c r="BP738" s="18"/>
      <c r="BQ738" s="18"/>
      <c r="BR738" s="18"/>
      <c r="BS738" s="18"/>
      <c r="BT738" s="18"/>
      <c r="BU738" s="18"/>
      <c r="BV738" s="18"/>
      <c r="BW738" s="18"/>
      <c r="BX738" s="18"/>
      <c r="BY738" s="18"/>
      <c r="BZ738" s="18"/>
      <c r="CA738" s="18"/>
      <c r="CB738" s="18"/>
      <c r="CC738" s="18"/>
      <c r="CD738" s="18"/>
      <c r="CE738" s="18"/>
      <c r="CF738" s="18"/>
      <c r="CG738" s="18"/>
      <c r="CH738" s="18"/>
      <c r="CI738" s="18"/>
      <c r="CJ738" s="18"/>
      <c r="CK738" s="18"/>
      <c r="CL738" s="18"/>
      <c r="CM738" s="18"/>
      <c r="CN738" s="18"/>
      <c r="CO738" s="18"/>
      <c r="CP738" s="18"/>
      <c r="CQ738" s="18"/>
      <c r="CR738" s="18"/>
      <c r="CS738" s="18"/>
      <c r="CT738" s="18"/>
      <c r="CU738" s="18"/>
    </row>
    <row r="739" spans="1:99">
      <c r="A739" s="19"/>
      <c r="B739" s="19"/>
      <c r="C739" s="19"/>
      <c r="D739" s="19"/>
      <c r="E739" s="19"/>
      <c r="F739" s="19"/>
      <c r="G739" s="19"/>
      <c r="H739" s="19"/>
      <c r="I739" s="19"/>
      <c r="J739" s="19"/>
      <c r="K739" s="18"/>
      <c r="L739" s="18"/>
      <c r="M739" s="18"/>
      <c r="N739" s="18"/>
      <c r="O739" s="18"/>
      <c r="P739" s="18"/>
      <c r="Q739" s="18"/>
      <c r="R739" s="18"/>
      <c r="S739" s="18"/>
      <c r="T739" s="18"/>
      <c r="U739" s="18"/>
      <c r="V739" s="18"/>
      <c r="W739" s="18"/>
      <c r="X739" s="18"/>
      <c r="Y739" s="18"/>
      <c r="Z739" s="18"/>
      <c r="AA739" s="18"/>
      <c r="AB739" s="18"/>
      <c r="AC739" s="18"/>
      <c r="AD739" s="18"/>
      <c r="AE739" s="18"/>
      <c r="AF739" s="18"/>
      <c r="AG739" s="18"/>
      <c r="AH739" s="18"/>
      <c r="AI739" s="18"/>
      <c r="AJ739" s="18"/>
      <c r="AK739" s="18"/>
      <c r="AL739" s="18"/>
      <c r="AM739" s="18"/>
      <c r="AN739" s="18"/>
      <c r="AO739" s="18"/>
      <c r="AP739" s="18"/>
      <c r="AQ739" s="18"/>
      <c r="AR739" s="18"/>
      <c r="AS739" s="18"/>
      <c r="AT739" s="18"/>
      <c r="AU739" s="18"/>
      <c r="AV739" s="18"/>
      <c r="AW739" s="18"/>
      <c r="AX739" s="18"/>
      <c r="AY739" s="18"/>
      <c r="AZ739" s="18"/>
      <c r="BA739" s="18"/>
      <c r="BB739" s="18"/>
      <c r="BC739" s="18"/>
      <c r="BD739" s="18"/>
      <c r="BE739" s="18"/>
      <c r="BF739" s="18"/>
      <c r="BG739" s="18"/>
      <c r="BH739" s="18"/>
      <c r="BI739" s="18"/>
      <c r="BJ739" s="18"/>
      <c r="BK739" s="18"/>
      <c r="BL739" s="18"/>
      <c r="BM739" s="18"/>
      <c r="BN739" s="18"/>
      <c r="BO739" s="18"/>
      <c r="BP739" s="18"/>
      <c r="BQ739" s="18"/>
      <c r="BR739" s="18"/>
      <c r="BS739" s="18"/>
      <c r="BT739" s="18"/>
      <c r="BU739" s="18"/>
      <c r="BV739" s="18"/>
      <c r="BW739" s="18"/>
      <c r="BX739" s="18"/>
      <c r="BY739" s="18"/>
      <c r="BZ739" s="18"/>
      <c r="CA739" s="18"/>
      <c r="CB739" s="18"/>
      <c r="CC739" s="18"/>
      <c r="CD739" s="18"/>
      <c r="CE739" s="18"/>
      <c r="CF739" s="18"/>
      <c r="CG739" s="18"/>
      <c r="CH739" s="18"/>
      <c r="CI739" s="18"/>
      <c r="CJ739" s="18"/>
      <c r="CK739" s="18"/>
      <c r="CL739" s="18"/>
      <c r="CM739" s="18"/>
      <c r="CN739" s="18"/>
      <c r="CO739" s="18"/>
      <c r="CP739" s="18"/>
      <c r="CQ739" s="18"/>
      <c r="CR739" s="18"/>
      <c r="CS739" s="18"/>
      <c r="CT739" s="18"/>
      <c r="CU739" s="18"/>
    </row>
    <row r="740" spans="1:99">
      <c r="A740" s="19"/>
      <c r="B740" s="19"/>
      <c r="C740" s="19"/>
      <c r="D740" s="19"/>
      <c r="E740" s="19"/>
      <c r="F740" s="19"/>
      <c r="G740" s="19"/>
      <c r="H740" s="19"/>
      <c r="I740" s="19"/>
      <c r="J740" s="19"/>
      <c r="K740" s="18"/>
      <c r="L740" s="18"/>
      <c r="M740" s="18"/>
      <c r="N740" s="18"/>
      <c r="O740" s="18"/>
      <c r="P740" s="18"/>
      <c r="Q740" s="18"/>
      <c r="R740" s="18"/>
      <c r="S740" s="18"/>
      <c r="T740" s="18"/>
      <c r="U740" s="18"/>
      <c r="V740" s="18"/>
      <c r="W740" s="18"/>
      <c r="X740" s="18"/>
      <c r="Y740" s="18"/>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c r="BC740" s="18"/>
      <c r="BD740" s="18"/>
      <c r="BE740" s="18"/>
      <c r="BF740" s="18"/>
      <c r="BG740" s="18"/>
      <c r="BH740" s="18"/>
      <c r="BI740" s="18"/>
      <c r="BJ740" s="18"/>
      <c r="BK740" s="18"/>
      <c r="BL740" s="18"/>
      <c r="BM740" s="18"/>
      <c r="BN740" s="18"/>
      <c r="BO740" s="18"/>
      <c r="BP740" s="18"/>
      <c r="BQ740" s="18"/>
      <c r="BR740" s="18"/>
      <c r="BS740" s="18"/>
      <c r="BT740" s="18"/>
      <c r="BU740" s="18"/>
      <c r="BV740" s="18"/>
      <c r="BW740" s="18"/>
      <c r="BX740" s="18"/>
      <c r="BY740" s="18"/>
      <c r="BZ740" s="18"/>
      <c r="CA740" s="18"/>
      <c r="CB740" s="18"/>
      <c r="CC740" s="18"/>
      <c r="CD740" s="18"/>
      <c r="CE740" s="18"/>
      <c r="CF740" s="18"/>
      <c r="CG740" s="18"/>
      <c r="CH740" s="18"/>
      <c r="CI740" s="18"/>
      <c r="CJ740" s="18"/>
      <c r="CK740" s="18"/>
      <c r="CL740" s="18"/>
      <c r="CM740" s="18"/>
      <c r="CN740" s="18"/>
      <c r="CO740" s="18"/>
      <c r="CP740" s="18"/>
      <c r="CQ740" s="18"/>
      <c r="CR740" s="18"/>
      <c r="CS740" s="18"/>
      <c r="CT740" s="18"/>
      <c r="CU740" s="18"/>
    </row>
    <row r="741" spans="1:99">
      <c r="A741" s="19"/>
      <c r="B741" s="19"/>
      <c r="C741" s="19"/>
      <c r="D741" s="19"/>
      <c r="E741" s="19"/>
      <c r="F741" s="19"/>
      <c r="G741" s="19"/>
      <c r="H741" s="19"/>
      <c r="I741" s="19"/>
      <c r="J741" s="19"/>
      <c r="K741" s="18"/>
      <c r="L741" s="18"/>
      <c r="M741" s="18"/>
      <c r="N741" s="18"/>
      <c r="O741" s="18"/>
      <c r="P741" s="18"/>
      <c r="Q741" s="18"/>
      <c r="R741" s="18"/>
      <c r="S741" s="18"/>
      <c r="T741" s="18"/>
      <c r="U741" s="18"/>
      <c r="V741" s="18"/>
      <c r="W741" s="18"/>
      <c r="X741" s="18"/>
      <c r="Y741" s="18"/>
      <c r="Z741" s="18"/>
      <c r="AA741" s="18"/>
      <c r="AB741" s="18"/>
      <c r="AC741" s="18"/>
      <c r="AD741" s="18"/>
      <c r="AE741" s="18"/>
      <c r="AF741" s="18"/>
      <c r="AG741" s="18"/>
      <c r="AH741" s="18"/>
      <c r="AI741" s="18"/>
      <c r="AJ741" s="18"/>
      <c r="AK741" s="18"/>
      <c r="AL741" s="18"/>
      <c r="AM741" s="18"/>
      <c r="AN741" s="18"/>
      <c r="AO741" s="18"/>
      <c r="AP741" s="18"/>
      <c r="AQ741" s="18"/>
      <c r="AR741" s="18"/>
      <c r="AS741" s="18"/>
      <c r="AT741" s="18"/>
      <c r="AU741" s="18"/>
      <c r="AV741" s="18"/>
      <c r="AW741" s="18"/>
      <c r="AX741" s="18"/>
      <c r="AY741" s="18"/>
      <c r="AZ741" s="18"/>
      <c r="BA741" s="18"/>
      <c r="BB741" s="18"/>
      <c r="BC741" s="18"/>
      <c r="BD741" s="18"/>
      <c r="BE741" s="18"/>
      <c r="BF741" s="18"/>
      <c r="BG741" s="18"/>
      <c r="BH741" s="18"/>
      <c r="BI741" s="18"/>
      <c r="BJ741" s="18"/>
      <c r="BK741" s="18"/>
      <c r="BL741" s="18"/>
      <c r="BM741" s="18"/>
      <c r="BN741" s="18"/>
      <c r="BO741" s="18"/>
      <c r="BP741" s="18"/>
      <c r="BQ741" s="18"/>
      <c r="BR741" s="18"/>
      <c r="BS741" s="18"/>
      <c r="BT741" s="18"/>
      <c r="BU741" s="18"/>
      <c r="BV741" s="18"/>
      <c r="BW741" s="18"/>
      <c r="BX741" s="18"/>
      <c r="BY741" s="18"/>
      <c r="BZ741" s="18"/>
      <c r="CA741" s="18"/>
      <c r="CB741" s="18"/>
      <c r="CC741" s="18"/>
      <c r="CD741" s="18"/>
      <c r="CE741" s="18"/>
      <c r="CF741" s="18"/>
      <c r="CG741" s="18"/>
      <c r="CH741" s="18"/>
      <c r="CI741" s="18"/>
      <c r="CJ741" s="18"/>
      <c r="CK741" s="18"/>
      <c r="CL741" s="18"/>
      <c r="CM741" s="18"/>
      <c r="CN741" s="18"/>
      <c r="CO741" s="18"/>
      <c r="CP741" s="18"/>
      <c r="CQ741" s="18"/>
      <c r="CR741" s="18"/>
      <c r="CS741" s="18"/>
      <c r="CT741" s="18"/>
      <c r="CU741" s="18"/>
    </row>
    <row r="742" spans="1:99">
      <c r="A742" s="19"/>
      <c r="B742" s="19"/>
      <c r="C742" s="19"/>
      <c r="D742" s="19"/>
      <c r="E742" s="19"/>
      <c r="F742" s="19"/>
      <c r="G742" s="19"/>
      <c r="H742" s="19"/>
      <c r="I742" s="19"/>
      <c r="J742" s="19"/>
      <c r="K742" s="18"/>
      <c r="L742" s="18"/>
      <c r="M742" s="18"/>
      <c r="N742" s="18"/>
      <c r="O742" s="18"/>
      <c r="P742" s="18"/>
      <c r="Q742" s="18"/>
      <c r="R742" s="18"/>
      <c r="S742" s="18"/>
      <c r="T742" s="18"/>
      <c r="U742" s="18"/>
      <c r="V742" s="18"/>
      <c r="W742" s="18"/>
      <c r="X742" s="18"/>
      <c r="Y742" s="18"/>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c r="BC742" s="18"/>
      <c r="BD742" s="18"/>
      <c r="BE742" s="18"/>
      <c r="BF742" s="18"/>
      <c r="BG742" s="18"/>
      <c r="BH742" s="18"/>
      <c r="BI742" s="18"/>
      <c r="BJ742" s="18"/>
      <c r="BK742" s="18"/>
      <c r="BL742" s="18"/>
      <c r="BM742" s="18"/>
      <c r="BN742" s="18"/>
      <c r="BO742" s="18"/>
      <c r="BP742" s="18"/>
      <c r="BQ742" s="18"/>
      <c r="BR742" s="18"/>
      <c r="BS742" s="18"/>
      <c r="BT742" s="18"/>
      <c r="BU742" s="18"/>
      <c r="BV742" s="18"/>
      <c r="BW742" s="18"/>
      <c r="BX742" s="18"/>
      <c r="BY742" s="18"/>
      <c r="BZ742" s="18"/>
      <c r="CA742" s="18"/>
      <c r="CB742" s="18"/>
      <c r="CC742" s="18"/>
      <c r="CD742" s="18"/>
      <c r="CE742" s="18"/>
      <c r="CF742" s="18"/>
      <c r="CG742" s="18"/>
      <c r="CH742" s="18"/>
      <c r="CI742" s="18"/>
      <c r="CJ742" s="18"/>
      <c r="CK742" s="18"/>
      <c r="CL742" s="18"/>
      <c r="CM742" s="18"/>
      <c r="CN742" s="18"/>
      <c r="CO742" s="18"/>
      <c r="CP742" s="18"/>
      <c r="CQ742" s="18"/>
      <c r="CR742" s="18"/>
      <c r="CS742" s="18"/>
      <c r="CT742" s="18"/>
      <c r="CU742" s="18"/>
    </row>
    <row r="743" spans="1:99">
      <c r="A743" s="19"/>
      <c r="B743" s="19"/>
      <c r="C743" s="19"/>
      <c r="D743" s="19"/>
      <c r="E743" s="19"/>
      <c r="F743" s="19"/>
      <c r="G743" s="19"/>
      <c r="H743" s="19"/>
      <c r="I743" s="19"/>
      <c r="J743" s="19"/>
      <c r="K743" s="18"/>
      <c r="L743" s="18"/>
      <c r="M743" s="18"/>
      <c r="N743" s="18"/>
      <c r="O743" s="18"/>
      <c r="P743" s="18"/>
      <c r="Q743" s="18"/>
      <c r="R743" s="18"/>
      <c r="S743" s="18"/>
      <c r="T743" s="18"/>
      <c r="U743" s="18"/>
      <c r="V743" s="18"/>
      <c r="W743" s="18"/>
      <c r="X743" s="18"/>
      <c r="Y743" s="18"/>
      <c r="Z743" s="18"/>
      <c r="AA743" s="18"/>
      <c r="AB743" s="18"/>
      <c r="AC743" s="18"/>
      <c r="AD743" s="18"/>
      <c r="AE743" s="18"/>
      <c r="AF743" s="18"/>
      <c r="AG743" s="18"/>
      <c r="AH743" s="18"/>
      <c r="AI743" s="18"/>
      <c r="AJ743" s="18"/>
      <c r="AK743" s="18"/>
      <c r="AL743" s="18"/>
      <c r="AM743" s="18"/>
      <c r="AN743" s="18"/>
      <c r="AO743" s="18"/>
      <c r="AP743" s="18"/>
      <c r="AQ743" s="18"/>
      <c r="AR743" s="18"/>
      <c r="AS743" s="18"/>
      <c r="AT743" s="18"/>
      <c r="AU743" s="18"/>
      <c r="AV743" s="18"/>
      <c r="AW743" s="18"/>
      <c r="AX743" s="18"/>
      <c r="AY743" s="18"/>
      <c r="AZ743" s="18"/>
      <c r="BA743" s="18"/>
      <c r="BB743" s="18"/>
      <c r="BC743" s="18"/>
      <c r="BD743" s="18"/>
      <c r="BE743" s="18"/>
      <c r="BF743" s="18"/>
      <c r="BG743" s="18"/>
      <c r="BH743" s="18"/>
      <c r="BI743" s="18"/>
      <c r="BJ743" s="18"/>
      <c r="BK743" s="18"/>
      <c r="BL743" s="18"/>
      <c r="BM743" s="18"/>
      <c r="BN743" s="18"/>
      <c r="BO743" s="18"/>
      <c r="BP743" s="18"/>
      <c r="BQ743" s="18"/>
      <c r="BR743" s="18"/>
      <c r="BS743" s="18"/>
      <c r="BT743" s="18"/>
      <c r="BU743" s="18"/>
      <c r="BV743" s="18"/>
      <c r="BW743" s="18"/>
      <c r="BX743" s="18"/>
      <c r="BY743" s="18"/>
      <c r="BZ743" s="18"/>
      <c r="CA743" s="18"/>
      <c r="CB743" s="18"/>
      <c r="CC743" s="18"/>
      <c r="CD743" s="18"/>
      <c r="CE743" s="18"/>
      <c r="CF743" s="18"/>
      <c r="CG743" s="18"/>
      <c r="CH743" s="18"/>
      <c r="CI743" s="18"/>
      <c r="CJ743" s="18"/>
      <c r="CK743" s="18"/>
      <c r="CL743" s="18"/>
      <c r="CM743" s="18"/>
      <c r="CN743" s="18"/>
      <c r="CO743" s="18"/>
      <c r="CP743" s="18"/>
      <c r="CQ743" s="18"/>
      <c r="CR743" s="18"/>
      <c r="CS743" s="18"/>
      <c r="CT743" s="18"/>
      <c r="CU743" s="18"/>
    </row>
    <row r="744" spans="1:99">
      <c r="A744" s="19"/>
      <c r="B744" s="19"/>
      <c r="C744" s="19"/>
      <c r="D744" s="19"/>
      <c r="E744" s="19"/>
      <c r="F744" s="19"/>
      <c r="G744" s="19"/>
      <c r="H744" s="19"/>
      <c r="I744" s="19"/>
      <c r="J744" s="19"/>
      <c r="K744" s="18"/>
      <c r="L744" s="18"/>
      <c r="M744" s="18"/>
      <c r="N744" s="18"/>
      <c r="O744" s="18"/>
      <c r="P744" s="18"/>
      <c r="Q744" s="18"/>
      <c r="R744" s="18"/>
      <c r="S744" s="18"/>
      <c r="T744" s="18"/>
      <c r="U744" s="18"/>
      <c r="V744" s="18"/>
      <c r="W744" s="18"/>
      <c r="X744" s="18"/>
      <c r="Y744" s="18"/>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c r="BC744" s="18"/>
      <c r="BD744" s="18"/>
      <c r="BE744" s="18"/>
      <c r="BF744" s="18"/>
      <c r="BG744" s="18"/>
      <c r="BH744" s="18"/>
      <c r="BI744" s="18"/>
      <c r="BJ744" s="18"/>
      <c r="BK744" s="18"/>
      <c r="BL744" s="18"/>
      <c r="BM744" s="18"/>
      <c r="BN744" s="18"/>
      <c r="BO744" s="18"/>
      <c r="BP744" s="18"/>
      <c r="BQ744" s="18"/>
      <c r="BR744" s="18"/>
      <c r="BS744" s="18"/>
      <c r="BT744" s="18"/>
      <c r="BU744" s="18"/>
      <c r="BV744" s="18"/>
      <c r="BW744" s="18"/>
      <c r="BX744" s="18"/>
      <c r="BY744" s="18"/>
      <c r="BZ744" s="18"/>
      <c r="CA744" s="18"/>
      <c r="CB744" s="18"/>
      <c r="CC744" s="18"/>
      <c r="CD744" s="18"/>
      <c r="CE744" s="18"/>
      <c r="CF744" s="18"/>
      <c r="CG744" s="18"/>
      <c r="CH744" s="18"/>
      <c r="CI744" s="18"/>
      <c r="CJ744" s="18"/>
      <c r="CK744" s="18"/>
      <c r="CL744" s="18"/>
      <c r="CM744" s="18"/>
      <c r="CN744" s="18"/>
      <c r="CO744" s="18"/>
      <c r="CP744" s="18"/>
      <c r="CQ744" s="18"/>
      <c r="CR744" s="18"/>
      <c r="CS744" s="18"/>
      <c r="CT744" s="18"/>
      <c r="CU744" s="18"/>
    </row>
    <row r="745" spans="1:99">
      <c r="A745" s="19"/>
      <c r="B745" s="19"/>
      <c r="C745" s="19"/>
      <c r="D745" s="19"/>
      <c r="E745" s="19"/>
      <c r="F745" s="19"/>
      <c r="G745" s="19"/>
      <c r="H745" s="19"/>
      <c r="I745" s="19"/>
      <c r="J745" s="19"/>
      <c r="K745" s="18"/>
      <c r="L745" s="18"/>
      <c r="M745" s="18"/>
      <c r="N745" s="18"/>
      <c r="O745" s="18"/>
      <c r="P745" s="18"/>
      <c r="Q745" s="18"/>
      <c r="R745" s="18"/>
      <c r="S745" s="18"/>
      <c r="T745" s="18"/>
      <c r="U745" s="18"/>
      <c r="V745" s="18"/>
      <c r="W745" s="18"/>
      <c r="X745" s="18"/>
      <c r="Y745" s="18"/>
      <c r="Z745" s="18"/>
      <c r="AA745" s="18"/>
      <c r="AB745" s="18"/>
      <c r="AC745" s="18"/>
      <c r="AD745" s="18"/>
      <c r="AE745" s="18"/>
      <c r="AF745" s="18"/>
      <c r="AG745" s="18"/>
      <c r="AH745" s="18"/>
      <c r="AI745" s="18"/>
      <c r="AJ745" s="18"/>
      <c r="AK745" s="18"/>
      <c r="AL745" s="18"/>
      <c r="AM745" s="18"/>
      <c r="AN745" s="18"/>
      <c r="AO745" s="18"/>
      <c r="AP745" s="18"/>
      <c r="AQ745" s="18"/>
      <c r="AR745" s="18"/>
      <c r="AS745" s="18"/>
      <c r="AT745" s="18"/>
      <c r="AU745" s="18"/>
      <c r="AV745" s="18"/>
      <c r="AW745" s="18"/>
      <c r="AX745" s="18"/>
      <c r="AY745" s="18"/>
      <c r="AZ745" s="18"/>
      <c r="BA745" s="18"/>
      <c r="BB745" s="18"/>
      <c r="BC745" s="18"/>
      <c r="BD745" s="18"/>
      <c r="BE745" s="18"/>
      <c r="BF745" s="18"/>
      <c r="BG745" s="18"/>
      <c r="BH745" s="18"/>
      <c r="BI745" s="18"/>
      <c r="BJ745" s="18"/>
      <c r="BK745" s="18"/>
      <c r="BL745" s="18"/>
      <c r="BM745" s="18"/>
      <c r="BN745" s="18"/>
      <c r="BO745" s="18"/>
      <c r="BP745" s="18"/>
      <c r="BQ745" s="18"/>
      <c r="BR745" s="18"/>
      <c r="BS745" s="18"/>
      <c r="BT745" s="18"/>
      <c r="BU745" s="18"/>
      <c r="BV745" s="18"/>
      <c r="BW745" s="18"/>
      <c r="BX745" s="18"/>
      <c r="BY745" s="18"/>
      <c r="BZ745" s="18"/>
      <c r="CA745" s="18"/>
      <c r="CB745" s="18"/>
      <c r="CC745" s="18"/>
      <c r="CD745" s="18"/>
      <c r="CE745" s="18"/>
      <c r="CF745" s="18"/>
      <c r="CG745" s="18"/>
      <c r="CH745" s="18"/>
      <c r="CI745" s="18"/>
      <c r="CJ745" s="18"/>
      <c r="CK745" s="18"/>
      <c r="CL745" s="18"/>
      <c r="CM745" s="18"/>
      <c r="CN745" s="18"/>
      <c r="CO745" s="18"/>
      <c r="CP745" s="18"/>
      <c r="CQ745" s="18"/>
      <c r="CR745" s="18"/>
      <c r="CS745" s="18"/>
      <c r="CT745" s="18"/>
      <c r="CU745" s="18"/>
    </row>
    <row r="746" spans="1:99">
      <c r="A746" s="19"/>
      <c r="B746" s="19"/>
      <c r="C746" s="19"/>
      <c r="D746" s="19"/>
      <c r="E746" s="19"/>
      <c r="F746" s="19"/>
      <c r="G746" s="19"/>
      <c r="H746" s="19"/>
      <c r="I746" s="19"/>
      <c r="J746" s="19"/>
      <c r="K746" s="18"/>
      <c r="L746" s="18"/>
      <c r="M746" s="18"/>
      <c r="N746" s="18"/>
      <c r="O746" s="18"/>
      <c r="P746" s="18"/>
      <c r="Q746" s="18"/>
      <c r="R746" s="18"/>
      <c r="S746" s="18"/>
      <c r="T746" s="18"/>
      <c r="U746" s="18"/>
      <c r="V746" s="18"/>
      <c r="W746" s="18"/>
      <c r="X746" s="18"/>
      <c r="Y746" s="18"/>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c r="BC746" s="18"/>
      <c r="BD746" s="18"/>
      <c r="BE746" s="18"/>
      <c r="BF746" s="18"/>
      <c r="BG746" s="18"/>
      <c r="BH746" s="18"/>
      <c r="BI746" s="18"/>
      <c r="BJ746" s="18"/>
      <c r="BK746" s="18"/>
      <c r="BL746" s="18"/>
      <c r="BM746" s="18"/>
      <c r="BN746" s="18"/>
      <c r="BO746" s="18"/>
      <c r="BP746" s="18"/>
      <c r="BQ746" s="18"/>
      <c r="BR746" s="18"/>
      <c r="BS746" s="18"/>
      <c r="BT746" s="18"/>
      <c r="BU746" s="18"/>
      <c r="BV746" s="18"/>
      <c r="BW746" s="18"/>
      <c r="BX746" s="18"/>
      <c r="BY746" s="18"/>
      <c r="BZ746" s="18"/>
      <c r="CA746" s="18"/>
      <c r="CB746" s="18"/>
      <c r="CC746" s="18"/>
      <c r="CD746" s="18"/>
      <c r="CE746" s="18"/>
      <c r="CF746" s="18"/>
      <c r="CG746" s="18"/>
      <c r="CH746" s="18"/>
      <c r="CI746" s="18"/>
      <c r="CJ746" s="18"/>
      <c r="CK746" s="18"/>
      <c r="CL746" s="18"/>
      <c r="CM746" s="18"/>
      <c r="CN746" s="18"/>
      <c r="CO746" s="18"/>
      <c r="CP746" s="18"/>
      <c r="CQ746" s="18"/>
      <c r="CR746" s="18"/>
      <c r="CS746" s="18"/>
      <c r="CT746" s="18"/>
      <c r="CU746" s="18"/>
    </row>
    <row r="747" spans="1:99">
      <c r="A747" s="19"/>
      <c r="B747" s="19"/>
      <c r="C747" s="19"/>
      <c r="D747" s="19"/>
      <c r="E747" s="19"/>
      <c r="F747" s="19"/>
      <c r="G747" s="19"/>
      <c r="H747" s="19"/>
      <c r="I747" s="19"/>
      <c r="J747" s="19"/>
      <c r="K747" s="18"/>
      <c r="L747" s="18"/>
      <c r="M747" s="18"/>
      <c r="N747" s="18"/>
      <c r="O747" s="18"/>
      <c r="P747" s="18"/>
      <c r="Q747" s="18"/>
      <c r="R747" s="18"/>
      <c r="S747" s="18"/>
      <c r="T747" s="18"/>
      <c r="U747" s="18"/>
      <c r="V747" s="18"/>
      <c r="W747" s="18"/>
      <c r="X747" s="18"/>
      <c r="Y747" s="18"/>
      <c r="Z747" s="18"/>
      <c r="AA747" s="18"/>
      <c r="AB747" s="18"/>
      <c r="AC747" s="18"/>
      <c r="AD747" s="18"/>
      <c r="AE747" s="18"/>
      <c r="AF747" s="18"/>
      <c r="AG747" s="18"/>
      <c r="AH747" s="18"/>
      <c r="AI747" s="18"/>
      <c r="AJ747" s="18"/>
      <c r="AK747" s="18"/>
      <c r="AL747" s="18"/>
      <c r="AM747" s="18"/>
      <c r="AN747" s="18"/>
      <c r="AO747" s="18"/>
      <c r="AP747" s="18"/>
      <c r="AQ747" s="18"/>
      <c r="AR747" s="18"/>
      <c r="AS747" s="18"/>
      <c r="AT747" s="18"/>
      <c r="AU747" s="18"/>
      <c r="AV747" s="18"/>
      <c r="AW747" s="18"/>
      <c r="AX747" s="18"/>
      <c r="AY747" s="18"/>
      <c r="AZ747" s="18"/>
      <c r="BA747" s="18"/>
      <c r="BB747" s="18"/>
      <c r="BC747" s="18"/>
      <c r="BD747" s="18"/>
      <c r="BE747" s="18"/>
      <c r="BF747" s="18"/>
      <c r="BG747" s="18"/>
      <c r="BH747" s="18"/>
      <c r="BI747" s="18"/>
      <c r="BJ747" s="18"/>
      <c r="BK747" s="18"/>
      <c r="BL747" s="18"/>
      <c r="BM747" s="18"/>
      <c r="BN747" s="18"/>
      <c r="BO747" s="18"/>
      <c r="BP747" s="18"/>
      <c r="BQ747" s="18"/>
      <c r="BR747" s="18"/>
      <c r="BS747" s="18"/>
      <c r="BT747" s="18"/>
      <c r="BU747" s="18"/>
      <c r="BV747" s="18"/>
      <c r="BW747" s="18"/>
      <c r="BX747" s="18"/>
      <c r="BY747" s="18"/>
      <c r="BZ747" s="18"/>
      <c r="CA747" s="18"/>
      <c r="CB747" s="18"/>
      <c r="CC747" s="18"/>
      <c r="CD747" s="18"/>
      <c r="CE747" s="18"/>
      <c r="CF747" s="18"/>
      <c r="CG747" s="18"/>
      <c r="CH747" s="18"/>
      <c r="CI747" s="18"/>
      <c r="CJ747" s="18"/>
      <c r="CK747" s="18"/>
      <c r="CL747" s="18"/>
      <c r="CM747" s="18"/>
      <c r="CN747" s="18"/>
      <c r="CO747" s="18"/>
      <c r="CP747" s="18"/>
      <c r="CQ747" s="18"/>
      <c r="CR747" s="18"/>
      <c r="CS747" s="18"/>
      <c r="CT747" s="18"/>
      <c r="CU747" s="18"/>
    </row>
    <row r="748" spans="1:99">
      <c r="A748" s="19"/>
      <c r="B748" s="19"/>
      <c r="C748" s="19"/>
      <c r="D748" s="19"/>
      <c r="E748" s="19"/>
      <c r="F748" s="19"/>
      <c r="G748" s="19"/>
      <c r="H748" s="19"/>
      <c r="I748" s="19"/>
      <c r="J748" s="19"/>
      <c r="K748" s="18"/>
      <c r="L748" s="18"/>
      <c r="M748" s="18"/>
      <c r="N748" s="18"/>
      <c r="O748" s="18"/>
      <c r="P748" s="18"/>
      <c r="Q748" s="18"/>
      <c r="R748" s="18"/>
      <c r="S748" s="18"/>
      <c r="T748" s="18"/>
      <c r="U748" s="18"/>
      <c r="V748" s="18"/>
      <c r="W748" s="18"/>
      <c r="X748" s="18"/>
      <c r="Y748" s="18"/>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c r="BC748" s="18"/>
      <c r="BD748" s="18"/>
      <c r="BE748" s="18"/>
      <c r="BF748" s="18"/>
      <c r="BG748" s="18"/>
      <c r="BH748" s="18"/>
      <c r="BI748" s="18"/>
      <c r="BJ748" s="18"/>
      <c r="BK748" s="18"/>
      <c r="BL748" s="18"/>
      <c r="BM748" s="18"/>
      <c r="BN748" s="18"/>
      <c r="BO748" s="18"/>
      <c r="BP748" s="18"/>
      <c r="BQ748" s="18"/>
      <c r="BR748" s="18"/>
      <c r="BS748" s="18"/>
      <c r="BT748" s="18"/>
      <c r="BU748" s="18"/>
      <c r="BV748" s="18"/>
      <c r="BW748" s="18"/>
      <c r="BX748" s="18"/>
      <c r="BY748" s="18"/>
      <c r="BZ748" s="18"/>
      <c r="CA748" s="18"/>
      <c r="CB748" s="18"/>
      <c r="CC748" s="18"/>
      <c r="CD748" s="18"/>
      <c r="CE748" s="18"/>
      <c r="CF748" s="18"/>
      <c r="CG748" s="18"/>
      <c r="CH748" s="18"/>
      <c r="CI748" s="18"/>
      <c r="CJ748" s="18"/>
      <c r="CK748" s="18"/>
      <c r="CL748" s="18"/>
      <c r="CM748" s="18"/>
      <c r="CN748" s="18"/>
      <c r="CO748" s="18"/>
      <c r="CP748" s="18"/>
      <c r="CQ748" s="18"/>
      <c r="CR748" s="18"/>
      <c r="CS748" s="18"/>
      <c r="CT748" s="18"/>
      <c r="CU748" s="18"/>
    </row>
    <row r="749" spans="1:99">
      <c r="A749" s="19"/>
      <c r="B749" s="19"/>
      <c r="C749" s="19"/>
      <c r="D749" s="19"/>
      <c r="E749" s="19"/>
      <c r="F749" s="19"/>
      <c r="G749" s="19"/>
      <c r="H749" s="19"/>
      <c r="I749" s="19"/>
      <c r="J749" s="19"/>
      <c r="K749" s="18"/>
      <c r="L749" s="18"/>
      <c r="M749" s="18"/>
      <c r="N749" s="18"/>
      <c r="O749" s="18"/>
      <c r="P749" s="18"/>
      <c r="Q749" s="18"/>
      <c r="R749" s="18"/>
      <c r="S749" s="18"/>
      <c r="T749" s="18"/>
      <c r="U749" s="18"/>
      <c r="V749" s="18"/>
      <c r="W749" s="18"/>
      <c r="X749" s="18"/>
      <c r="Y749" s="18"/>
      <c r="Z749" s="18"/>
      <c r="AA749" s="18"/>
      <c r="AB749" s="18"/>
      <c r="AC749" s="18"/>
      <c r="AD749" s="18"/>
      <c r="AE749" s="18"/>
      <c r="AF749" s="18"/>
      <c r="AG749" s="18"/>
      <c r="AH749" s="18"/>
      <c r="AI749" s="18"/>
      <c r="AJ749" s="18"/>
      <c r="AK749" s="18"/>
      <c r="AL749" s="18"/>
      <c r="AM749" s="18"/>
      <c r="AN749" s="18"/>
      <c r="AO749" s="18"/>
      <c r="AP749" s="18"/>
      <c r="AQ749" s="18"/>
      <c r="AR749" s="18"/>
      <c r="AS749" s="18"/>
      <c r="AT749" s="18"/>
      <c r="AU749" s="18"/>
      <c r="AV749" s="18"/>
      <c r="AW749" s="18"/>
      <c r="AX749" s="18"/>
      <c r="AY749" s="18"/>
      <c r="AZ749" s="18"/>
      <c r="BA749" s="18"/>
      <c r="BB749" s="18"/>
      <c r="BC749" s="18"/>
      <c r="BD749" s="18"/>
      <c r="BE749" s="18"/>
      <c r="BF749" s="18"/>
      <c r="BG749" s="18"/>
      <c r="BH749" s="18"/>
      <c r="BI749" s="18"/>
      <c r="BJ749" s="18"/>
      <c r="BK749" s="18"/>
      <c r="BL749" s="18"/>
      <c r="BM749" s="18"/>
      <c r="BN749" s="18"/>
      <c r="BO749" s="18"/>
      <c r="BP749" s="18"/>
      <c r="BQ749" s="18"/>
      <c r="BR749" s="18"/>
      <c r="BS749" s="18"/>
      <c r="BT749" s="18"/>
      <c r="BU749" s="18"/>
      <c r="BV749" s="18"/>
      <c r="BW749" s="18"/>
      <c r="BX749" s="18"/>
      <c r="BY749" s="18"/>
      <c r="BZ749" s="18"/>
      <c r="CA749" s="18"/>
      <c r="CB749" s="18"/>
      <c r="CC749" s="18"/>
      <c r="CD749" s="18"/>
      <c r="CE749" s="18"/>
      <c r="CF749" s="18"/>
      <c r="CG749" s="18"/>
      <c r="CH749" s="18"/>
      <c r="CI749" s="18"/>
      <c r="CJ749" s="18"/>
      <c r="CK749" s="18"/>
      <c r="CL749" s="18"/>
      <c r="CM749" s="18"/>
      <c r="CN749" s="18"/>
      <c r="CO749" s="18"/>
      <c r="CP749" s="18"/>
      <c r="CQ749" s="18"/>
      <c r="CR749" s="18"/>
      <c r="CS749" s="18"/>
      <c r="CT749" s="18"/>
      <c r="CU749" s="18"/>
    </row>
    <row r="750" spans="1:99">
      <c r="A750" s="19"/>
      <c r="B750" s="19"/>
      <c r="C750" s="19"/>
      <c r="D750" s="19"/>
      <c r="E750" s="19"/>
      <c r="F750" s="19"/>
      <c r="G750" s="19"/>
      <c r="H750" s="19"/>
      <c r="I750" s="19"/>
      <c r="J750" s="19"/>
      <c r="K750" s="18"/>
      <c r="L750" s="18"/>
      <c r="M750" s="18"/>
      <c r="N750" s="18"/>
      <c r="O750" s="18"/>
      <c r="P750" s="18"/>
      <c r="Q750" s="18"/>
      <c r="R750" s="18"/>
      <c r="S750" s="18"/>
      <c r="T750" s="18"/>
      <c r="U750" s="18"/>
      <c r="V750" s="18"/>
      <c r="W750" s="18"/>
      <c r="X750" s="18"/>
      <c r="Y750" s="18"/>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c r="BC750" s="18"/>
      <c r="BD750" s="18"/>
      <c r="BE750" s="18"/>
      <c r="BF750" s="18"/>
      <c r="BG750" s="18"/>
      <c r="BH750" s="18"/>
      <c r="BI750" s="18"/>
      <c r="BJ750" s="18"/>
      <c r="BK750" s="18"/>
      <c r="BL750" s="18"/>
      <c r="BM750" s="18"/>
      <c r="BN750" s="18"/>
      <c r="BO750" s="18"/>
      <c r="BP750" s="18"/>
      <c r="BQ750" s="18"/>
      <c r="BR750" s="18"/>
      <c r="BS750" s="18"/>
      <c r="BT750" s="18"/>
      <c r="BU750" s="18"/>
      <c r="BV750" s="18"/>
      <c r="BW750" s="18"/>
      <c r="BX750" s="18"/>
      <c r="BY750" s="18"/>
      <c r="BZ750" s="18"/>
      <c r="CA750" s="18"/>
      <c r="CB750" s="18"/>
      <c r="CC750" s="18"/>
      <c r="CD750" s="18"/>
      <c r="CE750" s="18"/>
      <c r="CF750" s="18"/>
      <c r="CG750" s="18"/>
      <c r="CH750" s="18"/>
      <c r="CI750" s="18"/>
      <c r="CJ750" s="18"/>
      <c r="CK750" s="18"/>
      <c r="CL750" s="18"/>
      <c r="CM750" s="18"/>
      <c r="CN750" s="18"/>
      <c r="CO750" s="18"/>
      <c r="CP750" s="18"/>
      <c r="CQ750" s="18"/>
      <c r="CR750" s="18"/>
      <c r="CS750" s="18"/>
      <c r="CT750" s="18"/>
      <c r="CU750" s="18"/>
    </row>
    <row r="751" spans="1:99">
      <c r="A751" s="19"/>
      <c r="B751" s="19"/>
      <c r="C751" s="19"/>
      <c r="D751" s="19"/>
      <c r="E751" s="19"/>
      <c r="F751" s="19"/>
      <c r="G751" s="19"/>
      <c r="H751" s="19"/>
      <c r="I751" s="19"/>
      <c r="J751" s="19"/>
      <c r="K751" s="18"/>
      <c r="L751" s="18"/>
      <c r="M751" s="18"/>
      <c r="N751" s="18"/>
      <c r="O751" s="18"/>
      <c r="P751" s="18"/>
      <c r="Q751" s="18"/>
      <c r="R751" s="18"/>
      <c r="S751" s="18"/>
      <c r="T751" s="18"/>
      <c r="U751" s="18"/>
      <c r="V751" s="18"/>
      <c r="W751" s="18"/>
      <c r="X751" s="18"/>
      <c r="Y751" s="18"/>
      <c r="Z751" s="18"/>
      <c r="AA751" s="18"/>
      <c r="AB751" s="18"/>
      <c r="AC751" s="18"/>
      <c r="AD751" s="18"/>
      <c r="AE751" s="18"/>
      <c r="AF751" s="18"/>
      <c r="AG751" s="18"/>
      <c r="AH751" s="18"/>
      <c r="AI751" s="18"/>
      <c r="AJ751" s="18"/>
      <c r="AK751" s="18"/>
      <c r="AL751" s="18"/>
      <c r="AM751" s="18"/>
      <c r="AN751" s="18"/>
      <c r="AO751" s="18"/>
      <c r="AP751" s="18"/>
      <c r="AQ751" s="18"/>
      <c r="AR751" s="18"/>
      <c r="AS751" s="18"/>
      <c r="AT751" s="18"/>
      <c r="AU751" s="18"/>
      <c r="AV751" s="18"/>
      <c r="AW751" s="18"/>
      <c r="AX751" s="18"/>
      <c r="AY751" s="18"/>
      <c r="AZ751" s="18"/>
      <c r="BA751" s="18"/>
      <c r="BB751" s="18"/>
      <c r="BC751" s="18"/>
      <c r="BD751" s="18"/>
      <c r="BE751" s="18"/>
      <c r="BF751" s="18"/>
      <c r="BG751" s="18"/>
      <c r="BH751" s="18"/>
      <c r="BI751" s="18"/>
      <c r="BJ751" s="18"/>
      <c r="BK751" s="18"/>
      <c r="BL751" s="18"/>
      <c r="BM751" s="18"/>
      <c r="BN751" s="18"/>
      <c r="BO751" s="18"/>
      <c r="BP751" s="18"/>
      <c r="BQ751" s="18"/>
      <c r="BR751" s="18"/>
      <c r="BS751" s="18"/>
      <c r="BT751" s="18"/>
      <c r="BU751" s="18"/>
      <c r="BV751" s="18"/>
      <c r="BW751" s="18"/>
      <c r="BX751" s="18"/>
      <c r="BY751" s="18"/>
      <c r="BZ751" s="18"/>
      <c r="CA751" s="18"/>
      <c r="CB751" s="18"/>
      <c r="CC751" s="18"/>
      <c r="CD751" s="18"/>
      <c r="CE751" s="18"/>
      <c r="CF751" s="18"/>
      <c r="CG751" s="18"/>
      <c r="CH751" s="18"/>
      <c r="CI751" s="18"/>
      <c r="CJ751" s="18"/>
      <c r="CK751" s="18"/>
      <c r="CL751" s="18"/>
      <c r="CM751" s="18"/>
      <c r="CN751" s="18"/>
      <c r="CO751" s="18"/>
      <c r="CP751" s="18"/>
      <c r="CQ751" s="18"/>
      <c r="CR751" s="18"/>
      <c r="CS751" s="18"/>
      <c r="CT751" s="18"/>
      <c r="CU751" s="18"/>
    </row>
    <row r="752" spans="1:99">
      <c r="A752" s="19"/>
      <c r="B752" s="19"/>
      <c r="C752" s="19"/>
      <c r="D752" s="19"/>
      <c r="E752" s="19"/>
      <c r="F752" s="19"/>
      <c r="G752" s="19"/>
      <c r="H752" s="19"/>
      <c r="I752" s="19"/>
      <c r="J752" s="19"/>
      <c r="K752" s="18"/>
      <c r="L752" s="18"/>
      <c r="M752" s="18"/>
      <c r="N752" s="18"/>
      <c r="O752" s="18"/>
      <c r="P752" s="18"/>
      <c r="Q752" s="18"/>
      <c r="R752" s="18"/>
      <c r="S752" s="18"/>
      <c r="T752" s="18"/>
      <c r="U752" s="18"/>
      <c r="V752" s="18"/>
      <c r="W752" s="18"/>
      <c r="X752" s="18"/>
      <c r="Y752" s="18"/>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c r="BC752" s="18"/>
      <c r="BD752" s="18"/>
      <c r="BE752" s="18"/>
      <c r="BF752" s="18"/>
      <c r="BG752" s="18"/>
      <c r="BH752" s="18"/>
      <c r="BI752" s="18"/>
      <c r="BJ752" s="18"/>
      <c r="BK752" s="18"/>
      <c r="BL752" s="18"/>
      <c r="BM752" s="18"/>
      <c r="BN752" s="18"/>
      <c r="BO752" s="18"/>
      <c r="BP752" s="18"/>
      <c r="BQ752" s="18"/>
      <c r="BR752" s="18"/>
      <c r="BS752" s="18"/>
      <c r="BT752" s="18"/>
      <c r="BU752" s="18"/>
      <c r="BV752" s="18"/>
      <c r="BW752" s="18"/>
      <c r="BX752" s="18"/>
      <c r="BY752" s="18"/>
      <c r="BZ752" s="18"/>
      <c r="CA752" s="18"/>
      <c r="CB752" s="18"/>
      <c r="CC752" s="18"/>
      <c r="CD752" s="18"/>
      <c r="CE752" s="18"/>
      <c r="CF752" s="18"/>
      <c r="CG752" s="18"/>
      <c r="CH752" s="18"/>
      <c r="CI752" s="18"/>
      <c r="CJ752" s="18"/>
      <c r="CK752" s="18"/>
      <c r="CL752" s="18"/>
      <c r="CM752" s="18"/>
      <c r="CN752" s="18"/>
      <c r="CO752" s="18"/>
      <c r="CP752" s="18"/>
      <c r="CQ752" s="18"/>
      <c r="CR752" s="18"/>
      <c r="CS752" s="18"/>
      <c r="CT752" s="18"/>
      <c r="CU752" s="18"/>
    </row>
    <row r="753" spans="1:99">
      <c r="A753" s="19"/>
      <c r="B753" s="19"/>
      <c r="C753" s="19"/>
      <c r="D753" s="19"/>
      <c r="E753" s="19"/>
      <c r="F753" s="19"/>
      <c r="G753" s="19"/>
      <c r="H753" s="19"/>
      <c r="I753" s="19"/>
      <c r="J753" s="19"/>
      <c r="K753" s="18"/>
      <c r="L753" s="18"/>
      <c r="M753" s="18"/>
      <c r="N753" s="18"/>
      <c r="O753" s="18"/>
      <c r="P753" s="18"/>
      <c r="Q753" s="18"/>
      <c r="R753" s="18"/>
      <c r="S753" s="18"/>
      <c r="T753" s="18"/>
      <c r="U753" s="18"/>
      <c r="V753" s="18"/>
      <c r="W753" s="18"/>
      <c r="X753" s="18"/>
      <c r="Y753" s="18"/>
      <c r="Z753" s="18"/>
      <c r="AA753" s="18"/>
      <c r="AB753" s="18"/>
      <c r="AC753" s="18"/>
      <c r="AD753" s="18"/>
      <c r="AE753" s="18"/>
      <c r="AF753" s="18"/>
      <c r="AG753" s="18"/>
      <c r="AH753" s="18"/>
      <c r="AI753" s="18"/>
      <c r="AJ753" s="18"/>
      <c r="AK753" s="18"/>
      <c r="AL753" s="18"/>
      <c r="AM753" s="18"/>
      <c r="AN753" s="18"/>
      <c r="AO753" s="18"/>
      <c r="AP753" s="18"/>
      <c r="AQ753" s="18"/>
      <c r="AR753" s="18"/>
      <c r="AS753" s="18"/>
      <c r="AT753" s="18"/>
      <c r="AU753" s="18"/>
      <c r="AV753" s="18"/>
      <c r="AW753" s="18"/>
      <c r="AX753" s="18"/>
      <c r="AY753" s="18"/>
      <c r="AZ753" s="18"/>
      <c r="BA753" s="18"/>
      <c r="BB753" s="18"/>
      <c r="BC753" s="18"/>
      <c r="BD753" s="18"/>
      <c r="BE753" s="18"/>
      <c r="BF753" s="18"/>
      <c r="BG753" s="18"/>
      <c r="BH753" s="18"/>
      <c r="BI753" s="18"/>
      <c r="BJ753" s="18"/>
      <c r="BK753" s="18"/>
      <c r="BL753" s="18"/>
      <c r="BM753" s="18"/>
      <c r="BN753" s="18"/>
      <c r="BO753" s="18"/>
      <c r="BP753" s="18"/>
      <c r="BQ753" s="18"/>
      <c r="BR753" s="18"/>
      <c r="BS753" s="18"/>
      <c r="BT753" s="18"/>
      <c r="BU753" s="18"/>
      <c r="BV753" s="18"/>
      <c r="BW753" s="18"/>
      <c r="BX753" s="18"/>
      <c r="BY753" s="18"/>
      <c r="BZ753" s="18"/>
      <c r="CA753" s="18"/>
      <c r="CB753" s="18"/>
      <c r="CC753" s="18"/>
      <c r="CD753" s="18"/>
      <c r="CE753" s="18"/>
      <c r="CF753" s="18"/>
      <c r="CG753" s="18"/>
      <c r="CH753" s="18"/>
      <c r="CI753" s="18"/>
      <c r="CJ753" s="18"/>
      <c r="CK753" s="18"/>
      <c r="CL753" s="18"/>
      <c r="CM753" s="18"/>
      <c r="CN753" s="18"/>
      <c r="CO753" s="18"/>
      <c r="CP753" s="18"/>
      <c r="CQ753" s="18"/>
      <c r="CR753" s="18"/>
      <c r="CS753" s="18"/>
      <c r="CT753" s="18"/>
      <c r="CU753" s="18"/>
    </row>
    <row r="754" spans="1:99">
      <c r="A754" s="19"/>
      <c r="B754" s="19"/>
      <c r="C754" s="19"/>
      <c r="D754" s="19"/>
      <c r="E754" s="19"/>
      <c r="F754" s="19"/>
      <c r="G754" s="19"/>
      <c r="H754" s="19"/>
      <c r="I754" s="19"/>
      <c r="J754" s="19"/>
      <c r="K754" s="18"/>
      <c r="L754" s="18"/>
      <c r="M754" s="18"/>
      <c r="N754" s="18"/>
      <c r="O754" s="18"/>
      <c r="P754" s="18"/>
      <c r="Q754" s="18"/>
      <c r="R754" s="18"/>
      <c r="S754" s="18"/>
      <c r="T754" s="18"/>
      <c r="U754" s="18"/>
      <c r="V754" s="18"/>
      <c r="W754" s="18"/>
      <c r="X754" s="18"/>
      <c r="Y754" s="18"/>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c r="BC754" s="18"/>
      <c r="BD754" s="18"/>
      <c r="BE754" s="18"/>
      <c r="BF754" s="18"/>
      <c r="BG754" s="18"/>
      <c r="BH754" s="18"/>
      <c r="BI754" s="18"/>
      <c r="BJ754" s="18"/>
      <c r="BK754" s="18"/>
      <c r="BL754" s="18"/>
      <c r="BM754" s="18"/>
      <c r="BN754" s="18"/>
      <c r="BO754" s="18"/>
      <c r="BP754" s="18"/>
      <c r="BQ754" s="18"/>
      <c r="BR754" s="18"/>
      <c r="BS754" s="18"/>
      <c r="BT754" s="18"/>
      <c r="BU754" s="18"/>
      <c r="BV754" s="18"/>
      <c r="BW754" s="18"/>
      <c r="BX754" s="18"/>
      <c r="BY754" s="18"/>
      <c r="BZ754" s="18"/>
      <c r="CA754" s="18"/>
      <c r="CB754" s="18"/>
      <c r="CC754" s="18"/>
      <c r="CD754" s="18"/>
      <c r="CE754" s="18"/>
      <c r="CF754" s="18"/>
      <c r="CG754" s="18"/>
      <c r="CH754" s="18"/>
      <c r="CI754" s="18"/>
      <c r="CJ754" s="18"/>
      <c r="CK754" s="18"/>
      <c r="CL754" s="18"/>
      <c r="CM754" s="18"/>
      <c r="CN754" s="18"/>
      <c r="CO754" s="18"/>
      <c r="CP754" s="18"/>
      <c r="CQ754" s="18"/>
      <c r="CR754" s="18"/>
      <c r="CS754" s="18"/>
      <c r="CT754" s="18"/>
      <c r="CU754" s="18"/>
    </row>
    <row r="755" spans="1:99">
      <c r="A755" s="19"/>
      <c r="B755" s="19"/>
      <c r="C755" s="19"/>
      <c r="D755" s="19"/>
      <c r="E755" s="19"/>
      <c r="F755" s="19"/>
      <c r="G755" s="19"/>
      <c r="H755" s="19"/>
      <c r="I755" s="19"/>
      <c r="J755" s="19"/>
      <c r="K755" s="18"/>
      <c r="L755" s="18"/>
      <c r="M755" s="18"/>
      <c r="N755" s="18"/>
      <c r="O755" s="18"/>
      <c r="P755" s="18"/>
      <c r="Q755" s="18"/>
      <c r="R755" s="18"/>
      <c r="S755" s="18"/>
      <c r="T755" s="18"/>
      <c r="U755" s="18"/>
      <c r="V755" s="18"/>
      <c r="W755" s="18"/>
      <c r="X755" s="18"/>
      <c r="Y755" s="18"/>
      <c r="Z755" s="18"/>
      <c r="AA755" s="18"/>
      <c r="AB755" s="18"/>
      <c r="AC755" s="18"/>
      <c r="AD755" s="18"/>
      <c r="AE755" s="18"/>
      <c r="AF755" s="18"/>
      <c r="AG755" s="18"/>
      <c r="AH755" s="18"/>
      <c r="AI755" s="18"/>
      <c r="AJ755" s="18"/>
      <c r="AK755" s="18"/>
      <c r="AL755" s="18"/>
      <c r="AM755" s="18"/>
      <c r="AN755" s="18"/>
      <c r="AO755" s="18"/>
      <c r="AP755" s="18"/>
      <c r="AQ755" s="18"/>
      <c r="AR755" s="18"/>
      <c r="AS755" s="18"/>
      <c r="AT755" s="18"/>
      <c r="AU755" s="18"/>
      <c r="AV755" s="18"/>
      <c r="AW755" s="18"/>
      <c r="AX755" s="18"/>
      <c r="AY755" s="18"/>
      <c r="AZ755" s="18"/>
      <c r="BA755" s="18"/>
      <c r="BB755" s="18"/>
      <c r="BC755" s="18"/>
      <c r="BD755" s="18"/>
      <c r="BE755" s="18"/>
      <c r="BF755" s="18"/>
      <c r="BG755" s="18"/>
      <c r="BH755" s="18"/>
      <c r="BI755" s="18"/>
      <c r="BJ755" s="18"/>
      <c r="BK755" s="18"/>
      <c r="BL755" s="18"/>
      <c r="BM755" s="18"/>
      <c r="BN755" s="18"/>
      <c r="BO755" s="18"/>
      <c r="BP755" s="18"/>
      <c r="BQ755" s="18"/>
      <c r="BR755" s="18"/>
      <c r="BS755" s="18"/>
      <c r="BT755" s="18"/>
      <c r="BU755" s="18"/>
      <c r="BV755" s="18"/>
      <c r="BW755" s="18"/>
      <c r="BX755" s="18"/>
      <c r="BY755" s="18"/>
      <c r="BZ755" s="18"/>
      <c r="CA755" s="18"/>
      <c r="CB755" s="18"/>
      <c r="CC755" s="18"/>
      <c r="CD755" s="18"/>
      <c r="CE755" s="18"/>
      <c r="CF755" s="18"/>
      <c r="CG755" s="18"/>
      <c r="CH755" s="18"/>
      <c r="CI755" s="18"/>
      <c r="CJ755" s="18"/>
      <c r="CK755" s="18"/>
      <c r="CL755" s="18"/>
      <c r="CM755" s="18"/>
      <c r="CN755" s="18"/>
      <c r="CO755" s="18"/>
      <c r="CP755" s="18"/>
      <c r="CQ755" s="18"/>
      <c r="CR755" s="18"/>
      <c r="CS755" s="18"/>
      <c r="CT755" s="18"/>
      <c r="CU755" s="18"/>
    </row>
    <row r="756" spans="1:99">
      <c r="A756" s="19"/>
      <c r="B756" s="19"/>
      <c r="C756" s="19"/>
      <c r="D756" s="19"/>
      <c r="E756" s="19"/>
      <c r="F756" s="19"/>
      <c r="G756" s="19"/>
      <c r="H756" s="19"/>
      <c r="I756" s="19"/>
      <c r="J756" s="19"/>
      <c r="K756" s="18"/>
      <c r="L756" s="18"/>
      <c r="M756" s="18"/>
      <c r="N756" s="18"/>
      <c r="O756" s="18"/>
      <c r="P756" s="18"/>
      <c r="Q756" s="18"/>
      <c r="R756" s="18"/>
      <c r="S756" s="18"/>
      <c r="T756" s="18"/>
      <c r="U756" s="18"/>
      <c r="V756" s="18"/>
      <c r="W756" s="18"/>
      <c r="X756" s="18"/>
      <c r="Y756" s="18"/>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c r="BC756" s="18"/>
      <c r="BD756" s="18"/>
      <c r="BE756" s="18"/>
      <c r="BF756" s="18"/>
      <c r="BG756" s="18"/>
      <c r="BH756" s="18"/>
      <c r="BI756" s="18"/>
      <c r="BJ756" s="18"/>
      <c r="BK756" s="18"/>
      <c r="BL756" s="18"/>
      <c r="BM756" s="18"/>
      <c r="BN756" s="18"/>
      <c r="BO756" s="18"/>
      <c r="BP756" s="18"/>
      <c r="BQ756" s="18"/>
      <c r="BR756" s="18"/>
      <c r="BS756" s="18"/>
      <c r="BT756" s="18"/>
      <c r="BU756" s="18"/>
      <c r="BV756" s="18"/>
      <c r="BW756" s="18"/>
      <c r="BX756" s="18"/>
      <c r="BY756" s="18"/>
      <c r="BZ756" s="18"/>
      <c r="CA756" s="18"/>
      <c r="CB756" s="18"/>
      <c r="CC756" s="18"/>
      <c r="CD756" s="18"/>
      <c r="CE756" s="18"/>
      <c r="CF756" s="18"/>
      <c r="CG756" s="18"/>
      <c r="CH756" s="18"/>
      <c r="CI756" s="18"/>
      <c r="CJ756" s="18"/>
      <c r="CK756" s="18"/>
      <c r="CL756" s="18"/>
      <c r="CM756" s="18"/>
      <c r="CN756" s="18"/>
      <c r="CO756" s="18"/>
      <c r="CP756" s="18"/>
      <c r="CQ756" s="18"/>
      <c r="CR756" s="18"/>
      <c r="CS756" s="18"/>
      <c r="CT756" s="18"/>
      <c r="CU756" s="18"/>
    </row>
    <row r="757" spans="1:99">
      <c r="A757" s="19"/>
      <c r="B757" s="19"/>
      <c r="C757" s="19"/>
      <c r="D757" s="19"/>
      <c r="E757" s="19"/>
      <c r="F757" s="19"/>
      <c r="G757" s="19"/>
      <c r="H757" s="19"/>
      <c r="I757" s="19"/>
      <c r="J757" s="19"/>
      <c r="K757" s="18"/>
      <c r="L757" s="18"/>
      <c r="M757" s="18"/>
      <c r="N757" s="18"/>
      <c r="O757" s="18"/>
      <c r="P757" s="18"/>
      <c r="Q757" s="18"/>
      <c r="R757" s="18"/>
      <c r="S757" s="18"/>
      <c r="T757" s="18"/>
      <c r="U757" s="18"/>
      <c r="V757" s="18"/>
      <c r="W757" s="18"/>
      <c r="X757" s="18"/>
      <c r="Y757" s="18"/>
      <c r="Z757" s="18"/>
      <c r="AA757" s="18"/>
      <c r="AB757" s="18"/>
      <c r="AC757" s="18"/>
      <c r="AD757" s="18"/>
      <c r="AE757" s="18"/>
      <c r="AF757" s="18"/>
      <c r="AG757" s="18"/>
      <c r="AH757" s="18"/>
      <c r="AI757" s="18"/>
      <c r="AJ757" s="18"/>
      <c r="AK757" s="18"/>
      <c r="AL757" s="18"/>
      <c r="AM757" s="18"/>
      <c r="AN757" s="18"/>
      <c r="AO757" s="18"/>
      <c r="AP757" s="18"/>
      <c r="AQ757" s="18"/>
      <c r="AR757" s="18"/>
      <c r="AS757" s="18"/>
      <c r="AT757" s="18"/>
      <c r="AU757" s="18"/>
      <c r="AV757" s="18"/>
      <c r="AW757" s="18"/>
      <c r="AX757" s="18"/>
      <c r="AY757" s="18"/>
      <c r="AZ757" s="18"/>
      <c r="BA757" s="18"/>
      <c r="BB757" s="18"/>
      <c r="BC757" s="18"/>
      <c r="BD757" s="18"/>
      <c r="BE757" s="18"/>
      <c r="BF757" s="18"/>
      <c r="BG757" s="18"/>
      <c r="BH757" s="18"/>
      <c r="BI757" s="18"/>
      <c r="BJ757" s="18"/>
      <c r="BK757" s="18"/>
      <c r="BL757" s="18"/>
      <c r="BM757" s="18"/>
      <c r="BN757" s="18"/>
      <c r="BO757" s="18"/>
      <c r="BP757" s="18"/>
      <c r="BQ757" s="18"/>
      <c r="BR757" s="18"/>
      <c r="BS757" s="18"/>
      <c r="BT757" s="18"/>
      <c r="BU757" s="18"/>
      <c r="BV757" s="18"/>
      <c r="BW757" s="18"/>
      <c r="BX757" s="18"/>
      <c r="BY757" s="18"/>
      <c r="BZ757" s="18"/>
      <c r="CA757" s="18"/>
      <c r="CB757" s="18"/>
      <c r="CC757" s="18"/>
      <c r="CD757" s="18"/>
      <c r="CE757" s="18"/>
      <c r="CF757" s="18"/>
      <c r="CG757" s="18"/>
      <c r="CH757" s="18"/>
      <c r="CI757" s="18"/>
      <c r="CJ757" s="18"/>
      <c r="CK757" s="18"/>
      <c r="CL757" s="18"/>
      <c r="CM757" s="18"/>
      <c r="CN757" s="18"/>
      <c r="CO757" s="18"/>
      <c r="CP757" s="18"/>
      <c r="CQ757" s="18"/>
      <c r="CR757" s="18"/>
      <c r="CS757" s="18"/>
      <c r="CT757" s="18"/>
      <c r="CU757" s="18"/>
    </row>
    <row r="758" spans="1:99">
      <c r="A758" s="19"/>
      <c r="B758" s="19"/>
      <c r="C758" s="19"/>
      <c r="D758" s="19"/>
      <c r="E758" s="19"/>
      <c r="F758" s="19"/>
      <c r="G758" s="19"/>
      <c r="H758" s="19"/>
      <c r="I758" s="19"/>
      <c r="J758" s="19"/>
      <c r="K758" s="18"/>
      <c r="L758" s="18"/>
      <c r="M758" s="18"/>
      <c r="N758" s="18"/>
      <c r="O758" s="18"/>
      <c r="P758" s="18"/>
      <c r="Q758" s="18"/>
      <c r="R758" s="18"/>
      <c r="S758" s="18"/>
      <c r="T758" s="18"/>
      <c r="U758" s="18"/>
      <c r="V758" s="18"/>
      <c r="W758" s="18"/>
      <c r="X758" s="18"/>
      <c r="Y758" s="18"/>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c r="BC758" s="18"/>
      <c r="BD758" s="18"/>
      <c r="BE758" s="18"/>
      <c r="BF758" s="18"/>
      <c r="BG758" s="18"/>
      <c r="BH758" s="18"/>
      <c r="BI758" s="18"/>
      <c r="BJ758" s="18"/>
      <c r="BK758" s="18"/>
      <c r="BL758" s="18"/>
      <c r="BM758" s="18"/>
      <c r="BN758" s="18"/>
      <c r="BO758" s="18"/>
      <c r="BP758" s="18"/>
      <c r="BQ758" s="18"/>
      <c r="BR758" s="18"/>
      <c r="BS758" s="18"/>
      <c r="BT758" s="18"/>
      <c r="BU758" s="18"/>
      <c r="BV758" s="18"/>
      <c r="BW758" s="18"/>
      <c r="BX758" s="18"/>
      <c r="BY758" s="18"/>
      <c r="BZ758" s="18"/>
      <c r="CA758" s="18"/>
      <c r="CB758" s="18"/>
      <c r="CC758" s="18"/>
      <c r="CD758" s="18"/>
      <c r="CE758" s="18"/>
      <c r="CF758" s="18"/>
      <c r="CG758" s="18"/>
      <c r="CH758" s="18"/>
      <c r="CI758" s="18"/>
      <c r="CJ758" s="18"/>
      <c r="CK758" s="18"/>
      <c r="CL758" s="18"/>
      <c r="CM758" s="18"/>
      <c r="CN758" s="18"/>
      <c r="CO758" s="18"/>
      <c r="CP758" s="18"/>
      <c r="CQ758" s="18"/>
      <c r="CR758" s="18"/>
      <c r="CS758" s="18"/>
      <c r="CT758" s="18"/>
      <c r="CU758" s="18"/>
    </row>
    <row r="759" spans="1:99">
      <c r="A759" s="19"/>
      <c r="B759" s="19"/>
      <c r="C759" s="19"/>
      <c r="D759" s="19"/>
      <c r="E759" s="19"/>
      <c r="F759" s="19"/>
      <c r="G759" s="19"/>
      <c r="H759" s="19"/>
      <c r="I759" s="19"/>
      <c r="J759" s="19"/>
      <c r="K759" s="18"/>
      <c r="L759" s="18"/>
      <c r="M759" s="18"/>
      <c r="N759" s="18"/>
      <c r="O759" s="18"/>
      <c r="P759" s="18"/>
      <c r="Q759" s="18"/>
      <c r="R759" s="18"/>
      <c r="S759" s="18"/>
      <c r="T759" s="18"/>
      <c r="U759" s="18"/>
      <c r="V759" s="18"/>
      <c r="W759" s="18"/>
      <c r="X759" s="18"/>
      <c r="Y759" s="18"/>
      <c r="Z759" s="18"/>
      <c r="AA759" s="18"/>
      <c r="AB759" s="18"/>
      <c r="AC759" s="18"/>
      <c r="AD759" s="18"/>
      <c r="AE759" s="18"/>
      <c r="AF759" s="18"/>
      <c r="AG759" s="18"/>
      <c r="AH759" s="18"/>
      <c r="AI759" s="18"/>
      <c r="AJ759" s="18"/>
      <c r="AK759" s="18"/>
      <c r="AL759" s="18"/>
      <c r="AM759" s="18"/>
      <c r="AN759" s="18"/>
      <c r="AO759" s="18"/>
      <c r="AP759" s="18"/>
      <c r="AQ759" s="18"/>
      <c r="AR759" s="18"/>
      <c r="AS759" s="18"/>
      <c r="AT759" s="18"/>
      <c r="AU759" s="18"/>
      <c r="AV759" s="18"/>
      <c r="AW759" s="18"/>
      <c r="AX759" s="18"/>
      <c r="AY759" s="18"/>
      <c r="AZ759" s="18"/>
      <c r="BA759" s="18"/>
      <c r="BB759" s="18"/>
      <c r="BC759" s="18"/>
      <c r="BD759" s="18"/>
      <c r="BE759" s="18"/>
      <c r="BF759" s="18"/>
      <c r="BG759" s="18"/>
      <c r="BH759" s="18"/>
      <c r="BI759" s="18"/>
      <c r="BJ759" s="18"/>
      <c r="BK759" s="18"/>
      <c r="BL759" s="18"/>
      <c r="BM759" s="18"/>
      <c r="BN759" s="18"/>
      <c r="BO759" s="18"/>
      <c r="BP759" s="18"/>
      <c r="BQ759" s="18"/>
      <c r="BR759" s="18"/>
      <c r="BS759" s="18"/>
      <c r="BT759" s="18"/>
      <c r="BU759" s="18"/>
      <c r="BV759" s="18"/>
      <c r="BW759" s="18"/>
      <c r="BX759" s="18"/>
      <c r="BY759" s="18"/>
      <c r="BZ759" s="18"/>
      <c r="CA759" s="18"/>
      <c r="CB759" s="18"/>
      <c r="CC759" s="18"/>
      <c r="CD759" s="18"/>
      <c r="CE759" s="18"/>
      <c r="CF759" s="18"/>
      <c r="CG759" s="18"/>
      <c r="CH759" s="18"/>
      <c r="CI759" s="18"/>
      <c r="CJ759" s="18"/>
      <c r="CK759" s="18"/>
      <c r="CL759" s="18"/>
      <c r="CM759" s="18"/>
      <c r="CN759" s="18"/>
      <c r="CO759" s="18"/>
      <c r="CP759" s="18"/>
      <c r="CQ759" s="18"/>
      <c r="CR759" s="18"/>
      <c r="CS759" s="18"/>
      <c r="CT759" s="18"/>
      <c r="CU759" s="18"/>
    </row>
    <row r="760" spans="1:99">
      <c r="A760" s="19"/>
      <c r="B760" s="19"/>
      <c r="C760" s="19"/>
      <c r="D760" s="19"/>
      <c r="E760" s="19"/>
      <c r="F760" s="19"/>
      <c r="G760" s="19"/>
      <c r="H760" s="19"/>
      <c r="I760" s="19"/>
      <c r="J760" s="19"/>
      <c r="K760" s="18"/>
      <c r="L760" s="18"/>
      <c r="M760" s="18"/>
      <c r="N760" s="18"/>
      <c r="O760" s="18"/>
      <c r="P760" s="18"/>
      <c r="Q760" s="18"/>
      <c r="R760" s="18"/>
      <c r="S760" s="18"/>
      <c r="T760" s="18"/>
      <c r="U760" s="18"/>
      <c r="V760" s="18"/>
      <c r="W760" s="18"/>
      <c r="X760" s="18"/>
      <c r="Y760" s="18"/>
      <c r="Z760" s="18"/>
      <c r="AA760" s="18"/>
      <c r="AB760" s="18"/>
      <c r="AC760" s="18"/>
      <c r="AD760" s="18"/>
      <c r="AE760" s="18"/>
      <c r="AF760" s="18"/>
      <c r="AG760" s="18"/>
      <c r="AH760" s="18"/>
      <c r="AI760" s="18"/>
      <c r="AJ760" s="18"/>
      <c r="AK760" s="18"/>
      <c r="AL760" s="18"/>
      <c r="AM760" s="18"/>
      <c r="AN760" s="18"/>
      <c r="AO760" s="18"/>
      <c r="AP760" s="18"/>
      <c r="AQ760" s="18"/>
      <c r="AR760" s="18"/>
      <c r="AS760" s="18"/>
      <c r="AT760" s="18"/>
      <c r="AU760" s="18"/>
      <c r="AV760" s="18"/>
      <c r="AW760" s="18"/>
      <c r="AX760" s="18"/>
      <c r="AY760" s="18"/>
      <c r="AZ760" s="18"/>
      <c r="BA760" s="18"/>
      <c r="BB760" s="18"/>
      <c r="BC760" s="18"/>
      <c r="BD760" s="18"/>
      <c r="BE760" s="18"/>
      <c r="BF760" s="18"/>
      <c r="BG760" s="18"/>
      <c r="BH760" s="18"/>
      <c r="BI760" s="18"/>
      <c r="BJ760" s="18"/>
      <c r="BK760" s="18"/>
      <c r="BL760" s="18"/>
      <c r="BM760" s="18"/>
      <c r="BN760" s="18"/>
      <c r="BO760" s="18"/>
      <c r="BP760" s="18"/>
      <c r="BQ760" s="18"/>
      <c r="BR760" s="18"/>
      <c r="BS760" s="18"/>
      <c r="BT760" s="18"/>
      <c r="BU760" s="18"/>
      <c r="BV760" s="18"/>
      <c r="BW760" s="18"/>
      <c r="BX760" s="18"/>
      <c r="BY760" s="18"/>
      <c r="BZ760" s="18"/>
      <c r="CA760" s="18"/>
      <c r="CB760" s="18"/>
      <c r="CC760" s="18"/>
      <c r="CD760" s="18"/>
      <c r="CE760" s="18"/>
      <c r="CF760" s="18"/>
      <c r="CG760" s="18"/>
      <c r="CH760" s="18"/>
      <c r="CI760" s="18"/>
      <c r="CJ760" s="18"/>
      <c r="CK760" s="18"/>
      <c r="CL760" s="18"/>
      <c r="CM760" s="18"/>
      <c r="CN760" s="18"/>
      <c r="CO760" s="18"/>
      <c r="CP760" s="18"/>
      <c r="CQ760" s="18"/>
      <c r="CR760" s="18"/>
      <c r="CS760" s="18"/>
      <c r="CT760" s="18"/>
      <c r="CU760" s="18"/>
    </row>
    <row r="761" spans="1:99">
      <c r="A761" s="19"/>
      <c r="B761" s="19"/>
      <c r="C761" s="19"/>
      <c r="D761" s="19"/>
      <c r="E761" s="19"/>
      <c r="F761" s="19"/>
      <c r="G761" s="19"/>
      <c r="H761" s="19"/>
      <c r="I761" s="19"/>
      <c r="J761" s="19"/>
      <c r="K761" s="18"/>
      <c r="L761" s="18"/>
      <c r="M761" s="18"/>
      <c r="N761" s="18"/>
      <c r="O761" s="18"/>
      <c r="P761" s="18"/>
      <c r="Q761" s="18"/>
      <c r="R761" s="18"/>
      <c r="S761" s="18"/>
      <c r="T761" s="18"/>
      <c r="U761" s="18"/>
      <c r="V761" s="18"/>
      <c r="W761" s="18"/>
      <c r="X761" s="18"/>
      <c r="Y761" s="18"/>
      <c r="Z761" s="18"/>
      <c r="AA761" s="18"/>
      <c r="AB761" s="18"/>
      <c r="AC761" s="18"/>
      <c r="AD761" s="18"/>
      <c r="AE761" s="18"/>
      <c r="AF761" s="18"/>
      <c r="AG761" s="18"/>
      <c r="AH761" s="18"/>
      <c r="AI761" s="18"/>
      <c r="AJ761" s="18"/>
      <c r="AK761" s="18"/>
      <c r="AL761" s="18"/>
      <c r="AM761" s="18"/>
      <c r="AN761" s="18"/>
      <c r="AO761" s="18"/>
      <c r="AP761" s="18"/>
      <c r="AQ761" s="18"/>
      <c r="AR761" s="18"/>
      <c r="AS761" s="18"/>
      <c r="AT761" s="18"/>
      <c r="AU761" s="18"/>
      <c r="AV761" s="18"/>
      <c r="AW761" s="18"/>
      <c r="AX761" s="18"/>
      <c r="AY761" s="18"/>
      <c r="AZ761" s="18"/>
      <c r="BA761" s="18"/>
      <c r="BB761" s="18"/>
      <c r="BC761" s="18"/>
      <c r="BD761" s="18"/>
      <c r="BE761" s="18"/>
      <c r="BF761" s="18"/>
      <c r="BG761" s="18"/>
      <c r="BH761" s="18"/>
      <c r="BI761" s="18"/>
      <c r="BJ761" s="18"/>
      <c r="BK761" s="18"/>
      <c r="BL761" s="18"/>
      <c r="BM761" s="18"/>
      <c r="BN761" s="18"/>
      <c r="BO761" s="18"/>
      <c r="BP761" s="18"/>
      <c r="BQ761" s="18"/>
      <c r="BR761" s="18"/>
      <c r="BS761" s="18"/>
      <c r="BT761" s="18"/>
      <c r="BU761" s="18"/>
      <c r="BV761" s="18"/>
      <c r="BW761" s="18"/>
      <c r="BX761" s="18"/>
      <c r="BY761" s="18"/>
      <c r="BZ761" s="18"/>
      <c r="CA761" s="18"/>
      <c r="CB761" s="18"/>
      <c r="CC761" s="18"/>
      <c r="CD761" s="18"/>
      <c r="CE761" s="18"/>
      <c r="CF761" s="18"/>
      <c r="CG761" s="18"/>
      <c r="CH761" s="18"/>
      <c r="CI761" s="18"/>
      <c r="CJ761" s="18"/>
      <c r="CK761" s="18"/>
      <c r="CL761" s="18"/>
      <c r="CM761" s="18"/>
      <c r="CN761" s="18"/>
      <c r="CO761" s="18"/>
      <c r="CP761" s="18"/>
      <c r="CQ761" s="18"/>
      <c r="CR761" s="18"/>
      <c r="CS761" s="18"/>
      <c r="CT761" s="18"/>
      <c r="CU761" s="18"/>
    </row>
    <row r="762" spans="1:99">
      <c r="A762" s="19"/>
      <c r="B762" s="19"/>
      <c r="C762" s="19"/>
      <c r="D762" s="19"/>
      <c r="E762" s="19"/>
      <c r="F762" s="19"/>
      <c r="G762" s="19"/>
      <c r="H762" s="19"/>
      <c r="I762" s="19"/>
      <c r="J762" s="19"/>
      <c r="K762" s="18"/>
      <c r="L762" s="18"/>
      <c r="M762" s="18"/>
      <c r="N762" s="18"/>
      <c r="O762" s="18"/>
      <c r="P762" s="18"/>
      <c r="Q762" s="18"/>
      <c r="R762" s="18"/>
      <c r="S762" s="18"/>
      <c r="T762" s="18"/>
      <c r="U762" s="18"/>
      <c r="V762" s="18"/>
      <c r="W762" s="18"/>
      <c r="X762" s="18"/>
      <c r="Y762" s="18"/>
      <c r="Z762" s="18"/>
      <c r="AA762" s="18"/>
      <c r="AB762" s="18"/>
      <c r="AC762" s="18"/>
      <c r="AD762" s="18"/>
      <c r="AE762" s="18"/>
      <c r="AF762" s="18"/>
      <c r="AG762" s="18"/>
      <c r="AH762" s="18"/>
      <c r="AI762" s="18"/>
      <c r="AJ762" s="18"/>
      <c r="AK762" s="18"/>
      <c r="AL762" s="18"/>
      <c r="AM762" s="18"/>
      <c r="AN762" s="18"/>
      <c r="AO762" s="18"/>
      <c r="AP762" s="18"/>
      <c r="AQ762" s="18"/>
      <c r="AR762" s="18"/>
      <c r="AS762" s="18"/>
      <c r="AT762" s="18"/>
      <c r="AU762" s="18"/>
      <c r="AV762" s="18"/>
      <c r="AW762" s="18"/>
      <c r="AX762" s="18"/>
      <c r="AY762" s="18"/>
      <c r="AZ762" s="18"/>
      <c r="BA762" s="18"/>
      <c r="BB762" s="18"/>
      <c r="BC762" s="18"/>
      <c r="BD762" s="18"/>
      <c r="BE762" s="18"/>
      <c r="BF762" s="18"/>
      <c r="BG762" s="18"/>
      <c r="BH762" s="18"/>
      <c r="BI762" s="18"/>
      <c r="BJ762" s="18"/>
      <c r="BK762" s="18"/>
      <c r="BL762" s="18"/>
      <c r="BM762" s="18"/>
      <c r="BN762" s="18"/>
      <c r="BO762" s="18"/>
      <c r="BP762" s="18"/>
      <c r="BQ762" s="18"/>
      <c r="BR762" s="18"/>
      <c r="BS762" s="18"/>
      <c r="BT762" s="18"/>
      <c r="BU762" s="18"/>
      <c r="BV762" s="18"/>
      <c r="BW762" s="18"/>
      <c r="BX762" s="18"/>
      <c r="BY762" s="18"/>
      <c r="BZ762" s="18"/>
      <c r="CA762" s="18"/>
      <c r="CB762" s="18"/>
      <c r="CC762" s="18"/>
      <c r="CD762" s="18"/>
      <c r="CE762" s="18"/>
      <c r="CF762" s="18"/>
      <c r="CG762" s="18"/>
      <c r="CH762" s="18"/>
      <c r="CI762" s="18"/>
      <c r="CJ762" s="18"/>
      <c r="CK762" s="18"/>
      <c r="CL762" s="18"/>
      <c r="CM762" s="18"/>
      <c r="CN762" s="18"/>
      <c r="CO762" s="18"/>
      <c r="CP762" s="18"/>
      <c r="CQ762" s="18"/>
      <c r="CR762" s="18"/>
      <c r="CS762" s="18"/>
      <c r="CT762" s="18"/>
      <c r="CU762" s="18"/>
    </row>
    <row r="763" spans="1:99">
      <c r="A763" s="19"/>
      <c r="B763" s="19"/>
      <c r="C763" s="19"/>
      <c r="D763" s="19"/>
      <c r="E763" s="19"/>
      <c r="F763" s="19"/>
      <c r="G763" s="19"/>
      <c r="H763" s="19"/>
      <c r="I763" s="19"/>
      <c r="J763" s="19"/>
      <c r="K763" s="18"/>
      <c r="L763" s="18"/>
      <c r="M763" s="18"/>
      <c r="N763" s="18"/>
      <c r="O763" s="18"/>
      <c r="P763" s="18"/>
      <c r="Q763" s="18"/>
      <c r="R763" s="18"/>
      <c r="S763" s="18"/>
      <c r="T763" s="18"/>
      <c r="U763" s="18"/>
      <c r="V763" s="18"/>
      <c r="W763" s="18"/>
      <c r="X763" s="18"/>
      <c r="Y763" s="18"/>
      <c r="Z763" s="18"/>
      <c r="AA763" s="18"/>
      <c r="AB763" s="18"/>
      <c r="AC763" s="18"/>
      <c r="AD763" s="18"/>
      <c r="AE763" s="18"/>
      <c r="AF763" s="18"/>
      <c r="AG763" s="18"/>
      <c r="AH763" s="18"/>
      <c r="AI763" s="18"/>
      <c r="AJ763" s="18"/>
      <c r="AK763" s="18"/>
      <c r="AL763" s="18"/>
      <c r="AM763" s="18"/>
      <c r="AN763" s="18"/>
      <c r="AO763" s="18"/>
      <c r="AP763" s="18"/>
      <c r="AQ763" s="18"/>
      <c r="AR763" s="18"/>
      <c r="AS763" s="18"/>
      <c r="AT763" s="18"/>
      <c r="AU763" s="18"/>
      <c r="AV763" s="18"/>
      <c r="AW763" s="18"/>
      <c r="AX763" s="18"/>
      <c r="AY763" s="18"/>
      <c r="AZ763" s="18"/>
      <c r="BA763" s="18"/>
      <c r="BB763" s="18"/>
      <c r="BC763" s="18"/>
      <c r="BD763" s="18"/>
      <c r="BE763" s="18"/>
      <c r="BF763" s="18"/>
      <c r="BG763" s="18"/>
      <c r="BH763" s="18"/>
      <c r="BI763" s="18"/>
      <c r="BJ763" s="18"/>
      <c r="BK763" s="18"/>
      <c r="BL763" s="18"/>
      <c r="BM763" s="18"/>
      <c r="BN763" s="18"/>
      <c r="BO763" s="18"/>
      <c r="BP763" s="18"/>
      <c r="BQ763" s="18"/>
      <c r="BR763" s="18"/>
      <c r="BS763" s="18"/>
      <c r="BT763" s="18"/>
      <c r="BU763" s="18"/>
      <c r="BV763" s="18"/>
      <c r="BW763" s="18"/>
      <c r="BX763" s="18"/>
      <c r="BY763" s="18"/>
      <c r="BZ763" s="18"/>
      <c r="CA763" s="18"/>
      <c r="CB763" s="18"/>
      <c r="CC763" s="18"/>
      <c r="CD763" s="18"/>
      <c r="CE763" s="18"/>
      <c r="CF763" s="18"/>
      <c r="CG763" s="18"/>
      <c r="CH763" s="18"/>
      <c r="CI763" s="18"/>
      <c r="CJ763" s="18"/>
      <c r="CK763" s="18"/>
      <c r="CL763" s="18"/>
      <c r="CM763" s="18"/>
      <c r="CN763" s="18"/>
      <c r="CO763" s="18"/>
      <c r="CP763" s="18"/>
      <c r="CQ763" s="18"/>
      <c r="CR763" s="18"/>
      <c r="CS763" s="18"/>
      <c r="CT763" s="18"/>
      <c r="CU763" s="18"/>
    </row>
    <row r="764" spans="1:99">
      <c r="A764" s="19"/>
      <c r="B764" s="19"/>
      <c r="C764" s="19"/>
      <c r="D764" s="19"/>
      <c r="E764" s="19"/>
      <c r="F764" s="19"/>
      <c r="G764" s="19"/>
      <c r="H764" s="19"/>
      <c r="I764" s="19"/>
      <c r="J764" s="19"/>
      <c r="K764" s="18"/>
      <c r="L764" s="18"/>
      <c r="M764" s="18"/>
      <c r="N764" s="18"/>
      <c r="O764" s="18"/>
      <c r="P764" s="18"/>
      <c r="Q764" s="18"/>
      <c r="R764" s="18"/>
      <c r="S764" s="18"/>
      <c r="T764" s="18"/>
      <c r="U764" s="18"/>
      <c r="V764" s="18"/>
      <c r="W764" s="18"/>
      <c r="X764" s="18"/>
      <c r="Y764" s="18"/>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c r="BC764" s="18"/>
      <c r="BD764" s="18"/>
      <c r="BE764" s="18"/>
      <c r="BF764" s="18"/>
      <c r="BG764" s="18"/>
      <c r="BH764" s="18"/>
      <c r="BI764" s="18"/>
      <c r="BJ764" s="18"/>
      <c r="BK764" s="18"/>
      <c r="BL764" s="18"/>
      <c r="BM764" s="18"/>
      <c r="BN764" s="18"/>
      <c r="BO764" s="18"/>
      <c r="BP764" s="18"/>
      <c r="BQ764" s="18"/>
      <c r="BR764" s="18"/>
      <c r="BS764" s="18"/>
      <c r="BT764" s="18"/>
      <c r="BU764" s="18"/>
      <c r="BV764" s="18"/>
      <c r="BW764" s="18"/>
      <c r="BX764" s="18"/>
      <c r="BY764" s="18"/>
      <c r="BZ764" s="18"/>
      <c r="CA764" s="18"/>
      <c r="CB764" s="18"/>
      <c r="CC764" s="18"/>
      <c r="CD764" s="18"/>
      <c r="CE764" s="18"/>
      <c r="CF764" s="18"/>
      <c r="CG764" s="18"/>
      <c r="CH764" s="18"/>
      <c r="CI764" s="18"/>
      <c r="CJ764" s="18"/>
      <c r="CK764" s="18"/>
      <c r="CL764" s="18"/>
      <c r="CM764" s="18"/>
      <c r="CN764" s="18"/>
      <c r="CO764" s="18"/>
      <c r="CP764" s="18"/>
      <c r="CQ764" s="18"/>
      <c r="CR764" s="18"/>
      <c r="CS764" s="18"/>
      <c r="CT764" s="18"/>
      <c r="CU764" s="18"/>
    </row>
    <row r="765" spans="1:99">
      <c r="A765" s="19"/>
      <c r="B765" s="19"/>
      <c r="C765" s="19"/>
      <c r="D765" s="19"/>
      <c r="E765" s="19"/>
      <c r="F765" s="19"/>
      <c r="G765" s="19"/>
      <c r="H765" s="19"/>
      <c r="I765" s="19"/>
      <c r="J765" s="19"/>
      <c r="K765" s="18"/>
      <c r="L765" s="18"/>
      <c r="M765" s="18"/>
      <c r="N765" s="18"/>
      <c r="O765" s="18"/>
      <c r="P765" s="18"/>
      <c r="Q765" s="18"/>
      <c r="R765" s="18"/>
      <c r="S765" s="18"/>
      <c r="T765" s="18"/>
      <c r="U765" s="18"/>
      <c r="V765" s="18"/>
      <c r="W765" s="18"/>
      <c r="X765" s="18"/>
      <c r="Y765" s="18"/>
      <c r="Z765" s="18"/>
      <c r="AA765" s="18"/>
      <c r="AB765" s="18"/>
      <c r="AC765" s="18"/>
      <c r="AD765" s="18"/>
      <c r="AE765" s="18"/>
      <c r="AF765" s="18"/>
      <c r="AG765" s="18"/>
      <c r="AH765" s="18"/>
      <c r="AI765" s="18"/>
      <c r="AJ765" s="18"/>
      <c r="AK765" s="18"/>
      <c r="AL765" s="18"/>
      <c r="AM765" s="18"/>
      <c r="AN765" s="18"/>
      <c r="AO765" s="18"/>
      <c r="AP765" s="18"/>
      <c r="AQ765" s="18"/>
      <c r="AR765" s="18"/>
      <c r="AS765" s="18"/>
      <c r="AT765" s="18"/>
      <c r="AU765" s="18"/>
      <c r="AV765" s="18"/>
      <c r="AW765" s="18"/>
      <c r="AX765" s="18"/>
      <c r="AY765" s="18"/>
      <c r="AZ765" s="18"/>
      <c r="BA765" s="18"/>
      <c r="BB765" s="18"/>
      <c r="BC765" s="18"/>
      <c r="BD765" s="18"/>
      <c r="BE765" s="18"/>
      <c r="BF765" s="18"/>
      <c r="BG765" s="18"/>
      <c r="BH765" s="18"/>
      <c r="BI765" s="18"/>
      <c r="BJ765" s="18"/>
      <c r="BK765" s="18"/>
      <c r="BL765" s="18"/>
      <c r="BM765" s="18"/>
      <c r="BN765" s="18"/>
      <c r="BO765" s="18"/>
      <c r="BP765" s="18"/>
      <c r="BQ765" s="18"/>
      <c r="BR765" s="18"/>
      <c r="BS765" s="18"/>
      <c r="BT765" s="18"/>
      <c r="BU765" s="18"/>
      <c r="BV765" s="18"/>
      <c r="BW765" s="18"/>
      <c r="BX765" s="18"/>
      <c r="BY765" s="18"/>
      <c r="BZ765" s="18"/>
      <c r="CA765" s="18"/>
      <c r="CB765" s="18"/>
      <c r="CC765" s="18"/>
      <c r="CD765" s="18"/>
      <c r="CE765" s="18"/>
      <c r="CF765" s="18"/>
      <c r="CG765" s="18"/>
      <c r="CH765" s="18"/>
      <c r="CI765" s="18"/>
      <c r="CJ765" s="18"/>
      <c r="CK765" s="18"/>
      <c r="CL765" s="18"/>
      <c r="CM765" s="18"/>
      <c r="CN765" s="18"/>
      <c r="CO765" s="18"/>
      <c r="CP765" s="18"/>
      <c r="CQ765" s="18"/>
      <c r="CR765" s="18"/>
      <c r="CS765" s="18"/>
      <c r="CT765" s="18"/>
      <c r="CU765" s="18"/>
    </row>
    <row r="766" spans="1:99">
      <c r="A766" s="19"/>
      <c r="B766" s="19"/>
      <c r="C766" s="19"/>
      <c r="D766" s="19"/>
      <c r="E766" s="19"/>
      <c r="F766" s="19"/>
      <c r="G766" s="19"/>
      <c r="H766" s="19"/>
      <c r="I766" s="19"/>
      <c r="J766" s="19"/>
      <c r="K766" s="18"/>
      <c r="L766" s="18"/>
      <c r="M766" s="18"/>
      <c r="N766" s="18"/>
      <c r="O766" s="18"/>
      <c r="P766" s="18"/>
      <c r="Q766" s="18"/>
      <c r="R766" s="18"/>
      <c r="S766" s="18"/>
      <c r="T766" s="18"/>
      <c r="U766" s="18"/>
      <c r="V766" s="18"/>
      <c r="W766" s="18"/>
      <c r="X766" s="18"/>
      <c r="Y766" s="18"/>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c r="BC766" s="18"/>
      <c r="BD766" s="18"/>
      <c r="BE766" s="18"/>
      <c r="BF766" s="18"/>
      <c r="BG766" s="18"/>
      <c r="BH766" s="18"/>
      <c r="BI766" s="18"/>
      <c r="BJ766" s="18"/>
      <c r="BK766" s="18"/>
      <c r="BL766" s="18"/>
      <c r="BM766" s="18"/>
      <c r="BN766" s="18"/>
      <c r="BO766" s="18"/>
      <c r="BP766" s="18"/>
      <c r="BQ766" s="18"/>
      <c r="BR766" s="18"/>
      <c r="BS766" s="18"/>
      <c r="BT766" s="18"/>
      <c r="BU766" s="18"/>
      <c r="BV766" s="18"/>
      <c r="BW766" s="18"/>
      <c r="BX766" s="18"/>
      <c r="BY766" s="18"/>
      <c r="BZ766" s="18"/>
      <c r="CA766" s="18"/>
      <c r="CB766" s="18"/>
      <c r="CC766" s="18"/>
      <c r="CD766" s="18"/>
      <c r="CE766" s="18"/>
      <c r="CF766" s="18"/>
      <c r="CG766" s="18"/>
      <c r="CH766" s="18"/>
      <c r="CI766" s="18"/>
      <c r="CJ766" s="18"/>
      <c r="CK766" s="18"/>
      <c r="CL766" s="18"/>
      <c r="CM766" s="18"/>
      <c r="CN766" s="18"/>
      <c r="CO766" s="18"/>
      <c r="CP766" s="18"/>
      <c r="CQ766" s="18"/>
      <c r="CR766" s="18"/>
      <c r="CS766" s="18"/>
      <c r="CT766" s="18"/>
      <c r="CU766" s="18"/>
    </row>
    <row r="767" spans="1:99">
      <c r="A767" s="19"/>
      <c r="B767" s="19"/>
      <c r="C767" s="19"/>
      <c r="D767" s="19"/>
      <c r="E767" s="19"/>
      <c r="F767" s="19"/>
      <c r="G767" s="19"/>
      <c r="H767" s="19"/>
      <c r="I767" s="19"/>
      <c r="J767" s="19"/>
      <c r="K767" s="18"/>
      <c r="L767" s="18"/>
      <c r="M767" s="18"/>
      <c r="N767" s="18"/>
      <c r="O767" s="18"/>
      <c r="P767" s="18"/>
      <c r="Q767" s="18"/>
      <c r="R767" s="18"/>
      <c r="S767" s="18"/>
      <c r="T767" s="18"/>
      <c r="U767" s="18"/>
      <c r="V767" s="18"/>
      <c r="W767" s="18"/>
      <c r="X767" s="18"/>
      <c r="Y767" s="18"/>
      <c r="Z767" s="18"/>
      <c r="AA767" s="18"/>
      <c r="AB767" s="18"/>
      <c r="AC767" s="18"/>
      <c r="AD767" s="18"/>
      <c r="AE767" s="18"/>
      <c r="AF767" s="18"/>
      <c r="AG767" s="18"/>
      <c r="AH767" s="18"/>
      <c r="AI767" s="18"/>
      <c r="AJ767" s="18"/>
      <c r="AK767" s="18"/>
      <c r="AL767" s="18"/>
      <c r="AM767" s="18"/>
      <c r="AN767" s="18"/>
      <c r="AO767" s="18"/>
      <c r="AP767" s="18"/>
      <c r="AQ767" s="18"/>
      <c r="AR767" s="18"/>
      <c r="AS767" s="18"/>
      <c r="AT767" s="18"/>
      <c r="AU767" s="18"/>
      <c r="AV767" s="18"/>
      <c r="AW767" s="18"/>
      <c r="AX767" s="18"/>
      <c r="AY767" s="18"/>
      <c r="AZ767" s="18"/>
      <c r="BA767" s="18"/>
      <c r="BB767" s="18"/>
      <c r="BC767" s="18"/>
      <c r="BD767" s="18"/>
      <c r="BE767" s="18"/>
      <c r="BF767" s="18"/>
      <c r="BG767" s="18"/>
      <c r="BH767" s="18"/>
      <c r="BI767" s="18"/>
      <c r="BJ767" s="18"/>
      <c r="BK767" s="18"/>
      <c r="BL767" s="18"/>
      <c r="BM767" s="18"/>
      <c r="BN767" s="18"/>
      <c r="BO767" s="18"/>
      <c r="BP767" s="18"/>
      <c r="BQ767" s="18"/>
      <c r="BR767" s="18"/>
      <c r="BS767" s="18"/>
      <c r="BT767" s="18"/>
      <c r="BU767" s="18"/>
      <c r="BV767" s="18"/>
      <c r="BW767" s="18"/>
      <c r="BX767" s="18"/>
      <c r="BY767" s="18"/>
      <c r="BZ767" s="18"/>
      <c r="CA767" s="18"/>
      <c r="CB767" s="18"/>
      <c r="CC767" s="18"/>
      <c r="CD767" s="18"/>
      <c r="CE767" s="18"/>
      <c r="CF767" s="18"/>
      <c r="CG767" s="18"/>
      <c r="CH767" s="18"/>
      <c r="CI767" s="18"/>
      <c r="CJ767" s="18"/>
      <c r="CK767" s="18"/>
      <c r="CL767" s="18"/>
      <c r="CM767" s="18"/>
      <c r="CN767" s="18"/>
      <c r="CO767" s="18"/>
      <c r="CP767" s="18"/>
      <c r="CQ767" s="18"/>
      <c r="CR767" s="18"/>
      <c r="CS767" s="18"/>
      <c r="CT767" s="18"/>
      <c r="CU767" s="18"/>
    </row>
    <row r="768" spans="1:99">
      <c r="A768" s="19"/>
      <c r="B768" s="19"/>
      <c r="C768" s="19"/>
      <c r="D768" s="19"/>
      <c r="E768" s="19"/>
      <c r="F768" s="19"/>
      <c r="G768" s="19"/>
      <c r="H768" s="19"/>
      <c r="I768" s="19"/>
      <c r="J768" s="19"/>
      <c r="K768" s="18"/>
      <c r="L768" s="18"/>
      <c r="M768" s="18"/>
      <c r="N768" s="18"/>
      <c r="O768" s="18"/>
      <c r="P768" s="18"/>
      <c r="Q768" s="18"/>
      <c r="R768" s="18"/>
      <c r="S768" s="18"/>
      <c r="T768" s="18"/>
      <c r="U768" s="18"/>
      <c r="V768" s="18"/>
      <c r="W768" s="18"/>
      <c r="X768" s="18"/>
      <c r="Y768" s="18"/>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c r="BC768" s="18"/>
      <c r="BD768" s="18"/>
      <c r="BE768" s="18"/>
      <c r="BF768" s="18"/>
      <c r="BG768" s="18"/>
      <c r="BH768" s="18"/>
      <c r="BI768" s="18"/>
      <c r="BJ768" s="18"/>
      <c r="BK768" s="18"/>
      <c r="BL768" s="18"/>
      <c r="BM768" s="18"/>
      <c r="BN768" s="18"/>
      <c r="BO768" s="18"/>
      <c r="BP768" s="18"/>
      <c r="BQ768" s="18"/>
      <c r="BR768" s="18"/>
      <c r="BS768" s="18"/>
      <c r="BT768" s="18"/>
      <c r="BU768" s="18"/>
      <c r="BV768" s="18"/>
      <c r="BW768" s="18"/>
      <c r="BX768" s="18"/>
      <c r="BY768" s="18"/>
      <c r="BZ768" s="18"/>
      <c r="CA768" s="18"/>
      <c r="CB768" s="18"/>
      <c r="CC768" s="18"/>
      <c r="CD768" s="18"/>
      <c r="CE768" s="18"/>
      <c r="CF768" s="18"/>
      <c r="CG768" s="18"/>
      <c r="CH768" s="18"/>
      <c r="CI768" s="18"/>
      <c r="CJ768" s="18"/>
      <c r="CK768" s="18"/>
      <c r="CL768" s="18"/>
      <c r="CM768" s="18"/>
      <c r="CN768" s="18"/>
      <c r="CO768" s="18"/>
      <c r="CP768" s="18"/>
      <c r="CQ768" s="18"/>
      <c r="CR768" s="18"/>
      <c r="CS768" s="18"/>
      <c r="CT768" s="18"/>
      <c r="CU768" s="18"/>
    </row>
    <row r="769" spans="1:99">
      <c r="A769" s="19"/>
      <c r="B769" s="19"/>
      <c r="C769" s="19"/>
      <c r="D769" s="19"/>
      <c r="E769" s="19"/>
      <c r="F769" s="19"/>
      <c r="G769" s="19"/>
      <c r="H769" s="19"/>
      <c r="I769" s="19"/>
      <c r="J769" s="19"/>
      <c r="K769" s="18"/>
      <c r="L769" s="18"/>
      <c r="M769" s="18"/>
      <c r="N769" s="18"/>
      <c r="O769" s="18"/>
      <c r="P769" s="18"/>
      <c r="Q769" s="18"/>
      <c r="R769" s="18"/>
      <c r="S769" s="18"/>
      <c r="T769" s="18"/>
      <c r="U769" s="18"/>
      <c r="V769" s="18"/>
      <c r="W769" s="18"/>
      <c r="X769" s="18"/>
      <c r="Y769" s="18"/>
      <c r="Z769" s="18"/>
      <c r="AA769" s="18"/>
      <c r="AB769" s="18"/>
      <c r="AC769" s="18"/>
      <c r="AD769" s="18"/>
      <c r="AE769" s="18"/>
      <c r="AF769" s="18"/>
      <c r="AG769" s="18"/>
      <c r="AH769" s="18"/>
      <c r="AI769" s="18"/>
      <c r="AJ769" s="18"/>
      <c r="AK769" s="18"/>
      <c r="AL769" s="18"/>
      <c r="AM769" s="18"/>
      <c r="AN769" s="18"/>
      <c r="AO769" s="18"/>
      <c r="AP769" s="18"/>
      <c r="AQ769" s="18"/>
      <c r="AR769" s="18"/>
      <c r="AS769" s="18"/>
      <c r="AT769" s="18"/>
      <c r="AU769" s="18"/>
      <c r="AV769" s="18"/>
      <c r="AW769" s="18"/>
      <c r="AX769" s="18"/>
      <c r="AY769" s="18"/>
      <c r="AZ769" s="18"/>
      <c r="BA769" s="18"/>
      <c r="BB769" s="18"/>
      <c r="BC769" s="18"/>
      <c r="BD769" s="18"/>
      <c r="BE769" s="18"/>
      <c r="BF769" s="18"/>
      <c r="BG769" s="18"/>
      <c r="BH769" s="18"/>
      <c r="BI769" s="18"/>
      <c r="BJ769" s="18"/>
      <c r="BK769" s="18"/>
      <c r="BL769" s="18"/>
      <c r="BM769" s="18"/>
      <c r="BN769" s="18"/>
      <c r="BO769" s="18"/>
      <c r="BP769" s="18"/>
      <c r="BQ769" s="18"/>
      <c r="BR769" s="18"/>
      <c r="BS769" s="18"/>
      <c r="BT769" s="18"/>
      <c r="BU769" s="18"/>
      <c r="BV769" s="18"/>
      <c r="BW769" s="18"/>
      <c r="BX769" s="18"/>
      <c r="BY769" s="18"/>
      <c r="BZ769" s="18"/>
      <c r="CA769" s="18"/>
      <c r="CB769" s="18"/>
      <c r="CC769" s="18"/>
      <c r="CD769" s="18"/>
      <c r="CE769" s="18"/>
      <c r="CF769" s="18"/>
      <c r="CG769" s="18"/>
      <c r="CH769" s="18"/>
      <c r="CI769" s="18"/>
      <c r="CJ769" s="18"/>
      <c r="CK769" s="18"/>
      <c r="CL769" s="18"/>
      <c r="CM769" s="18"/>
      <c r="CN769" s="18"/>
      <c r="CO769" s="18"/>
      <c r="CP769" s="18"/>
      <c r="CQ769" s="18"/>
      <c r="CR769" s="18"/>
      <c r="CS769" s="18"/>
      <c r="CT769" s="18"/>
      <c r="CU769" s="18"/>
    </row>
    <row r="770" spans="1:99">
      <c r="A770" s="19"/>
      <c r="B770" s="19"/>
      <c r="C770" s="19"/>
      <c r="D770" s="19"/>
      <c r="E770" s="19"/>
      <c r="F770" s="19"/>
      <c r="G770" s="19"/>
      <c r="H770" s="19"/>
      <c r="I770" s="19"/>
      <c r="J770" s="19"/>
      <c r="K770" s="18"/>
      <c r="L770" s="18"/>
      <c r="M770" s="18"/>
      <c r="N770" s="18"/>
      <c r="O770" s="18"/>
      <c r="P770" s="18"/>
      <c r="Q770" s="18"/>
      <c r="R770" s="18"/>
      <c r="S770" s="18"/>
      <c r="T770" s="18"/>
      <c r="U770" s="18"/>
      <c r="V770" s="18"/>
      <c r="W770" s="18"/>
      <c r="X770" s="18"/>
      <c r="Y770" s="18"/>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c r="BC770" s="18"/>
      <c r="BD770" s="18"/>
      <c r="BE770" s="18"/>
      <c r="BF770" s="18"/>
      <c r="BG770" s="18"/>
      <c r="BH770" s="18"/>
      <c r="BI770" s="18"/>
      <c r="BJ770" s="18"/>
      <c r="BK770" s="18"/>
      <c r="BL770" s="18"/>
      <c r="BM770" s="18"/>
      <c r="BN770" s="18"/>
      <c r="BO770" s="18"/>
      <c r="BP770" s="18"/>
      <c r="BQ770" s="18"/>
      <c r="BR770" s="18"/>
      <c r="BS770" s="18"/>
      <c r="BT770" s="18"/>
      <c r="BU770" s="18"/>
      <c r="BV770" s="18"/>
      <c r="BW770" s="18"/>
      <c r="BX770" s="18"/>
      <c r="BY770" s="18"/>
      <c r="BZ770" s="18"/>
      <c r="CA770" s="18"/>
      <c r="CB770" s="18"/>
      <c r="CC770" s="18"/>
      <c r="CD770" s="18"/>
      <c r="CE770" s="18"/>
      <c r="CF770" s="18"/>
      <c r="CG770" s="18"/>
      <c r="CH770" s="18"/>
      <c r="CI770" s="18"/>
      <c r="CJ770" s="18"/>
      <c r="CK770" s="18"/>
      <c r="CL770" s="18"/>
      <c r="CM770" s="18"/>
      <c r="CN770" s="18"/>
      <c r="CO770" s="18"/>
      <c r="CP770" s="18"/>
      <c r="CQ770" s="18"/>
      <c r="CR770" s="18"/>
      <c r="CS770" s="18"/>
      <c r="CT770" s="18"/>
      <c r="CU770" s="18"/>
    </row>
    <row r="771" spans="1:99">
      <c r="A771" s="19"/>
      <c r="B771" s="19"/>
      <c r="C771" s="19"/>
      <c r="D771" s="19"/>
      <c r="E771" s="19"/>
      <c r="F771" s="19"/>
      <c r="G771" s="19"/>
      <c r="H771" s="19"/>
      <c r="I771" s="19"/>
      <c r="J771" s="19"/>
      <c r="K771" s="18"/>
      <c r="L771" s="18"/>
      <c r="M771" s="18"/>
      <c r="N771" s="18"/>
      <c r="O771" s="18"/>
      <c r="P771" s="18"/>
      <c r="Q771" s="18"/>
      <c r="R771" s="18"/>
      <c r="S771" s="18"/>
      <c r="T771" s="18"/>
      <c r="U771" s="18"/>
      <c r="V771" s="18"/>
      <c r="W771" s="18"/>
      <c r="X771" s="18"/>
      <c r="Y771" s="18"/>
      <c r="Z771" s="18"/>
      <c r="AA771" s="18"/>
      <c r="AB771" s="18"/>
      <c r="AC771" s="18"/>
      <c r="AD771" s="18"/>
      <c r="AE771" s="18"/>
      <c r="AF771" s="18"/>
      <c r="AG771" s="18"/>
      <c r="AH771" s="18"/>
      <c r="AI771" s="18"/>
      <c r="AJ771" s="18"/>
      <c r="AK771" s="18"/>
      <c r="AL771" s="18"/>
      <c r="AM771" s="18"/>
      <c r="AN771" s="18"/>
      <c r="AO771" s="18"/>
      <c r="AP771" s="18"/>
      <c r="AQ771" s="18"/>
      <c r="AR771" s="18"/>
      <c r="AS771" s="18"/>
      <c r="AT771" s="18"/>
      <c r="AU771" s="18"/>
      <c r="AV771" s="18"/>
      <c r="AW771" s="18"/>
      <c r="AX771" s="18"/>
      <c r="AY771" s="18"/>
      <c r="AZ771" s="18"/>
      <c r="BA771" s="18"/>
      <c r="BB771" s="18"/>
      <c r="BC771" s="18"/>
      <c r="BD771" s="18"/>
      <c r="BE771" s="18"/>
      <c r="BF771" s="18"/>
      <c r="BG771" s="18"/>
      <c r="BH771" s="18"/>
      <c r="BI771" s="18"/>
      <c r="BJ771" s="18"/>
      <c r="BK771" s="18"/>
      <c r="BL771" s="18"/>
      <c r="BM771" s="18"/>
      <c r="BN771" s="18"/>
      <c r="BO771" s="18"/>
      <c r="BP771" s="18"/>
      <c r="BQ771" s="18"/>
      <c r="BR771" s="18"/>
      <c r="BS771" s="18"/>
      <c r="BT771" s="18"/>
      <c r="BU771" s="18"/>
      <c r="BV771" s="18"/>
      <c r="BW771" s="18"/>
      <c r="BX771" s="18"/>
      <c r="BY771" s="18"/>
      <c r="BZ771" s="18"/>
      <c r="CA771" s="18"/>
      <c r="CB771" s="18"/>
      <c r="CC771" s="18"/>
      <c r="CD771" s="18"/>
      <c r="CE771" s="18"/>
      <c r="CF771" s="18"/>
      <c r="CG771" s="18"/>
      <c r="CH771" s="18"/>
      <c r="CI771" s="18"/>
      <c r="CJ771" s="18"/>
      <c r="CK771" s="18"/>
      <c r="CL771" s="18"/>
      <c r="CM771" s="18"/>
      <c r="CN771" s="18"/>
      <c r="CO771" s="18"/>
      <c r="CP771" s="18"/>
      <c r="CQ771" s="18"/>
      <c r="CR771" s="18"/>
      <c r="CS771" s="18"/>
      <c r="CT771" s="18"/>
      <c r="CU771" s="18"/>
    </row>
    <row r="772" spans="1:99">
      <c r="A772" s="19"/>
      <c r="B772" s="19"/>
      <c r="C772" s="19"/>
      <c r="D772" s="19"/>
      <c r="E772" s="19"/>
      <c r="F772" s="19"/>
      <c r="G772" s="19"/>
      <c r="H772" s="19"/>
      <c r="I772" s="19"/>
      <c r="J772" s="19"/>
      <c r="K772" s="18"/>
      <c r="L772" s="18"/>
      <c r="M772" s="18"/>
      <c r="N772" s="18"/>
      <c r="O772" s="18"/>
      <c r="P772" s="18"/>
      <c r="Q772" s="18"/>
      <c r="R772" s="18"/>
      <c r="S772" s="18"/>
      <c r="T772" s="18"/>
      <c r="U772" s="18"/>
      <c r="V772" s="18"/>
      <c r="W772" s="18"/>
      <c r="X772" s="18"/>
      <c r="Y772" s="18"/>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c r="BC772" s="18"/>
      <c r="BD772" s="18"/>
      <c r="BE772" s="18"/>
      <c r="BF772" s="18"/>
      <c r="BG772" s="18"/>
      <c r="BH772" s="18"/>
      <c r="BI772" s="18"/>
      <c r="BJ772" s="18"/>
      <c r="BK772" s="18"/>
      <c r="BL772" s="18"/>
      <c r="BM772" s="18"/>
      <c r="BN772" s="18"/>
      <c r="BO772" s="18"/>
      <c r="BP772" s="18"/>
      <c r="BQ772" s="18"/>
      <c r="BR772" s="18"/>
      <c r="BS772" s="18"/>
      <c r="BT772" s="18"/>
      <c r="BU772" s="18"/>
      <c r="BV772" s="18"/>
      <c r="BW772" s="18"/>
      <c r="BX772" s="18"/>
      <c r="BY772" s="18"/>
      <c r="BZ772" s="18"/>
      <c r="CA772" s="18"/>
      <c r="CB772" s="18"/>
      <c r="CC772" s="18"/>
      <c r="CD772" s="18"/>
      <c r="CE772" s="18"/>
      <c r="CF772" s="18"/>
      <c r="CG772" s="18"/>
      <c r="CH772" s="18"/>
      <c r="CI772" s="18"/>
      <c r="CJ772" s="18"/>
      <c r="CK772" s="18"/>
      <c r="CL772" s="18"/>
      <c r="CM772" s="18"/>
      <c r="CN772" s="18"/>
      <c r="CO772" s="18"/>
      <c r="CP772" s="18"/>
      <c r="CQ772" s="18"/>
      <c r="CR772" s="18"/>
      <c r="CS772" s="18"/>
      <c r="CT772" s="18"/>
      <c r="CU772" s="18"/>
    </row>
    <row r="773" spans="1:99">
      <c r="A773" s="19"/>
      <c r="B773" s="19"/>
      <c r="C773" s="19"/>
      <c r="D773" s="19"/>
      <c r="E773" s="19"/>
      <c r="F773" s="19"/>
      <c r="G773" s="19"/>
      <c r="H773" s="19"/>
      <c r="I773" s="19"/>
      <c r="J773" s="19"/>
      <c r="K773" s="18"/>
      <c r="L773" s="18"/>
      <c r="M773" s="18"/>
      <c r="N773" s="18"/>
      <c r="O773" s="18"/>
      <c r="P773" s="18"/>
      <c r="Q773" s="18"/>
      <c r="R773" s="18"/>
      <c r="S773" s="18"/>
      <c r="T773" s="18"/>
      <c r="U773" s="18"/>
      <c r="V773" s="18"/>
      <c r="W773" s="18"/>
      <c r="X773" s="18"/>
      <c r="Y773" s="18"/>
      <c r="Z773" s="18"/>
      <c r="AA773" s="18"/>
      <c r="AB773" s="18"/>
      <c r="AC773" s="18"/>
      <c r="AD773" s="18"/>
      <c r="AE773" s="18"/>
      <c r="AF773" s="18"/>
      <c r="AG773" s="18"/>
      <c r="AH773" s="18"/>
      <c r="AI773" s="18"/>
      <c r="AJ773" s="18"/>
      <c r="AK773" s="18"/>
      <c r="AL773" s="18"/>
      <c r="AM773" s="18"/>
      <c r="AN773" s="18"/>
      <c r="AO773" s="18"/>
      <c r="AP773" s="18"/>
      <c r="AQ773" s="18"/>
      <c r="AR773" s="18"/>
      <c r="AS773" s="18"/>
      <c r="AT773" s="18"/>
      <c r="AU773" s="18"/>
      <c r="AV773" s="18"/>
      <c r="AW773" s="18"/>
      <c r="AX773" s="18"/>
      <c r="AY773" s="18"/>
      <c r="AZ773" s="18"/>
      <c r="BA773" s="18"/>
      <c r="BB773" s="18"/>
      <c r="BC773" s="18"/>
      <c r="BD773" s="18"/>
      <c r="BE773" s="18"/>
      <c r="BF773" s="18"/>
      <c r="BG773" s="18"/>
      <c r="BH773" s="18"/>
      <c r="BI773" s="18"/>
      <c r="BJ773" s="18"/>
      <c r="BK773" s="18"/>
      <c r="BL773" s="18"/>
      <c r="BM773" s="18"/>
      <c r="BN773" s="18"/>
      <c r="BO773" s="18"/>
      <c r="BP773" s="18"/>
      <c r="BQ773" s="18"/>
      <c r="BR773" s="18"/>
      <c r="BS773" s="18"/>
      <c r="BT773" s="18"/>
      <c r="BU773" s="18"/>
      <c r="BV773" s="18"/>
      <c r="BW773" s="18"/>
      <c r="BX773" s="18"/>
      <c r="BY773" s="18"/>
      <c r="BZ773" s="18"/>
      <c r="CA773" s="18"/>
      <c r="CB773" s="18"/>
      <c r="CC773" s="18"/>
      <c r="CD773" s="18"/>
      <c r="CE773" s="18"/>
      <c r="CF773" s="18"/>
      <c r="CG773" s="18"/>
      <c r="CH773" s="18"/>
      <c r="CI773" s="18"/>
      <c r="CJ773" s="18"/>
      <c r="CK773" s="18"/>
      <c r="CL773" s="18"/>
      <c r="CM773" s="18"/>
      <c r="CN773" s="18"/>
      <c r="CO773" s="18"/>
      <c r="CP773" s="18"/>
      <c r="CQ773" s="18"/>
      <c r="CR773" s="18"/>
      <c r="CS773" s="18"/>
      <c r="CT773" s="18"/>
      <c r="CU773" s="18"/>
    </row>
    <row r="774" spans="1:99">
      <c r="A774" s="19"/>
      <c r="B774" s="19"/>
      <c r="C774" s="19"/>
      <c r="D774" s="19"/>
      <c r="E774" s="19"/>
      <c r="F774" s="19"/>
      <c r="G774" s="19"/>
      <c r="H774" s="19"/>
      <c r="I774" s="19"/>
      <c r="J774" s="19"/>
      <c r="K774" s="18"/>
      <c r="L774" s="18"/>
      <c r="M774" s="18"/>
      <c r="N774" s="18"/>
      <c r="O774" s="18"/>
      <c r="P774" s="18"/>
      <c r="Q774" s="18"/>
      <c r="R774" s="18"/>
      <c r="S774" s="18"/>
      <c r="T774" s="18"/>
      <c r="U774" s="18"/>
      <c r="V774" s="18"/>
      <c r="W774" s="18"/>
      <c r="X774" s="18"/>
      <c r="Y774" s="18"/>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c r="BC774" s="18"/>
      <c r="BD774" s="18"/>
      <c r="BE774" s="18"/>
      <c r="BF774" s="18"/>
      <c r="BG774" s="18"/>
      <c r="BH774" s="18"/>
      <c r="BI774" s="18"/>
      <c r="BJ774" s="18"/>
      <c r="BK774" s="18"/>
      <c r="BL774" s="18"/>
      <c r="BM774" s="18"/>
      <c r="BN774" s="18"/>
      <c r="BO774" s="18"/>
      <c r="BP774" s="18"/>
      <c r="BQ774" s="18"/>
      <c r="BR774" s="18"/>
      <c r="BS774" s="18"/>
      <c r="BT774" s="18"/>
      <c r="BU774" s="18"/>
      <c r="BV774" s="18"/>
      <c r="BW774" s="18"/>
      <c r="BX774" s="18"/>
      <c r="BY774" s="18"/>
      <c r="BZ774" s="18"/>
      <c r="CA774" s="18"/>
      <c r="CB774" s="18"/>
      <c r="CC774" s="18"/>
      <c r="CD774" s="18"/>
      <c r="CE774" s="18"/>
      <c r="CF774" s="18"/>
      <c r="CG774" s="18"/>
      <c r="CH774" s="18"/>
      <c r="CI774" s="18"/>
      <c r="CJ774" s="18"/>
      <c r="CK774" s="18"/>
      <c r="CL774" s="18"/>
      <c r="CM774" s="18"/>
      <c r="CN774" s="18"/>
      <c r="CO774" s="18"/>
      <c r="CP774" s="18"/>
      <c r="CQ774" s="18"/>
      <c r="CR774" s="18"/>
      <c r="CS774" s="18"/>
      <c r="CT774" s="18"/>
      <c r="CU774" s="18"/>
    </row>
    <row r="775" spans="1:99">
      <c r="A775" s="19"/>
      <c r="B775" s="19"/>
      <c r="C775" s="19"/>
      <c r="D775" s="19"/>
      <c r="E775" s="19"/>
      <c r="F775" s="19"/>
      <c r="G775" s="19"/>
      <c r="H775" s="19"/>
      <c r="I775" s="19"/>
      <c r="J775" s="19"/>
      <c r="K775" s="18"/>
      <c r="L775" s="18"/>
      <c r="M775" s="18"/>
      <c r="N775" s="18"/>
      <c r="O775" s="18"/>
      <c r="P775" s="18"/>
      <c r="Q775" s="18"/>
      <c r="R775" s="18"/>
      <c r="S775" s="18"/>
      <c r="T775" s="18"/>
      <c r="U775" s="18"/>
      <c r="V775" s="18"/>
      <c r="W775" s="18"/>
      <c r="X775" s="18"/>
      <c r="Y775" s="18"/>
      <c r="Z775" s="18"/>
      <c r="AA775" s="18"/>
      <c r="AB775" s="18"/>
      <c r="AC775" s="18"/>
      <c r="AD775" s="18"/>
      <c r="AE775" s="18"/>
      <c r="AF775" s="18"/>
      <c r="AG775" s="18"/>
      <c r="AH775" s="18"/>
      <c r="AI775" s="18"/>
      <c r="AJ775" s="18"/>
      <c r="AK775" s="18"/>
      <c r="AL775" s="18"/>
      <c r="AM775" s="18"/>
      <c r="AN775" s="18"/>
      <c r="AO775" s="18"/>
      <c r="AP775" s="18"/>
      <c r="AQ775" s="18"/>
      <c r="AR775" s="18"/>
      <c r="AS775" s="18"/>
      <c r="AT775" s="18"/>
      <c r="AU775" s="18"/>
      <c r="AV775" s="18"/>
      <c r="AW775" s="18"/>
      <c r="AX775" s="18"/>
      <c r="AY775" s="18"/>
      <c r="AZ775" s="18"/>
      <c r="BA775" s="18"/>
      <c r="BB775" s="18"/>
      <c r="BC775" s="18"/>
      <c r="BD775" s="18"/>
      <c r="BE775" s="18"/>
      <c r="BF775" s="18"/>
      <c r="BG775" s="18"/>
      <c r="BH775" s="18"/>
      <c r="BI775" s="18"/>
      <c r="BJ775" s="18"/>
      <c r="BK775" s="18"/>
      <c r="BL775" s="18"/>
      <c r="BM775" s="18"/>
      <c r="BN775" s="18"/>
      <c r="BO775" s="18"/>
      <c r="BP775" s="18"/>
      <c r="BQ775" s="18"/>
      <c r="BR775" s="18"/>
      <c r="BS775" s="18"/>
      <c r="BT775" s="18"/>
      <c r="BU775" s="18"/>
      <c r="BV775" s="18"/>
      <c r="BW775" s="18"/>
      <c r="BX775" s="18"/>
      <c r="BY775" s="18"/>
      <c r="BZ775" s="18"/>
      <c r="CA775" s="18"/>
      <c r="CB775" s="18"/>
      <c r="CC775" s="18"/>
      <c r="CD775" s="18"/>
      <c r="CE775" s="18"/>
      <c r="CF775" s="18"/>
      <c r="CG775" s="18"/>
      <c r="CH775" s="18"/>
      <c r="CI775" s="18"/>
      <c r="CJ775" s="18"/>
      <c r="CK775" s="18"/>
      <c r="CL775" s="18"/>
      <c r="CM775" s="18"/>
      <c r="CN775" s="18"/>
      <c r="CO775" s="18"/>
      <c r="CP775" s="18"/>
      <c r="CQ775" s="18"/>
      <c r="CR775" s="18"/>
      <c r="CS775" s="18"/>
      <c r="CT775" s="18"/>
      <c r="CU775" s="18"/>
    </row>
    <row r="776" spans="1:99">
      <c r="A776" s="19"/>
      <c r="B776" s="19"/>
      <c r="C776" s="19"/>
      <c r="D776" s="19"/>
      <c r="E776" s="19"/>
      <c r="F776" s="19"/>
      <c r="G776" s="19"/>
      <c r="H776" s="19"/>
      <c r="I776" s="19"/>
      <c r="J776" s="19"/>
      <c r="K776" s="18"/>
      <c r="L776" s="18"/>
      <c r="M776" s="18"/>
      <c r="N776" s="18"/>
      <c r="O776" s="18"/>
      <c r="P776" s="18"/>
      <c r="Q776" s="18"/>
      <c r="R776" s="18"/>
      <c r="S776" s="18"/>
      <c r="T776" s="18"/>
      <c r="U776" s="18"/>
      <c r="V776" s="18"/>
      <c r="W776" s="18"/>
      <c r="X776" s="18"/>
      <c r="Y776" s="18"/>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c r="BC776" s="18"/>
      <c r="BD776" s="18"/>
      <c r="BE776" s="18"/>
      <c r="BF776" s="18"/>
      <c r="BG776" s="18"/>
      <c r="BH776" s="18"/>
      <c r="BI776" s="18"/>
      <c r="BJ776" s="18"/>
      <c r="BK776" s="18"/>
      <c r="BL776" s="18"/>
      <c r="BM776" s="18"/>
      <c r="BN776" s="18"/>
      <c r="BO776" s="18"/>
      <c r="BP776" s="18"/>
      <c r="BQ776" s="18"/>
      <c r="BR776" s="18"/>
      <c r="BS776" s="18"/>
      <c r="BT776" s="18"/>
      <c r="BU776" s="18"/>
      <c r="BV776" s="18"/>
      <c r="BW776" s="18"/>
      <c r="BX776" s="18"/>
      <c r="BY776" s="18"/>
      <c r="BZ776" s="18"/>
      <c r="CA776" s="18"/>
      <c r="CB776" s="18"/>
      <c r="CC776" s="18"/>
      <c r="CD776" s="18"/>
      <c r="CE776" s="18"/>
      <c r="CF776" s="18"/>
      <c r="CG776" s="18"/>
      <c r="CH776" s="18"/>
      <c r="CI776" s="18"/>
      <c r="CJ776" s="18"/>
      <c r="CK776" s="18"/>
      <c r="CL776" s="18"/>
      <c r="CM776" s="18"/>
      <c r="CN776" s="18"/>
      <c r="CO776" s="18"/>
      <c r="CP776" s="18"/>
      <c r="CQ776" s="18"/>
      <c r="CR776" s="18"/>
      <c r="CS776" s="18"/>
      <c r="CT776" s="18"/>
      <c r="CU776" s="18"/>
    </row>
    <row r="777" spans="1:99">
      <c r="A777" s="19"/>
      <c r="B777" s="19"/>
      <c r="C777" s="19"/>
      <c r="D777" s="19"/>
      <c r="E777" s="19"/>
      <c r="F777" s="19"/>
      <c r="G777" s="19"/>
      <c r="H777" s="19"/>
      <c r="I777" s="19"/>
      <c r="J777" s="19"/>
      <c r="K777" s="18"/>
      <c r="L777" s="18"/>
      <c r="M777" s="18"/>
      <c r="N777" s="18"/>
      <c r="O777" s="18"/>
      <c r="P777" s="18"/>
      <c r="Q777" s="18"/>
      <c r="R777" s="18"/>
      <c r="S777" s="18"/>
      <c r="T777" s="18"/>
      <c r="U777" s="18"/>
      <c r="V777" s="18"/>
      <c r="W777" s="18"/>
      <c r="X777" s="18"/>
      <c r="Y777" s="18"/>
      <c r="Z777" s="18"/>
      <c r="AA777" s="18"/>
      <c r="AB777" s="18"/>
      <c r="AC777" s="18"/>
      <c r="AD777" s="18"/>
      <c r="AE777" s="18"/>
      <c r="AF777" s="18"/>
      <c r="AG777" s="18"/>
      <c r="AH777" s="18"/>
      <c r="AI777" s="18"/>
      <c r="AJ777" s="18"/>
      <c r="AK777" s="18"/>
      <c r="AL777" s="18"/>
      <c r="AM777" s="18"/>
      <c r="AN777" s="18"/>
      <c r="AO777" s="18"/>
      <c r="AP777" s="18"/>
      <c r="AQ777" s="18"/>
      <c r="AR777" s="18"/>
      <c r="AS777" s="18"/>
      <c r="AT777" s="18"/>
      <c r="AU777" s="18"/>
      <c r="AV777" s="18"/>
      <c r="AW777" s="18"/>
      <c r="AX777" s="18"/>
      <c r="AY777" s="18"/>
      <c r="AZ777" s="18"/>
      <c r="BA777" s="18"/>
      <c r="BB777" s="18"/>
      <c r="BC777" s="18"/>
      <c r="BD777" s="18"/>
      <c r="BE777" s="18"/>
      <c r="BF777" s="18"/>
      <c r="BG777" s="18"/>
      <c r="BH777" s="18"/>
      <c r="BI777" s="18"/>
      <c r="BJ777" s="18"/>
      <c r="BK777" s="18"/>
      <c r="BL777" s="18"/>
      <c r="BM777" s="18"/>
      <c r="BN777" s="18"/>
      <c r="BO777" s="18"/>
      <c r="BP777" s="18"/>
      <c r="BQ777" s="18"/>
      <c r="BR777" s="18"/>
      <c r="BS777" s="18"/>
      <c r="BT777" s="18"/>
      <c r="BU777" s="18"/>
      <c r="BV777" s="18"/>
      <c r="BW777" s="18"/>
      <c r="BX777" s="18"/>
      <c r="BY777" s="18"/>
      <c r="BZ777" s="18"/>
      <c r="CA777" s="18"/>
      <c r="CB777" s="18"/>
      <c r="CC777" s="18"/>
      <c r="CD777" s="18"/>
      <c r="CE777" s="18"/>
      <c r="CF777" s="18"/>
      <c r="CG777" s="18"/>
      <c r="CH777" s="18"/>
      <c r="CI777" s="18"/>
      <c r="CJ777" s="18"/>
      <c r="CK777" s="18"/>
      <c r="CL777" s="18"/>
      <c r="CM777" s="18"/>
      <c r="CN777" s="18"/>
      <c r="CO777" s="18"/>
      <c r="CP777" s="18"/>
      <c r="CQ777" s="18"/>
      <c r="CR777" s="18"/>
      <c r="CS777" s="18"/>
      <c r="CT777" s="18"/>
      <c r="CU777" s="18"/>
    </row>
    <row r="778" spans="1:99">
      <c r="A778" s="19"/>
      <c r="B778" s="19"/>
      <c r="C778" s="19"/>
      <c r="D778" s="19"/>
      <c r="E778" s="19"/>
      <c r="F778" s="19"/>
      <c r="G778" s="19"/>
      <c r="H778" s="19"/>
      <c r="I778" s="19"/>
      <c r="J778" s="19"/>
      <c r="K778" s="18"/>
      <c r="L778" s="18"/>
      <c r="M778" s="18"/>
      <c r="N778" s="18"/>
      <c r="O778" s="18"/>
      <c r="P778" s="18"/>
      <c r="Q778" s="18"/>
      <c r="R778" s="18"/>
      <c r="S778" s="18"/>
      <c r="T778" s="18"/>
      <c r="U778" s="18"/>
      <c r="V778" s="18"/>
      <c r="W778" s="18"/>
      <c r="X778" s="18"/>
      <c r="Y778" s="18"/>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c r="BC778" s="18"/>
      <c r="BD778" s="18"/>
      <c r="BE778" s="18"/>
      <c r="BF778" s="18"/>
      <c r="BG778" s="18"/>
      <c r="BH778" s="18"/>
      <c r="BI778" s="18"/>
      <c r="BJ778" s="18"/>
      <c r="BK778" s="18"/>
      <c r="BL778" s="18"/>
      <c r="BM778" s="18"/>
      <c r="BN778" s="18"/>
      <c r="BO778" s="18"/>
      <c r="BP778" s="18"/>
      <c r="BQ778" s="18"/>
      <c r="BR778" s="18"/>
      <c r="BS778" s="18"/>
      <c r="BT778" s="18"/>
      <c r="BU778" s="18"/>
      <c r="BV778" s="18"/>
      <c r="BW778" s="18"/>
      <c r="BX778" s="18"/>
      <c r="BY778" s="18"/>
      <c r="BZ778" s="18"/>
      <c r="CA778" s="18"/>
      <c r="CB778" s="18"/>
      <c r="CC778" s="18"/>
      <c r="CD778" s="18"/>
      <c r="CE778" s="18"/>
      <c r="CF778" s="18"/>
      <c r="CG778" s="18"/>
      <c r="CH778" s="18"/>
      <c r="CI778" s="18"/>
      <c r="CJ778" s="18"/>
      <c r="CK778" s="18"/>
      <c r="CL778" s="18"/>
      <c r="CM778" s="18"/>
      <c r="CN778" s="18"/>
      <c r="CO778" s="18"/>
      <c r="CP778" s="18"/>
      <c r="CQ778" s="18"/>
      <c r="CR778" s="18"/>
      <c r="CS778" s="18"/>
      <c r="CT778" s="18"/>
      <c r="CU778" s="18"/>
    </row>
    <row r="779" spans="1:99">
      <c r="A779" s="19"/>
      <c r="B779" s="19"/>
      <c r="C779" s="19"/>
      <c r="D779" s="19"/>
      <c r="E779" s="19"/>
      <c r="F779" s="19"/>
      <c r="G779" s="19"/>
      <c r="H779" s="19"/>
      <c r="I779" s="19"/>
      <c r="J779" s="19"/>
      <c r="K779" s="18"/>
      <c r="L779" s="18"/>
      <c r="M779" s="18"/>
      <c r="N779" s="18"/>
      <c r="O779" s="18"/>
      <c r="P779" s="18"/>
      <c r="Q779" s="18"/>
      <c r="R779" s="18"/>
      <c r="S779" s="18"/>
      <c r="T779" s="18"/>
      <c r="U779" s="18"/>
      <c r="V779" s="18"/>
      <c r="W779" s="18"/>
      <c r="X779" s="18"/>
      <c r="Y779" s="18"/>
      <c r="Z779" s="18"/>
      <c r="AA779" s="18"/>
      <c r="AB779" s="18"/>
      <c r="AC779" s="18"/>
      <c r="AD779" s="18"/>
      <c r="AE779" s="18"/>
      <c r="AF779" s="18"/>
      <c r="AG779" s="18"/>
      <c r="AH779" s="18"/>
      <c r="AI779" s="18"/>
      <c r="AJ779" s="18"/>
      <c r="AK779" s="18"/>
      <c r="AL779" s="18"/>
      <c r="AM779" s="18"/>
      <c r="AN779" s="18"/>
      <c r="AO779" s="18"/>
      <c r="AP779" s="18"/>
      <c r="AQ779" s="18"/>
      <c r="AR779" s="18"/>
      <c r="AS779" s="18"/>
      <c r="AT779" s="18"/>
      <c r="AU779" s="18"/>
      <c r="AV779" s="18"/>
      <c r="AW779" s="18"/>
      <c r="AX779" s="18"/>
      <c r="AY779" s="18"/>
      <c r="AZ779" s="18"/>
      <c r="BA779" s="18"/>
      <c r="BB779" s="18"/>
      <c r="BC779" s="18"/>
      <c r="BD779" s="18"/>
      <c r="BE779" s="18"/>
      <c r="BF779" s="18"/>
      <c r="BG779" s="18"/>
      <c r="BH779" s="18"/>
      <c r="BI779" s="18"/>
      <c r="BJ779" s="18"/>
      <c r="BK779" s="18"/>
      <c r="BL779" s="18"/>
      <c r="BM779" s="18"/>
      <c r="BN779" s="18"/>
      <c r="BO779" s="18"/>
      <c r="BP779" s="18"/>
      <c r="BQ779" s="18"/>
      <c r="BR779" s="18"/>
      <c r="BS779" s="18"/>
      <c r="BT779" s="18"/>
      <c r="BU779" s="18"/>
      <c r="BV779" s="18"/>
      <c r="BW779" s="18"/>
      <c r="BX779" s="18"/>
      <c r="BY779" s="18"/>
      <c r="BZ779" s="18"/>
      <c r="CA779" s="18"/>
      <c r="CB779" s="18"/>
      <c r="CC779" s="18"/>
      <c r="CD779" s="18"/>
      <c r="CE779" s="18"/>
      <c r="CF779" s="18"/>
      <c r="CG779" s="18"/>
      <c r="CH779" s="18"/>
      <c r="CI779" s="18"/>
      <c r="CJ779" s="18"/>
      <c r="CK779" s="18"/>
      <c r="CL779" s="18"/>
      <c r="CM779" s="18"/>
      <c r="CN779" s="18"/>
      <c r="CO779" s="18"/>
      <c r="CP779" s="18"/>
      <c r="CQ779" s="18"/>
      <c r="CR779" s="18"/>
      <c r="CS779" s="18"/>
      <c r="CT779" s="18"/>
      <c r="CU779" s="18"/>
    </row>
    <row r="780" spans="1:99">
      <c r="A780" s="19"/>
      <c r="B780" s="19"/>
      <c r="C780" s="19"/>
      <c r="D780" s="19"/>
      <c r="E780" s="19"/>
      <c r="F780" s="19"/>
      <c r="G780" s="19"/>
      <c r="H780" s="19"/>
      <c r="I780" s="19"/>
      <c r="J780" s="19"/>
      <c r="K780" s="18"/>
      <c r="L780" s="18"/>
      <c r="M780" s="18"/>
      <c r="N780" s="18"/>
      <c r="O780" s="18"/>
      <c r="P780" s="18"/>
      <c r="Q780" s="18"/>
      <c r="R780" s="18"/>
      <c r="S780" s="18"/>
      <c r="T780" s="18"/>
      <c r="U780" s="18"/>
      <c r="V780" s="18"/>
      <c r="W780" s="18"/>
      <c r="X780" s="18"/>
      <c r="Y780" s="18"/>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c r="BC780" s="18"/>
      <c r="BD780" s="18"/>
      <c r="BE780" s="18"/>
      <c r="BF780" s="18"/>
      <c r="BG780" s="18"/>
      <c r="BH780" s="18"/>
      <c r="BI780" s="18"/>
      <c r="BJ780" s="18"/>
      <c r="BK780" s="18"/>
      <c r="BL780" s="18"/>
      <c r="BM780" s="18"/>
      <c r="BN780" s="18"/>
      <c r="BO780" s="18"/>
      <c r="BP780" s="18"/>
      <c r="BQ780" s="18"/>
      <c r="BR780" s="18"/>
      <c r="BS780" s="18"/>
      <c r="BT780" s="18"/>
      <c r="BU780" s="18"/>
      <c r="BV780" s="18"/>
      <c r="BW780" s="18"/>
      <c r="BX780" s="18"/>
      <c r="BY780" s="18"/>
      <c r="BZ780" s="18"/>
      <c r="CA780" s="18"/>
      <c r="CB780" s="18"/>
      <c r="CC780" s="18"/>
      <c r="CD780" s="18"/>
      <c r="CE780" s="18"/>
      <c r="CF780" s="18"/>
      <c r="CG780" s="18"/>
      <c r="CH780" s="18"/>
      <c r="CI780" s="18"/>
      <c r="CJ780" s="18"/>
      <c r="CK780" s="18"/>
      <c r="CL780" s="18"/>
      <c r="CM780" s="18"/>
      <c r="CN780" s="18"/>
      <c r="CO780" s="18"/>
      <c r="CP780" s="18"/>
      <c r="CQ780" s="18"/>
      <c r="CR780" s="18"/>
      <c r="CS780" s="18"/>
      <c r="CT780" s="18"/>
      <c r="CU780" s="18"/>
    </row>
    <row r="781" spans="1:99">
      <c r="A781" s="19"/>
      <c r="B781" s="19"/>
      <c r="C781" s="19"/>
      <c r="D781" s="19"/>
      <c r="E781" s="19"/>
      <c r="F781" s="19"/>
      <c r="G781" s="19"/>
      <c r="H781" s="19"/>
      <c r="I781" s="19"/>
      <c r="J781" s="19"/>
      <c r="K781" s="18"/>
      <c r="L781" s="18"/>
      <c r="M781" s="18"/>
      <c r="N781" s="18"/>
      <c r="O781" s="18"/>
      <c r="P781" s="18"/>
      <c r="Q781" s="18"/>
      <c r="R781" s="18"/>
      <c r="S781" s="18"/>
      <c r="T781" s="18"/>
      <c r="U781" s="18"/>
      <c r="V781" s="18"/>
      <c r="W781" s="18"/>
      <c r="X781" s="18"/>
      <c r="Y781" s="18"/>
      <c r="Z781" s="18"/>
      <c r="AA781" s="18"/>
      <c r="AB781" s="18"/>
      <c r="AC781" s="18"/>
      <c r="AD781" s="18"/>
      <c r="AE781" s="18"/>
      <c r="AF781" s="18"/>
      <c r="AG781" s="18"/>
      <c r="AH781" s="18"/>
      <c r="AI781" s="18"/>
      <c r="AJ781" s="18"/>
      <c r="AK781" s="18"/>
      <c r="AL781" s="18"/>
      <c r="AM781" s="18"/>
      <c r="AN781" s="18"/>
      <c r="AO781" s="18"/>
      <c r="AP781" s="18"/>
      <c r="AQ781" s="18"/>
      <c r="AR781" s="18"/>
      <c r="AS781" s="18"/>
      <c r="AT781" s="18"/>
      <c r="AU781" s="18"/>
      <c r="AV781" s="18"/>
      <c r="AW781" s="18"/>
      <c r="AX781" s="18"/>
      <c r="AY781" s="18"/>
      <c r="AZ781" s="18"/>
      <c r="BA781" s="18"/>
      <c r="BB781" s="18"/>
      <c r="BC781" s="18"/>
      <c r="BD781" s="18"/>
      <c r="BE781" s="18"/>
      <c r="BF781" s="18"/>
      <c r="BG781" s="18"/>
      <c r="BH781" s="18"/>
      <c r="BI781" s="18"/>
      <c r="BJ781" s="18"/>
      <c r="BK781" s="18"/>
      <c r="BL781" s="18"/>
      <c r="BM781" s="18"/>
      <c r="BN781" s="18"/>
      <c r="BO781" s="18"/>
      <c r="BP781" s="18"/>
      <c r="BQ781" s="18"/>
      <c r="BR781" s="18"/>
      <c r="BS781" s="18"/>
      <c r="BT781" s="18"/>
      <c r="BU781" s="18"/>
      <c r="BV781" s="18"/>
      <c r="BW781" s="18"/>
      <c r="BX781" s="18"/>
      <c r="BY781" s="18"/>
      <c r="BZ781" s="18"/>
      <c r="CA781" s="18"/>
      <c r="CB781" s="18"/>
      <c r="CC781" s="18"/>
      <c r="CD781" s="18"/>
      <c r="CE781" s="18"/>
      <c r="CF781" s="18"/>
      <c r="CG781" s="18"/>
      <c r="CH781" s="18"/>
      <c r="CI781" s="18"/>
      <c r="CJ781" s="18"/>
      <c r="CK781" s="18"/>
      <c r="CL781" s="18"/>
      <c r="CM781" s="18"/>
      <c r="CN781" s="18"/>
      <c r="CO781" s="18"/>
      <c r="CP781" s="18"/>
      <c r="CQ781" s="18"/>
      <c r="CR781" s="18"/>
      <c r="CS781" s="18"/>
      <c r="CT781" s="18"/>
      <c r="CU781" s="18"/>
    </row>
    <row r="782" spans="1:99">
      <c r="A782" s="19"/>
      <c r="B782" s="19"/>
      <c r="C782" s="19"/>
      <c r="D782" s="19"/>
      <c r="E782" s="19"/>
      <c r="F782" s="19"/>
      <c r="G782" s="19"/>
      <c r="H782" s="19"/>
      <c r="I782" s="19"/>
      <c r="J782" s="19"/>
      <c r="K782" s="18"/>
      <c r="L782" s="18"/>
      <c r="M782" s="18"/>
      <c r="N782" s="18"/>
      <c r="O782" s="18"/>
      <c r="P782" s="18"/>
      <c r="Q782" s="18"/>
      <c r="R782" s="18"/>
      <c r="S782" s="18"/>
      <c r="T782" s="18"/>
      <c r="U782" s="18"/>
      <c r="V782" s="18"/>
      <c r="W782" s="18"/>
      <c r="X782" s="18"/>
      <c r="Y782" s="18"/>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c r="BC782" s="18"/>
      <c r="BD782" s="18"/>
      <c r="BE782" s="18"/>
      <c r="BF782" s="18"/>
      <c r="BG782" s="18"/>
      <c r="BH782" s="18"/>
      <c r="BI782" s="18"/>
      <c r="BJ782" s="18"/>
      <c r="BK782" s="18"/>
      <c r="BL782" s="18"/>
      <c r="BM782" s="18"/>
      <c r="BN782" s="18"/>
      <c r="BO782" s="18"/>
      <c r="BP782" s="18"/>
      <c r="BQ782" s="18"/>
      <c r="BR782" s="18"/>
      <c r="BS782" s="18"/>
      <c r="BT782" s="18"/>
      <c r="BU782" s="18"/>
      <c r="BV782" s="18"/>
      <c r="BW782" s="18"/>
      <c r="BX782" s="18"/>
      <c r="BY782" s="18"/>
      <c r="BZ782" s="18"/>
      <c r="CA782" s="18"/>
      <c r="CB782" s="18"/>
      <c r="CC782" s="18"/>
      <c r="CD782" s="18"/>
      <c r="CE782" s="18"/>
      <c r="CF782" s="18"/>
      <c r="CG782" s="18"/>
      <c r="CH782" s="18"/>
      <c r="CI782" s="18"/>
      <c r="CJ782" s="18"/>
      <c r="CK782" s="18"/>
      <c r="CL782" s="18"/>
      <c r="CM782" s="18"/>
      <c r="CN782" s="18"/>
      <c r="CO782" s="18"/>
      <c r="CP782" s="18"/>
      <c r="CQ782" s="18"/>
      <c r="CR782" s="18"/>
      <c r="CS782" s="18"/>
      <c r="CT782" s="18"/>
      <c r="CU782" s="18"/>
    </row>
    <row r="783" spans="1:99">
      <c r="A783" s="19"/>
      <c r="B783" s="19"/>
      <c r="C783" s="19"/>
      <c r="D783" s="19"/>
      <c r="E783" s="19"/>
      <c r="F783" s="19"/>
      <c r="G783" s="19"/>
      <c r="H783" s="19"/>
      <c r="I783" s="19"/>
      <c r="J783" s="19"/>
      <c r="K783" s="18"/>
      <c r="L783" s="18"/>
      <c r="M783" s="18"/>
      <c r="N783" s="18"/>
      <c r="O783" s="18"/>
      <c r="P783" s="18"/>
      <c r="Q783" s="18"/>
      <c r="R783" s="18"/>
      <c r="S783" s="18"/>
      <c r="T783" s="18"/>
      <c r="U783" s="18"/>
      <c r="V783" s="18"/>
      <c r="W783" s="18"/>
      <c r="X783" s="18"/>
      <c r="Y783" s="18"/>
      <c r="Z783" s="18"/>
      <c r="AA783" s="18"/>
      <c r="AB783" s="18"/>
      <c r="AC783" s="18"/>
      <c r="AD783" s="18"/>
      <c r="AE783" s="18"/>
      <c r="AF783" s="18"/>
      <c r="AG783" s="18"/>
      <c r="AH783" s="18"/>
      <c r="AI783" s="18"/>
      <c r="AJ783" s="18"/>
      <c r="AK783" s="18"/>
      <c r="AL783" s="18"/>
      <c r="AM783" s="18"/>
      <c r="AN783" s="18"/>
      <c r="AO783" s="18"/>
      <c r="AP783" s="18"/>
      <c r="AQ783" s="18"/>
      <c r="AR783" s="18"/>
      <c r="AS783" s="18"/>
      <c r="AT783" s="18"/>
      <c r="AU783" s="18"/>
      <c r="AV783" s="18"/>
      <c r="AW783" s="18"/>
      <c r="AX783" s="18"/>
      <c r="AY783" s="18"/>
      <c r="AZ783" s="18"/>
      <c r="BA783" s="18"/>
      <c r="BB783" s="18"/>
      <c r="BC783" s="18"/>
      <c r="BD783" s="18"/>
      <c r="BE783" s="18"/>
      <c r="BF783" s="18"/>
      <c r="BG783" s="18"/>
      <c r="BH783" s="18"/>
      <c r="BI783" s="18"/>
      <c r="BJ783" s="18"/>
      <c r="BK783" s="18"/>
      <c r="BL783" s="18"/>
      <c r="BM783" s="18"/>
      <c r="BN783" s="18"/>
      <c r="BO783" s="18"/>
      <c r="BP783" s="18"/>
      <c r="BQ783" s="18"/>
      <c r="BR783" s="18"/>
      <c r="BS783" s="18"/>
      <c r="BT783" s="18"/>
      <c r="BU783" s="18"/>
      <c r="BV783" s="18"/>
      <c r="BW783" s="18"/>
      <c r="BX783" s="18"/>
      <c r="BY783" s="18"/>
      <c r="BZ783" s="18"/>
      <c r="CA783" s="18"/>
      <c r="CB783" s="18"/>
      <c r="CC783" s="18"/>
      <c r="CD783" s="18"/>
      <c r="CE783" s="18"/>
      <c r="CF783" s="18"/>
      <c r="CG783" s="18"/>
      <c r="CH783" s="18"/>
      <c r="CI783" s="18"/>
      <c r="CJ783" s="18"/>
      <c r="CK783" s="18"/>
      <c r="CL783" s="18"/>
      <c r="CM783" s="18"/>
      <c r="CN783" s="18"/>
      <c r="CO783" s="18"/>
      <c r="CP783" s="18"/>
      <c r="CQ783" s="18"/>
      <c r="CR783" s="18"/>
      <c r="CS783" s="18"/>
      <c r="CT783" s="18"/>
      <c r="CU783" s="18"/>
    </row>
    <row r="784" spans="1:99">
      <c r="A784" s="19"/>
      <c r="B784" s="19"/>
      <c r="C784" s="19"/>
      <c r="D784" s="19"/>
      <c r="E784" s="19"/>
      <c r="F784" s="19"/>
      <c r="G784" s="19"/>
      <c r="H784" s="19"/>
      <c r="I784" s="19"/>
      <c r="J784" s="19"/>
      <c r="K784" s="18"/>
      <c r="L784" s="18"/>
      <c r="M784" s="18"/>
      <c r="N784" s="18"/>
      <c r="O784" s="18"/>
      <c r="P784" s="18"/>
      <c r="Q784" s="18"/>
      <c r="R784" s="18"/>
      <c r="S784" s="18"/>
      <c r="T784" s="18"/>
      <c r="U784" s="18"/>
      <c r="V784" s="18"/>
      <c r="W784" s="18"/>
      <c r="X784" s="18"/>
      <c r="Y784" s="18"/>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c r="BC784" s="18"/>
      <c r="BD784" s="18"/>
      <c r="BE784" s="18"/>
      <c r="BF784" s="18"/>
      <c r="BG784" s="18"/>
      <c r="BH784" s="18"/>
      <c r="BI784" s="18"/>
      <c r="BJ784" s="18"/>
      <c r="BK784" s="18"/>
      <c r="BL784" s="18"/>
      <c r="BM784" s="18"/>
      <c r="BN784" s="18"/>
      <c r="BO784" s="18"/>
      <c r="BP784" s="18"/>
      <c r="BQ784" s="18"/>
      <c r="BR784" s="18"/>
      <c r="BS784" s="18"/>
      <c r="BT784" s="18"/>
      <c r="BU784" s="18"/>
      <c r="BV784" s="18"/>
      <c r="BW784" s="18"/>
      <c r="BX784" s="18"/>
      <c r="BY784" s="18"/>
      <c r="BZ784" s="18"/>
      <c r="CA784" s="18"/>
      <c r="CB784" s="18"/>
      <c r="CC784" s="18"/>
      <c r="CD784" s="18"/>
      <c r="CE784" s="18"/>
      <c r="CF784" s="18"/>
      <c r="CG784" s="18"/>
      <c r="CH784" s="18"/>
      <c r="CI784" s="18"/>
      <c r="CJ784" s="18"/>
      <c r="CK784" s="18"/>
      <c r="CL784" s="18"/>
      <c r="CM784" s="18"/>
      <c r="CN784" s="18"/>
      <c r="CO784" s="18"/>
      <c r="CP784" s="18"/>
      <c r="CQ784" s="18"/>
      <c r="CR784" s="18"/>
      <c r="CS784" s="18"/>
      <c r="CT784" s="18"/>
      <c r="CU784" s="18"/>
    </row>
    <row r="785" spans="1:99">
      <c r="A785" s="19"/>
      <c r="B785" s="19"/>
      <c r="C785" s="19"/>
      <c r="D785" s="19"/>
      <c r="E785" s="19"/>
      <c r="F785" s="19"/>
      <c r="G785" s="19"/>
      <c r="H785" s="19"/>
      <c r="I785" s="19"/>
      <c r="J785" s="19"/>
      <c r="K785" s="18"/>
      <c r="L785" s="18"/>
      <c r="M785" s="18"/>
      <c r="N785" s="18"/>
      <c r="O785" s="18"/>
      <c r="P785" s="18"/>
      <c r="Q785" s="18"/>
      <c r="R785" s="18"/>
      <c r="S785" s="18"/>
      <c r="T785" s="18"/>
      <c r="U785" s="18"/>
      <c r="V785" s="18"/>
      <c r="W785" s="18"/>
      <c r="X785" s="18"/>
      <c r="Y785" s="18"/>
      <c r="Z785" s="18"/>
      <c r="AA785" s="18"/>
      <c r="AB785" s="18"/>
      <c r="AC785" s="18"/>
      <c r="AD785" s="18"/>
      <c r="AE785" s="18"/>
      <c r="AF785" s="18"/>
      <c r="AG785" s="18"/>
      <c r="AH785" s="18"/>
      <c r="AI785" s="18"/>
      <c r="AJ785" s="18"/>
      <c r="AK785" s="18"/>
      <c r="AL785" s="18"/>
      <c r="AM785" s="18"/>
      <c r="AN785" s="18"/>
      <c r="AO785" s="18"/>
      <c r="AP785" s="18"/>
      <c r="AQ785" s="18"/>
      <c r="AR785" s="18"/>
      <c r="AS785" s="18"/>
      <c r="AT785" s="18"/>
      <c r="AU785" s="18"/>
      <c r="AV785" s="18"/>
      <c r="AW785" s="18"/>
      <c r="AX785" s="18"/>
      <c r="AY785" s="18"/>
      <c r="AZ785" s="18"/>
      <c r="BA785" s="18"/>
      <c r="BB785" s="18"/>
      <c r="BC785" s="18"/>
      <c r="BD785" s="18"/>
      <c r="BE785" s="18"/>
      <c r="BF785" s="18"/>
      <c r="BG785" s="18"/>
      <c r="BH785" s="18"/>
      <c r="BI785" s="18"/>
      <c r="BJ785" s="18"/>
      <c r="BK785" s="18"/>
      <c r="BL785" s="18"/>
      <c r="BM785" s="18"/>
      <c r="BN785" s="18"/>
      <c r="BO785" s="18"/>
      <c r="BP785" s="18"/>
      <c r="BQ785" s="18"/>
      <c r="BR785" s="18"/>
      <c r="BS785" s="18"/>
      <c r="BT785" s="18"/>
      <c r="BU785" s="18"/>
      <c r="BV785" s="18"/>
      <c r="BW785" s="18"/>
      <c r="BX785" s="18"/>
      <c r="BY785" s="18"/>
      <c r="BZ785" s="18"/>
      <c r="CA785" s="18"/>
      <c r="CB785" s="18"/>
      <c r="CC785" s="18"/>
      <c r="CD785" s="18"/>
      <c r="CE785" s="18"/>
      <c r="CF785" s="18"/>
      <c r="CG785" s="18"/>
      <c r="CH785" s="18"/>
      <c r="CI785" s="18"/>
      <c r="CJ785" s="18"/>
      <c r="CK785" s="18"/>
      <c r="CL785" s="18"/>
      <c r="CM785" s="18"/>
      <c r="CN785" s="18"/>
      <c r="CO785" s="18"/>
      <c r="CP785" s="18"/>
      <c r="CQ785" s="18"/>
      <c r="CR785" s="18"/>
      <c r="CS785" s="18"/>
      <c r="CT785" s="18"/>
      <c r="CU785" s="18"/>
    </row>
    <row r="786" spans="1:99">
      <c r="A786" s="19"/>
      <c r="B786" s="19"/>
      <c r="C786" s="19"/>
      <c r="D786" s="19"/>
      <c r="E786" s="19"/>
      <c r="F786" s="19"/>
      <c r="G786" s="19"/>
      <c r="H786" s="19"/>
      <c r="I786" s="19"/>
      <c r="J786" s="19"/>
      <c r="K786" s="18"/>
      <c r="L786" s="18"/>
      <c r="M786" s="18"/>
      <c r="N786" s="18"/>
      <c r="O786" s="18"/>
      <c r="P786" s="18"/>
      <c r="Q786" s="18"/>
      <c r="R786" s="18"/>
      <c r="S786" s="18"/>
      <c r="T786" s="18"/>
      <c r="U786" s="18"/>
      <c r="V786" s="18"/>
      <c r="W786" s="18"/>
      <c r="X786" s="18"/>
      <c r="Y786" s="18"/>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c r="BC786" s="18"/>
      <c r="BD786" s="18"/>
      <c r="BE786" s="18"/>
      <c r="BF786" s="18"/>
      <c r="BG786" s="18"/>
      <c r="BH786" s="18"/>
      <c r="BI786" s="18"/>
      <c r="BJ786" s="18"/>
      <c r="BK786" s="18"/>
      <c r="BL786" s="18"/>
      <c r="BM786" s="18"/>
      <c r="BN786" s="18"/>
      <c r="BO786" s="18"/>
      <c r="BP786" s="18"/>
      <c r="BQ786" s="18"/>
      <c r="BR786" s="18"/>
      <c r="BS786" s="18"/>
      <c r="BT786" s="18"/>
      <c r="BU786" s="18"/>
      <c r="BV786" s="18"/>
      <c r="BW786" s="18"/>
      <c r="BX786" s="18"/>
      <c r="BY786" s="18"/>
      <c r="BZ786" s="18"/>
      <c r="CA786" s="18"/>
      <c r="CB786" s="18"/>
      <c r="CC786" s="18"/>
      <c r="CD786" s="18"/>
      <c r="CE786" s="18"/>
      <c r="CF786" s="18"/>
      <c r="CG786" s="18"/>
      <c r="CH786" s="18"/>
      <c r="CI786" s="18"/>
      <c r="CJ786" s="18"/>
      <c r="CK786" s="18"/>
      <c r="CL786" s="18"/>
      <c r="CM786" s="18"/>
      <c r="CN786" s="18"/>
      <c r="CO786" s="18"/>
      <c r="CP786" s="18"/>
      <c r="CQ786" s="18"/>
      <c r="CR786" s="18"/>
      <c r="CS786" s="18"/>
      <c r="CT786" s="18"/>
      <c r="CU786" s="18"/>
    </row>
    <row r="787" spans="1:99">
      <c r="A787" s="19"/>
      <c r="B787" s="19"/>
      <c r="C787" s="19"/>
      <c r="D787" s="19"/>
      <c r="E787" s="19"/>
      <c r="F787" s="19"/>
      <c r="G787" s="19"/>
      <c r="H787" s="19"/>
      <c r="I787" s="19"/>
      <c r="J787" s="19"/>
      <c r="K787" s="18"/>
      <c r="L787" s="18"/>
      <c r="M787" s="18"/>
      <c r="N787" s="18"/>
      <c r="O787" s="18"/>
      <c r="P787" s="18"/>
      <c r="Q787" s="18"/>
      <c r="R787" s="18"/>
      <c r="S787" s="18"/>
      <c r="T787" s="18"/>
      <c r="U787" s="18"/>
      <c r="V787" s="18"/>
      <c r="W787" s="18"/>
      <c r="X787" s="18"/>
      <c r="Y787" s="18"/>
      <c r="Z787" s="18"/>
      <c r="AA787" s="18"/>
      <c r="AB787" s="18"/>
      <c r="AC787" s="18"/>
      <c r="AD787" s="18"/>
      <c r="AE787" s="18"/>
      <c r="AF787" s="18"/>
      <c r="AG787" s="18"/>
      <c r="AH787" s="18"/>
      <c r="AI787" s="18"/>
      <c r="AJ787" s="18"/>
      <c r="AK787" s="18"/>
      <c r="AL787" s="18"/>
      <c r="AM787" s="18"/>
      <c r="AN787" s="18"/>
      <c r="AO787" s="18"/>
      <c r="AP787" s="18"/>
      <c r="AQ787" s="18"/>
      <c r="AR787" s="18"/>
      <c r="AS787" s="18"/>
      <c r="AT787" s="18"/>
      <c r="AU787" s="18"/>
      <c r="AV787" s="18"/>
      <c r="AW787" s="18"/>
      <c r="AX787" s="18"/>
      <c r="AY787" s="18"/>
      <c r="AZ787" s="18"/>
      <c r="BA787" s="18"/>
      <c r="BB787" s="18"/>
      <c r="BC787" s="18"/>
      <c r="BD787" s="18"/>
      <c r="BE787" s="18"/>
      <c r="BF787" s="18"/>
      <c r="BG787" s="18"/>
      <c r="BH787" s="18"/>
      <c r="BI787" s="18"/>
      <c r="BJ787" s="18"/>
      <c r="BK787" s="18"/>
      <c r="BL787" s="18"/>
      <c r="BM787" s="18"/>
      <c r="BN787" s="18"/>
      <c r="BO787" s="18"/>
      <c r="BP787" s="18"/>
      <c r="BQ787" s="18"/>
      <c r="BR787" s="18"/>
      <c r="BS787" s="18"/>
      <c r="BT787" s="18"/>
      <c r="BU787" s="18"/>
      <c r="BV787" s="18"/>
      <c r="BW787" s="18"/>
      <c r="BX787" s="18"/>
      <c r="BY787" s="18"/>
      <c r="BZ787" s="18"/>
      <c r="CA787" s="18"/>
      <c r="CB787" s="18"/>
      <c r="CC787" s="18"/>
      <c r="CD787" s="18"/>
      <c r="CE787" s="18"/>
      <c r="CF787" s="18"/>
      <c r="CG787" s="18"/>
      <c r="CH787" s="18"/>
      <c r="CI787" s="18"/>
      <c r="CJ787" s="18"/>
      <c r="CK787" s="18"/>
      <c r="CL787" s="18"/>
      <c r="CM787" s="18"/>
      <c r="CN787" s="18"/>
      <c r="CO787" s="18"/>
      <c r="CP787" s="18"/>
      <c r="CQ787" s="18"/>
      <c r="CR787" s="18"/>
      <c r="CS787" s="18"/>
      <c r="CT787" s="18"/>
      <c r="CU787" s="18"/>
    </row>
    <row r="788" spans="1:99">
      <c r="A788" s="19"/>
      <c r="B788" s="19"/>
      <c r="C788" s="19"/>
      <c r="D788" s="19"/>
      <c r="E788" s="19"/>
      <c r="F788" s="19"/>
      <c r="G788" s="19"/>
      <c r="H788" s="19"/>
      <c r="I788" s="19"/>
      <c r="J788" s="19"/>
      <c r="K788" s="18"/>
      <c r="L788" s="18"/>
      <c r="M788" s="18"/>
      <c r="N788" s="18"/>
      <c r="O788" s="18"/>
      <c r="P788" s="18"/>
      <c r="Q788" s="18"/>
      <c r="R788" s="18"/>
      <c r="S788" s="18"/>
      <c r="T788" s="18"/>
      <c r="U788" s="18"/>
      <c r="V788" s="18"/>
      <c r="W788" s="18"/>
      <c r="X788" s="18"/>
      <c r="Y788" s="18"/>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c r="BC788" s="18"/>
      <c r="BD788" s="18"/>
      <c r="BE788" s="18"/>
      <c r="BF788" s="18"/>
      <c r="BG788" s="18"/>
      <c r="BH788" s="18"/>
      <c r="BI788" s="18"/>
      <c r="BJ788" s="18"/>
      <c r="BK788" s="18"/>
      <c r="BL788" s="18"/>
      <c r="BM788" s="18"/>
      <c r="BN788" s="18"/>
      <c r="BO788" s="18"/>
      <c r="BP788" s="18"/>
      <c r="BQ788" s="18"/>
      <c r="BR788" s="18"/>
      <c r="BS788" s="18"/>
      <c r="BT788" s="18"/>
      <c r="BU788" s="18"/>
      <c r="BV788" s="18"/>
      <c r="BW788" s="18"/>
      <c r="BX788" s="18"/>
      <c r="BY788" s="18"/>
      <c r="BZ788" s="18"/>
      <c r="CA788" s="18"/>
      <c r="CB788" s="18"/>
      <c r="CC788" s="18"/>
      <c r="CD788" s="18"/>
      <c r="CE788" s="18"/>
      <c r="CF788" s="18"/>
      <c r="CG788" s="18"/>
      <c r="CH788" s="18"/>
      <c r="CI788" s="18"/>
      <c r="CJ788" s="18"/>
      <c r="CK788" s="18"/>
      <c r="CL788" s="18"/>
      <c r="CM788" s="18"/>
      <c r="CN788" s="18"/>
      <c r="CO788" s="18"/>
      <c r="CP788" s="18"/>
      <c r="CQ788" s="18"/>
      <c r="CR788" s="18"/>
      <c r="CS788" s="18"/>
      <c r="CT788" s="18"/>
      <c r="CU788" s="18"/>
    </row>
    <row r="789" spans="1:99">
      <c r="A789" s="19"/>
      <c r="B789" s="19"/>
      <c r="C789" s="19"/>
      <c r="D789" s="19"/>
      <c r="E789" s="19"/>
      <c r="F789" s="19"/>
      <c r="G789" s="19"/>
      <c r="H789" s="19"/>
      <c r="I789" s="19"/>
      <c r="J789" s="19"/>
      <c r="K789" s="18"/>
      <c r="L789" s="18"/>
      <c r="M789" s="18"/>
      <c r="N789" s="18"/>
      <c r="O789" s="18"/>
      <c r="P789" s="18"/>
      <c r="Q789" s="18"/>
      <c r="R789" s="18"/>
      <c r="S789" s="18"/>
      <c r="T789" s="18"/>
      <c r="U789" s="18"/>
      <c r="V789" s="18"/>
      <c r="W789" s="18"/>
      <c r="X789" s="18"/>
      <c r="Y789" s="18"/>
      <c r="Z789" s="18"/>
      <c r="AA789" s="18"/>
      <c r="AB789" s="18"/>
      <c r="AC789" s="18"/>
      <c r="AD789" s="18"/>
      <c r="AE789" s="18"/>
      <c r="AF789" s="18"/>
      <c r="AG789" s="18"/>
      <c r="AH789" s="18"/>
      <c r="AI789" s="18"/>
      <c r="AJ789" s="18"/>
      <c r="AK789" s="18"/>
      <c r="AL789" s="18"/>
      <c r="AM789" s="18"/>
      <c r="AN789" s="18"/>
      <c r="AO789" s="18"/>
      <c r="AP789" s="18"/>
      <c r="AQ789" s="18"/>
      <c r="AR789" s="18"/>
      <c r="AS789" s="18"/>
      <c r="AT789" s="18"/>
      <c r="AU789" s="18"/>
      <c r="AV789" s="18"/>
      <c r="AW789" s="18"/>
      <c r="AX789" s="18"/>
      <c r="AY789" s="18"/>
      <c r="AZ789" s="18"/>
      <c r="BA789" s="18"/>
      <c r="BB789" s="18"/>
      <c r="BC789" s="18"/>
      <c r="BD789" s="18"/>
      <c r="BE789" s="18"/>
      <c r="BF789" s="18"/>
      <c r="BG789" s="18"/>
      <c r="BH789" s="18"/>
      <c r="BI789" s="18"/>
      <c r="BJ789" s="18"/>
      <c r="BK789" s="18"/>
      <c r="BL789" s="18"/>
      <c r="BM789" s="18"/>
      <c r="BN789" s="18"/>
      <c r="BO789" s="18"/>
      <c r="BP789" s="18"/>
      <c r="BQ789" s="18"/>
      <c r="BR789" s="18"/>
      <c r="BS789" s="18"/>
      <c r="BT789" s="18"/>
      <c r="BU789" s="18"/>
      <c r="BV789" s="18"/>
      <c r="BW789" s="18"/>
      <c r="BX789" s="18"/>
      <c r="BY789" s="18"/>
      <c r="BZ789" s="18"/>
      <c r="CA789" s="18"/>
      <c r="CB789" s="18"/>
      <c r="CC789" s="18"/>
      <c r="CD789" s="18"/>
      <c r="CE789" s="18"/>
      <c r="CF789" s="18"/>
      <c r="CG789" s="18"/>
      <c r="CH789" s="18"/>
      <c r="CI789" s="18"/>
      <c r="CJ789" s="18"/>
      <c r="CK789" s="18"/>
      <c r="CL789" s="18"/>
      <c r="CM789" s="18"/>
      <c r="CN789" s="18"/>
      <c r="CO789" s="18"/>
      <c r="CP789" s="18"/>
      <c r="CQ789" s="18"/>
      <c r="CR789" s="18"/>
      <c r="CS789" s="18"/>
      <c r="CT789" s="18"/>
      <c r="CU789" s="18"/>
    </row>
    <row r="790" spans="1:99">
      <c r="A790" s="19"/>
      <c r="B790" s="19"/>
      <c r="C790" s="19"/>
      <c r="D790" s="19"/>
      <c r="E790" s="19"/>
      <c r="F790" s="19"/>
      <c r="G790" s="19"/>
      <c r="H790" s="19"/>
      <c r="I790" s="19"/>
      <c r="J790" s="19"/>
      <c r="K790" s="18"/>
      <c r="L790" s="18"/>
      <c r="M790" s="18"/>
      <c r="N790" s="18"/>
      <c r="O790" s="18"/>
      <c r="P790" s="18"/>
      <c r="Q790" s="18"/>
      <c r="R790" s="18"/>
      <c r="S790" s="18"/>
      <c r="T790" s="18"/>
      <c r="U790" s="18"/>
      <c r="V790" s="18"/>
      <c r="W790" s="18"/>
      <c r="X790" s="18"/>
      <c r="Y790" s="18"/>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c r="BC790" s="18"/>
      <c r="BD790" s="18"/>
      <c r="BE790" s="18"/>
      <c r="BF790" s="18"/>
      <c r="BG790" s="18"/>
      <c r="BH790" s="18"/>
      <c r="BI790" s="18"/>
      <c r="BJ790" s="18"/>
      <c r="BK790" s="18"/>
      <c r="BL790" s="18"/>
      <c r="BM790" s="18"/>
      <c r="BN790" s="18"/>
      <c r="BO790" s="18"/>
      <c r="BP790" s="18"/>
      <c r="BQ790" s="18"/>
      <c r="BR790" s="18"/>
      <c r="BS790" s="18"/>
      <c r="BT790" s="18"/>
      <c r="BU790" s="18"/>
      <c r="BV790" s="18"/>
      <c r="BW790" s="18"/>
      <c r="BX790" s="18"/>
      <c r="BY790" s="18"/>
      <c r="BZ790" s="18"/>
      <c r="CA790" s="18"/>
      <c r="CB790" s="18"/>
      <c r="CC790" s="18"/>
      <c r="CD790" s="18"/>
      <c r="CE790" s="18"/>
      <c r="CF790" s="18"/>
      <c r="CG790" s="18"/>
      <c r="CH790" s="18"/>
      <c r="CI790" s="18"/>
      <c r="CJ790" s="18"/>
      <c r="CK790" s="18"/>
      <c r="CL790" s="18"/>
      <c r="CM790" s="18"/>
      <c r="CN790" s="18"/>
      <c r="CO790" s="18"/>
      <c r="CP790" s="18"/>
      <c r="CQ790" s="18"/>
      <c r="CR790" s="18"/>
      <c r="CS790" s="18"/>
      <c r="CT790" s="18"/>
      <c r="CU790" s="18"/>
    </row>
    <row r="791" spans="1:99">
      <c r="A791" s="19"/>
      <c r="B791" s="19"/>
      <c r="C791" s="19"/>
      <c r="D791" s="19"/>
      <c r="E791" s="19"/>
      <c r="F791" s="19"/>
      <c r="G791" s="19"/>
      <c r="H791" s="19"/>
      <c r="I791" s="19"/>
      <c r="J791" s="19"/>
      <c r="K791" s="18"/>
      <c r="L791" s="18"/>
      <c r="M791" s="18"/>
      <c r="N791" s="18"/>
      <c r="O791" s="18"/>
      <c r="P791" s="18"/>
      <c r="Q791" s="18"/>
      <c r="R791" s="18"/>
      <c r="S791" s="18"/>
      <c r="T791" s="18"/>
      <c r="U791" s="18"/>
      <c r="V791" s="18"/>
      <c r="W791" s="18"/>
      <c r="X791" s="18"/>
      <c r="Y791" s="18"/>
      <c r="Z791" s="18"/>
      <c r="AA791" s="18"/>
      <c r="AB791" s="18"/>
      <c r="AC791" s="18"/>
      <c r="AD791" s="18"/>
      <c r="AE791" s="18"/>
      <c r="AF791" s="18"/>
      <c r="AG791" s="18"/>
      <c r="AH791" s="18"/>
      <c r="AI791" s="18"/>
      <c r="AJ791" s="18"/>
      <c r="AK791" s="18"/>
      <c r="AL791" s="18"/>
      <c r="AM791" s="18"/>
      <c r="AN791" s="18"/>
      <c r="AO791" s="18"/>
      <c r="AP791" s="18"/>
      <c r="AQ791" s="18"/>
      <c r="AR791" s="18"/>
      <c r="AS791" s="18"/>
      <c r="AT791" s="18"/>
      <c r="AU791" s="18"/>
      <c r="AV791" s="18"/>
      <c r="AW791" s="18"/>
      <c r="AX791" s="18"/>
      <c r="AY791" s="18"/>
      <c r="AZ791" s="18"/>
      <c r="BA791" s="18"/>
      <c r="BB791" s="18"/>
      <c r="BC791" s="18"/>
      <c r="BD791" s="18"/>
      <c r="BE791" s="18"/>
      <c r="BF791" s="18"/>
      <c r="BG791" s="18"/>
      <c r="BH791" s="18"/>
      <c r="BI791" s="18"/>
      <c r="BJ791" s="18"/>
      <c r="BK791" s="18"/>
      <c r="BL791" s="18"/>
      <c r="BM791" s="18"/>
      <c r="BN791" s="18"/>
      <c r="BO791" s="18"/>
      <c r="BP791" s="18"/>
      <c r="BQ791" s="18"/>
      <c r="BR791" s="18"/>
      <c r="BS791" s="18"/>
      <c r="BT791" s="18"/>
      <c r="BU791" s="18"/>
      <c r="BV791" s="18"/>
      <c r="BW791" s="18"/>
      <c r="BX791" s="18"/>
      <c r="BY791" s="18"/>
      <c r="BZ791" s="18"/>
      <c r="CA791" s="18"/>
      <c r="CB791" s="18"/>
      <c r="CC791" s="18"/>
      <c r="CD791" s="18"/>
      <c r="CE791" s="18"/>
      <c r="CF791" s="18"/>
      <c r="CG791" s="18"/>
      <c r="CH791" s="18"/>
      <c r="CI791" s="18"/>
      <c r="CJ791" s="18"/>
      <c r="CK791" s="18"/>
      <c r="CL791" s="18"/>
      <c r="CM791" s="18"/>
      <c r="CN791" s="18"/>
      <c r="CO791" s="18"/>
      <c r="CP791" s="18"/>
      <c r="CQ791" s="18"/>
      <c r="CR791" s="18"/>
      <c r="CS791" s="18"/>
      <c r="CT791" s="18"/>
      <c r="CU791" s="18"/>
    </row>
    <row r="792" spans="1:99">
      <c r="A792" s="19"/>
      <c r="B792" s="19"/>
      <c r="C792" s="19"/>
      <c r="D792" s="19"/>
      <c r="E792" s="19"/>
      <c r="F792" s="19"/>
      <c r="G792" s="19"/>
      <c r="H792" s="19"/>
      <c r="I792" s="19"/>
      <c r="J792" s="19"/>
      <c r="K792" s="18"/>
      <c r="L792" s="18"/>
      <c r="M792" s="18"/>
      <c r="N792" s="18"/>
      <c r="O792" s="18"/>
      <c r="P792" s="18"/>
      <c r="Q792" s="18"/>
      <c r="R792" s="18"/>
      <c r="S792" s="18"/>
      <c r="T792" s="18"/>
      <c r="U792" s="18"/>
      <c r="V792" s="18"/>
      <c r="W792" s="18"/>
      <c r="X792" s="18"/>
      <c r="Y792" s="18"/>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c r="BC792" s="18"/>
      <c r="BD792" s="18"/>
      <c r="BE792" s="18"/>
      <c r="BF792" s="18"/>
      <c r="BG792" s="18"/>
      <c r="BH792" s="18"/>
      <c r="BI792" s="18"/>
      <c r="BJ792" s="18"/>
      <c r="BK792" s="18"/>
      <c r="BL792" s="18"/>
      <c r="BM792" s="18"/>
      <c r="BN792" s="18"/>
      <c r="BO792" s="18"/>
      <c r="BP792" s="18"/>
      <c r="BQ792" s="18"/>
      <c r="BR792" s="18"/>
      <c r="BS792" s="18"/>
      <c r="BT792" s="18"/>
      <c r="BU792" s="18"/>
      <c r="BV792" s="18"/>
      <c r="BW792" s="18"/>
      <c r="BX792" s="18"/>
      <c r="BY792" s="18"/>
      <c r="BZ792" s="18"/>
      <c r="CA792" s="18"/>
      <c r="CB792" s="18"/>
      <c r="CC792" s="18"/>
      <c r="CD792" s="18"/>
      <c r="CE792" s="18"/>
      <c r="CF792" s="18"/>
      <c r="CG792" s="18"/>
      <c r="CH792" s="18"/>
      <c r="CI792" s="18"/>
      <c r="CJ792" s="18"/>
      <c r="CK792" s="18"/>
      <c r="CL792" s="18"/>
      <c r="CM792" s="18"/>
      <c r="CN792" s="18"/>
      <c r="CO792" s="18"/>
      <c r="CP792" s="18"/>
      <c r="CQ792" s="18"/>
      <c r="CR792" s="18"/>
      <c r="CS792" s="18"/>
      <c r="CT792" s="18"/>
      <c r="CU792" s="18"/>
    </row>
    <row r="793" spans="1:99">
      <c r="A793" s="19"/>
      <c r="B793" s="19"/>
      <c r="C793" s="19"/>
      <c r="D793" s="19"/>
      <c r="E793" s="19"/>
      <c r="F793" s="19"/>
      <c r="G793" s="19"/>
      <c r="H793" s="19"/>
      <c r="I793" s="19"/>
      <c r="J793" s="19"/>
      <c r="K793" s="18"/>
      <c r="L793" s="18"/>
      <c r="M793" s="18"/>
      <c r="N793" s="18"/>
      <c r="O793" s="18"/>
      <c r="P793" s="18"/>
      <c r="Q793" s="18"/>
      <c r="R793" s="18"/>
      <c r="S793" s="18"/>
      <c r="T793" s="18"/>
      <c r="U793" s="18"/>
      <c r="V793" s="18"/>
      <c r="W793" s="18"/>
      <c r="X793" s="18"/>
      <c r="Y793" s="18"/>
      <c r="Z793" s="18"/>
      <c r="AA793" s="18"/>
      <c r="AB793" s="18"/>
      <c r="AC793" s="18"/>
      <c r="AD793" s="18"/>
      <c r="AE793" s="18"/>
      <c r="AF793" s="18"/>
      <c r="AG793" s="18"/>
      <c r="AH793" s="18"/>
      <c r="AI793" s="18"/>
      <c r="AJ793" s="18"/>
      <c r="AK793" s="18"/>
      <c r="AL793" s="18"/>
      <c r="AM793" s="18"/>
      <c r="AN793" s="18"/>
      <c r="AO793" s="18"/>
      <c r="AP793" s="18"/>
      <c r="AQ793" s="18"/>
      <c r="AR793" s="18"/>
      <c r="AS793" s="18"/>
      <c r="AT793" s="18"/>
      <c r="AU793" s="18"/>
      <c r="AV793" s="18"/>
      <c r="AW793" s="18"/>
      <c r="AX793" s="18"/>
      <c r="AY793" s="18"/>
      <c r="AZ793" s="18"/>
      <c r="BA793" s="18"/>
      <c r="BB793" s="18"/>
      <c r="BC793" s="18"/>
      <c r="BD793" s="18"/>
      <c r="BE793" s="18"/>
      <c r="BF793" s="18"/>
      <c r="BG793" s="18"/>
      <c r="BH793" s="18"/>
      <c r="BI793" s="18"/>
      <c r="BJ793" s="18"/>
      <c r="BK793" s="18"/>
      <c r="BL793" s="18"/>
      <c r="BM793" s="18"/>
      <c r="BN793" s="18"/>
      <c r="BO793" s="18"/>
      <c r="BP793" s="18"/>
      <c r="BQ793" s="18"/>
      <c r="BR793" s="18"/>
      <c r="BS793" s="18"/>
      <c r="BT793" s="18"/>
      <c r="BU793" s="18"/>
      <c r="BV793" s="18"/>
      <c r="BW793" s="18"/>
      <c r="BX793" s="18"/>
      <c r="BY793" s="18"/>
      <c r="BZ793" s="18"/>
      <c r="CA793" s="18"/>
      <c r="CB793" s="18"/>
      <c r="CC793" s="18"/>
      <c r="CD793" s="18"/>
      <c r="CE793" s="18"/>
      <c r="CF793" s="18"/>
      <c r="CG793" s="18"/>
      <c r="CH793" s="18"/>
      <c r="CI793" s="18"/>
      <c r="CJ793" s="18"/>
      <c r="CK793" s="18"/>
      <c r="CL793" s="18"/>
      <c r="CM793" s="18"/>
      <c r="CN793" s="18"/>
      <c r="CO793" s="18"/>
      <c r="CP793" s="18"/>
      <c r="CQ793" s="18"/>
      <c r="CR793" s="18"/>
      <c r="CS793" s="18"/>
      <c r="CT793" s="18"/>
      <c r="CU793" s="18"/>
    </row>
    <row r="794" spans="1:99">
      <c r="A794" s="19"/>
      <c r="B794" s="19"/>
      <c r="C794" s="19"/>
      <c r="D794" s="19"/>
      <c r="E794" s="19"/>
      <c r="F794" s="19"/>
      <c r="G794" s="19"/>
      <c r="H794" s="19"/>
      <c r="I794" s="19"/>
      <c r="J794" s="19"/>
      <c r="K794" s="18"/>
      <c r="L794" s="18"/>
      <c r="M794" s="18"/>
      <c r="N794" s="18"/>
      <c r="O794" s="18"/>
      <c r="P794" s="18"/>
      <c r="Q794" s="18"/>
      <c r="R794" s="18"/>
      <c r="S794" s="18"/>
      <c r="T794" s="18"/>
      <c r="U794" s="18"/>
      <c r="V794" s="18"/>
      <c r="W794" s="18"/>
      <c r="X794" s="18"/>
      <c r="Y794" s="18"/>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c r="BC794" s="18"/>
      <c r="BD794" s="18"/>
      <c r="BE794" s="18"/>
      <c r="BF794" s="18"/>
      <c r="BG794" s="18"/>
      <c r="BH794" s="18"/>
      <c r="BI794" s="18"/>
      <c r="BJ794" s="18"/>
      <c r="BK794" s="18"/>
      <c r="BL794" s="18"/>
      <c r="BM794" s="18"/>
      <c r="BN794" s="18"/>
      <c r="BO794" s="18"/>
      <c r="BP794" s="18"/>
      <c r="BQ794" s="18"/>
      <c r="BR794" s="18"/>
      <c r="BS794" s="18"/>
      <c r="BT794" s="18"/>
      <c r="BU794" s="18"/>
      <c r="BV794" s="18"/>
      <c r="BW794" s="18"/>
      <c r="BX794" s="18"/>
      <c r="BY794" s="18"/>
      <c r="BZ794" s="18"/>
      <c r="CA794" s="18"/>
      <c r="CB794" s="18"/>
      <c r="CC794" s="18"/>
      <c r="CD794" s="18"/>
      <c r="CE794" s="18"/>
      <c r="CF794" s="18"/>
      <c r="CG794" s="18"/>
      <c r="CH794" s="18"/>
      <c r="CI794" s="18"/>
      <c r="CJ794" s="18"/>
      <c r="CK794" s="18"/>
      <c r="CL794" s="18"/>
      <c r="CM794" s="18"/>
      <c r="CN794" s="18"/>
      <c r="CO794" s="18"/>
      <c r="CP794" s="18"/>
      <c r="CQ794" s="18"/>
      <c r="CR794" s="18"/>
      <c r="CS794" s="18"/>
      <c r="CT794" s="18"/>
      <c r="CU794" s="18"/>
    </row>
    <row r="795" spans="1:99">
      <c r="A795" s="19"/>
      <c r="B795" s="19"/>
      <c r="C795" s="19"/>
      <c r="D795" s="19"/>
      <c r="E795" s="19"/>
      <c r="F795" s="19"/>
      <c r="G795" s="19"/>
      <c r="H795" s="19"/>
      <c r="I795" s="19"/>
      <c r="J795" s="19"/>
      <c r="K795" s="18"/>
      <c r="L795" s="18"/>
      <c r="M795" s="18"/>
      <c r="N795" s="18"/>
      <c r="O795" s="18"/>
      <c r="P795" s="18"/>
      <c r="Q795" s="18"/>
      <c r="R795" s="18"/>
      <c r="S795" s="18"/>
      <c r="T795" s="18"/>
      <c r="U795" s="18"/>
      <c r="V795" s="18"/>
      <c r="W795" s="18"/>
      <c r="X795" s="18"/>
      <c r="Y795" s="18"/>
      <c r="Z795" s="18"/>
      <c r="AA795" s="18"/>
      <c r="AB795" s="18"/>
      <c r="AC795" s="18"/>
      <c r="AD795" s="18"/>
      <c r="AE795" s="18"/>
      <c r="AF795" s="18"/>
      <c r="AG795" s="18"/>
      <c r="AH795" s="18"/>
      <c r="AI795" s="18"/>
      <c r="AJ795" s="18"/>
      <c r="AK795" s="18"/>
      <c r="AL795" s="18"/>
      <c r="AM795" s="18"/>
      <c r="AN795" s="18"/>
      <c r="AO795" s="18"/>
      <c r="AP795" s="18"/>
      <c r="AQ795" s="18"/>
      <c r="AR795" s="18"/>
      <c r="AS795" s="18"/>
      <c r="AT795" s="18"/>
      <c r="AU795" s="18"/>
      <c r="AV795" s="18"/>
      <c r="AW795" s="18"/>
      <c r="AX795" s="18"/>
      <c r="AY795" s="18"/>
      <c r="AZ795" s="18"/>
      <c r="BA795" s="18"/>
      <c r="BB795" s="18"/>
      <c r="BC795" s="18"/>
      <c r="BD795" s="18"/>
      <c r="BE795" s="18"/>
      <c r="BF795" s="18"/>
      <c r="BG795" s="18"/>
      <c r="BH795" s="18"/>
      <c r="BI795" s="18"/>
      <c r="BJ795" s="18"/>
      <c r="BK795" s="18"/>
      <c r="BL795" s="18"/>
      <c r="BM795" s="18"/>
      <c r="BN795" s="18"/>
      <c r="BO795" s="18"/>
      <c r="BP795" s="18"/>
      <c r="BQ795" s="18"/>
      <c r="BR795" s="18"/>
      <c r="BS795" s="18"/>
      <c r="BT795" s="18"/>
      <c r="BU795" s="18"/>
      <c r="BV795" s="18"/>
      <c r="BW795" s="18"/>
      <c r="BX795" s="18"/>
      <c r="BY795" s="18"/>
      <c r="BZ795" s="18"/>
      <c r="CA795" s="18"/>
      <c r="CB795" s="18"/>
      <c r="CC795" s="18"/>
      <c r="CD795" s="18"/>
      <c r="CE795" s="18"/>
      <c r="CF795" s="18"/>
      <c r="CG795" s="18"/>
      <c r="CH795" s="18"/>
      <c r="CI795" s="18"/>
      <c r="CJ795" s="18"/>
      <c r="CK795" s="18"/>
      <c r="CL795" s="18"/>
      <c r="CM795" s="18"/>
      <c r="CN795" s="18"/>
      <c r="CO795" s="18"/>
      <c r="CP795" s="18"/>
      <c r="CQ795" s="18"/>
      <c r="CR795" s="18"/>
      <c r="CS795" s="18"/>
      <c r="CT795" s="18"/>
      <c r="CU795" s="18"/>
    </row>
    <row r="796" spans="1:99">
      <c r="A796" s="19"/>
      <c r="B796" s="19"/>
      <c r="C796" s="19"/>
      <c r="D796" s="19"/>
      <c r="E796" s="19"/>
      <c r="F796" s="19"/>
      <c r="G796" s="19"/>
      <c r="H796" s="19"/>
      <c r="I796" s="19"/>
      <c r="J796" s="19"/>
      <c r="K796" s="18"/>
      <c r="L796" s="18"/>
      <c r="M796" s="18"/>
      <c r="N796" s="18"/>
      <c r="O796" s="18"/>
      <c r="P796" s="18"/>
      <c r="Q796" s="18"/>
      <c r="R796" s="18"/>
      <c r="S796" s="18"/>
      <c r="T796" s="18"/>
      <c r="U796" s="18"/>
      <c r="V796" s="18"/>
      <c r="W796" s="18"/>
      <c r="X796" s="18"/>
      <c r="Y796" s="18"/>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c r="BC796" s="18"/>
      <c r="BD796" s="18"/>
      <c r="BE796" s="18"/>
      <c r="BF796" s="18"/>
      <c r="BG796" s="18"/>
      <c r="BH796" s="18"/>
      <c r="BI796" s="18"/>
      <c r="BJ796" s="18"/>
      <c r="BK796" s="18"/>
      <c r="BL796" s="18"/>
      <c r="BM796" s="18"/>
      <c r="BN796" s="18"/>
      <c r="BO796" s="18"/>
      <c r="BP796" s="18"/>
      <c r="BQ796" s="18"/>
      <c r="BR796" s="18"/>
      <c r="BS796" s="18"/>
      <c r="BT796" s="18"/>
      <c r="BU796" s="18"/>
      <c r="BV796" s="18"/>
      <c r="BW796" s="18"/>
      <c r="BX796" s="18"/>
      <c r="BY796" s="18"/>
      <c r="BZ796" s="18"/>
      <c r="CA796" s="18"/>
      <c r="CB796" s="18"/>
      <c r="CC796" s="18"/>
      <c r="CD796" s="18"/>
      <c r="CE796" s="18"/>
      <c r="CF796" s="18"/>
      <c r="CG796" s="18"/>
      <c r="CH796" s="18"/>
      <c r="CI796" s="18"/>
      <c r="CJ796" s="18"/>
      <c r="CK796" s="18"/>
      <c r="CL796" s="18"/>
      <c r="CM796" s="18"/>
      <c r="CN796" s="18"/>
      <c r="CO796" s="18"/>
      <c r="CP796" s="18"/>
      <c r="CQ796" s="18"/>
      <c r="CR796" s="18"/>
      <c r="CS796" s="18"/>
      <c r="CT796" s="18"/>
      <c r="CU796" s="18"/>
    </row>
    <row r="797" spans="1:99">
      <c r="A797" s="19"/>
      <c r="B797" s="19"/>
      <c r="C797" s="19"/>
      <c r="D797" s="19"/>
      <c r="E797" s="19"/>
      <c r="F797" s="19"/>
      <c r="G797" s="19"/>
      <c r="H797" s="19"/>
      <c r="I797" s="19"/>
      <c r="J797" s="19"/>
      <c r="K797" s="18"/>
      <c r="L797" s="18"/>
      <c r="M797" s="18"/>
      <c r="N797" s="18"/>
      <c r="O797" s="18"/>
      <c r="P797" s="18"/>
      <c r="Q797" s="18"/>
      <c r="R797" s="18"/>
      <c r="S797" s="18"/>
      <c r="T797" s="18"/>
      <c r="U797" s="18"/>
      <c r="V797" s="18"/>
      <c r="W797" s="18"/>
      <c r="X797" s="18"/>
      <c r="Y797" s="18"/>
      <c r="Z797" s="18"/>
      <c r="AA797" s="18"/>
      <c r="AB797" s="18"/>
      <c r="AC797" s="18"/>
      <c r="AD797" s="18"/>
      <c r="AE797" s="18"/>
      <c r="AF797" s="18"/>
      <c r="AG797" s="18"/>
      <c r="AH797" s="18"/>
      <c r="AI797" s="18"/>
      <c r="AJ797" s="18"/>
      <c r="AK797" s="18"/>
      <c r="AL797" s="18"/>
      <c r="AM797" s="18"/>
      <c r="AN797" s="18"/>
      <c r="AO797" s="18"/>
      <c r="AP797" s="18"/>
      <c r="AQ797" s="18"/>
      <c r="AR797" s="18"/>
      <c r="AS797" s="18"/>
      <c r="AT797" s="18"/>
      <c r="AU797" s="18"/>
      <c r="AV797" s="18"/>
      <c r="AW797" s="18"/>
      <c r="AX797" s="18"/>
      <c r="AY797" s="18"/>
      <c r="AZ797" s="18"/>
      <c r="BA797" s="18"/>
      <c r="BB797" s="18"/>
      <c r="BC797" s="18"/>
      <c r="BD797" s="18"/>
      <c r="BE797" s="18"/>
      <c r="BF797" s="18"/>
      <c r="BG797" s="18"/>
      <c r="BH797" s="18"/>
      <c r="BI797" s="18"/>
      <c r="BJ797" s="18"/>
      <c r="BK797" s="18"/>
      <c r="BL797" s="18"/>
      <c r="BM797" s="18"/>
      <c r="BN797" s="18"/>
      <c r="BO797" s="18"/>
      <c r="BP797" s="18"/>
      <c r="BQ797" s="18"/>
      <c r="BR797" s="18"/>
      <c r="BS797" s="18"/>
      <c r="BT797" s="18"/>
      <c r="BU797" s="18"/>
      <c r="BV797" s="18"/>
      <c r="BW797" s="18"/>
      <c r="BX797" s="18"/>
      <c r="BY797" s="18"/>
      <c r="BZ797" s="18"/>
      <c r="CA797" s="18"/>
      <c r="CB797" s="18"/>
      <c r="CC797" s="18"/>
      <c r="CD797" s="18"/>
      <c r="CE797" s="18"/>
      <c r="CF797" s="18"/>
      <c r="CG797" s="18"/>
      <c r="CH797" s="18"/>
      <c r="CI797" s="18"/>
      <c r="CJ797" s="18"/>
      <c r="CK797" s="18"/>
      <c r="CL797" s="18"/>
      <c r="CM797" s="18"/>
      <c r="CN797" s="18"/>
      <c r="CO797" s="18"/>
      <c r="CP797" s="18"/>
      <c r="CQ797" s="18"/>
      <c r="CR797" s="18"/>
      <c r="CS797" s="18"/>
      <c r="CT797" s="18"/>
      <c r="CU797" s="18"/>
    </row>
    <row r="798" spans="1:99">
      <c r="A798" s="19"/>
      <c r="B798" s="19"/>
      <c r="C798" s="19"/>
      <c r="D798" s="19"/>
      <c r="E798" s="19"/>
      <c r="F798" s="19"/>
      <c r="G798" s="19"/>
      <c r="H798" s="19"/>
      <c r="I798" s="19"/>
      <c r="J798" s="19"/>
      <c r="K798" s="18"/>
      <c r="L798" s="18"/>
      <c r="M798" s="18"/>
      <c r="N798" s="18"/>
      <c r="O798" s="18"/>
      <c r="P798" s="18"/>
      <c r="Q798" s="18"/>
      <c r="R798" s="18"/>
      <c r="S798" s="18"/>
      <c r="T798" s="18"/>
      <c r="U798" s="18"/>
      <c r="V798" s="18"/>
      <c r="W798" s="18"/>
      <c r="X798" s="18"/>
      <c r="Y798" s="18"/>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c r="BC798" s="18"/>
      <c r="BD798" s="18"/>
      <c r="BE798" s="18"/>
      <c r="BF798" s="18"/>
      <c r="BG798" s="18"/>
      <c r="BH798" s="18"/>
      <c r="BI798" s="18"/>
      <c r="BJ798" s="18"/>
      <c r="BK798" s="18"/>
      <c r="BL798" s="18"/>
      <c r="BM798" s="18"/>
      <c r="BN798" s="18"/>
      <c r="BO798" s="18"/>
      <c r="BP798" s="18"/>
      <c r="BQ798" s="18"/>
      <c r="BR798" s="18"/>
      <c r="BS798" s="18"/>
      <c r="BT798" s="18"/>
      <c r="BU798" s="18"/>
      <c r="BV798" s="18"/>
      <c r="BW798" s="18"/>
      <c r="BX798" s="18"/>
      <c r="BY798" s="18"/>
      <c r="BZ798" s="18"/>
      <c r="CA798" s="18"/>
      <c r="CB798" s="18"/>
      <c r="CC798" s="18"/>
      <c r="CD798" s="18"/>
      <c r="CE798" s="18"/>
      <c r="CF798" s="18"/>
      <c r="CG798" s="18"/>
      <c r="CH798" s="18"/>
      <c r="CI798" s="18"/>
      <c r="CJ798" s="18"/>
      <c r="CK798" s="18"/>
      <c r="CL798" s="18"/>
      <c r="CM798" s="18"/>
      <c r="CN798" s="18"/>
      <c r="CO798" s="18"/>
      <c r="CP798" s="18"/>
      <c r="CQ798" s="18"/>
      <c r="CR798" s="18"/>
      <c r="CS798" s="18"/>
      <c r="CT798" s="18"/>
      <c r="CU798" s="18"/>
    </row>
    <row r="799" spans="1:99">
      <c r="A799" s="19"/>
      <c r="B799" s="19"/>
      <c r="C799" s="19"/>
      <c r="D799" s="19"/>
      <c r="E799" s="19"/>
      <c r="F799" s="19"/>
      <c r="G799" s="19"/>
      <c r="H799" s="19"/>
      <c r="I799" s="19"/>
      <c r="J799" s="19"/>
      <c r="K799" s="18"/>
      <c r="L799" s="18"/>
      <c r="M799" s="18"/>
      <c r="N799" s="18"/>
      <c r="O799" s="18"/>
      <c r="P799" s="18"/>
      <c r="Q799" s="18"/>
      <c r="R799" s="18"/>
      <c r="S799" s="18"/>
      <c r="T799" s="18"/>
      <c r="U799" s="18"/>
      <c r="V799" s="18"/>
      <c r="W799" s="18"/>
      <c r="X799" s="18"/>
      <c r="Y799" s="18"/>
      <c r="Z799" s="18"/>
      <c r="AA799" s="18"/>
      <c r="AB799" s="18"/>
      <c r="AC799" s="18"/>
      <c r="AD799" s="18"/>
      <c r="AE799" s="18"/>
      <c r="AF799" s="18"/>
      <c r="AG799" s="18"/>
      <c r="AH799" s="18"/>
      <c r="AI799" s="18"/>
      <c r="AJ799" s="18"/>
      <c r="AK799" s="18"/>
      <c r="AL799" s="18"/>
      <c r="AM799" s="18"/>
      <c r="AN799" s="18"/>
      <c r="AO799" s="18"/>
      <c r="AP799" s="18"/>
      <c r="AQ799" s="18"/>
      <c r="AR799" s="18"/>
      <c r="AS799" s="18"/>
      <c r="AT799" s="18"/>
      <c r="AU799" s="18"/>
      <c r="AV799" s="18"/>
      <c r="AW799" s="18"/>
      <c r="AX799" s="18"/>
      <c r="AY799" s="18"/>
      <c r="AZ799" s="18"/>
      <c r="BA799" s="18"/>
      <c r="BB799" s="18"/>
      <c r="BC799" s="18"/>
      <c r="BD799" s="18"/>
      <c r="BE799" s="18"/>
      <c r="BF799" s="18"/>
      <c r="BG799" s="18"/>
      <c r="BH799" s="18"/>
      <c r="BI799" s="18"/>
      <c r="BJ799" s="18"/>
      <c r="BK799" s="18"/>
      <c r="BL799" s="18"/>
      <c r="BM799" s="18"/>
      <c r="BN799" s="18"/>
      <c r="BO799" s="18"/>
      <c r="BP799" s="18"/>
      <c r="BQ799" s="18"/>
      <c r="BR799" s="18"/>
      <c r="BS799" s="18"/>
      <c r="BT799" s="18"/>
      <c r="BU799" s="18"/>
      <c r="BV799" s="18"/>
      <c r="BW799" s="18"/>
      <c r="BX799" s="18"/>
      <c r="BY799" s="18"/>
      <c r="BZ799" s="18"/>
      <c r="CA799" s="18"/>
      <c r="CB799" s="18"/>
      <c r="CC799" s="18"/>
      <c r="CD799" s="18"/>
      <c r="CE799" s="18"/>
      <c r="CF799" s="18"/>
      <c r="CG799" s="18"/>
      <c r="CH799" s="18"/>
      <c r="CI799" s="18"/>
      <c r="CJ799" s="18"/>
      <c r="CK799" s="18"/>
      <c r="CL799" s="18"/>
      <c r="CM799" s="18"/>
      <c r="CN799" s="18"/>
      <c r="CO799" s="18"/>
      <c r="CP799" s="18"/>
      <c r="CQ799" s="18"/>
      <c r="CR799" s="18"/>
      <c r="CS799" s="18"/>
      <c r="CT799" s="18"/>
      <c r="CU799" s="18"/>
    </row>
    <row r="800" spans="1:99">
      <c r="A800" s="19"/>
      <c r="B800" s="19"/>
      <c r="C800" s="19"/>
      <c r="D800" s="19"/>
      <c r="E800" s="19"/>
      <c r="F800" s="19"/>
      <c r="G800" s="19"/>
      <c r="H800" s="19"/>
      <c r="I800" s="19"/>
      <c r="J800" s="19"/>
      <c r="K800" s="18"/>
      <c r="L800" s="18"/>
      <c r="M800" s="18"/>
      <c r="N800" s="18"/>
      <c r="O800" s="18"/>
      <c r="P800" s="18"/>
      <c r="Q800" s="18"/>
      <c r="R800" s="18"/>
      <c r="S800" s="18"/>
      <c r="T800" s="18"/>
      <c r="U800" s="18"/>
      <c r="V800" s="18"/>
      <c r="W800" s="18"/>
      <c r="X800" s="18"/>
      <c r="Y800" s="18"/>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c r="BC800" s="18"/>
      <c r="BD800" s="18"/>
      <c r="BE800" s="18"/>
      <c r="BF800" s="18"/>
      <c r="BG800" s="18"/>
      <c r="BH800" s="18"/>
      <c r="BI800" s="18"/>
      <c r="BJ800" s="18"/>
      <c r="BK800" s="18"/>
      <c r="BL800" s="18"/>
      <c r="BM800" s="18"/>
      <c r="BN800" s="18"/>
      <c r="BO800" s="18"/>
      <c r="BP800" s="18"/>
      <c r="BQ800" s="18"/>
      <c r="BR800" s="18"/>
      <c r="BS800" s="18"/>
      <c r="BT800" s="18"/>
      <c r="BU800" s="18"/>
      <c r="BV800" s="18"/>
      <c r="BW800" s="18"/>
      <c r="BX800" s="18"/>
      <c r="BY800" s="18"/>
      <c r="BZ800" s="18"/>
      <c r="CA800" s="18"/>
      <c r="CB800" s="18"/>
      <c r="CC800" s="18"/>
      <c r="CD800" s="18"/>
      <c r="CE800" s="18"/>
      <c r="CF800" s="18"/>
      <c r="CG800" s="18"/>
      <c r="CH800" s="18"/>
      <c r="CI800" s="18"/>
      <c r="CJ800" s="18"/>
      <c r="CK800" s="18"/>
      <c r="CL800" s="18"/>
      <c r="CM800" s="18"/>
      <c r="CN800" s="18"/>
      <c r="CO800" s="18"/>
      <c r="CP800" s="18"/>
      <c r="CQ800" s="18"/>
      <c r="CR800" s="18"/>
      <c r="CS800" s="18"/>
      <c r="CT800" s="18"/>
      <c r="CU800" s="18"/>
    </row>
    <row r="801" spans="1:99">
      <c r="A801" s="19"/>
      <c r="B801" s="19"/>
      <c r="C801" s="19"/>
      <c r="D801" s="19"/>
      <c r="E801" s="19"/>
      <c r="F801" s="19"/>
      <c r="G801" s="19"/>
      <c r="H801" s="19"/>
      <c r="I801" s="19"/>
      <c r="J801" s="19"/>
      <c r="K801" s="18"/>
      <c r="L801" s="18"/>
      <c r="M801" s="18"/>
      <c r="N801" s="18"/>
      <c r="O801" s="18"/>
      <c r="P801" s="18"/>
      <c r="Q801" s="18"/>
      <c r="R801" s="18"/>
      <c r="S801" s="18"/>
      <c r="T801" s="18"/>
      <c r="U801" s="18"/>
      <c r="V801" s="18"/>
      <c r="W801" s="18"/>
      <c r="X801" s="18"/>
      <c r="Y801" s="18"/>
      <c r="Z801" s="18"/>
      <c r="AA801" s="18"/>
      <c r="AB801" s="18"/>
      <c r="AC801" s="18"/>
      <c r="AD801" s="18"/>
      <c r="AE801" s="18"/>
      <c r="AF801" s="18"/>
      <c r="AG801" s="18"/>
      <c r="AH801" s="18"/>
      <c r="AI801" s="18"/>
      <c r="AJ801" s="18"/>
      <c r="AK801" s="18"/>
      <c r="AL801" s="18"/>
      <c r="AM801" s="18"/>
      <c r="AN801" s="18"/>
      <c r="AO801" s="18"/>
      <c r="AP801" s="18"/>
      <c r="AQ801" s="18"/>
      <c r="AR801" s="18"/>
      <c r="AS801" s="18"/>
      <c r="AT801" s="18"/>
      <c r="AU801" s="18"/>
      <c r="AV801" s="18"/>
      <c r="AW801" s="18"/>
      <c r="AX801" s="18"/>
      <c r="AY801" s="18"/>
      <c r="AZ801" s="18"/>
      <c r="BA801" s="18"/>
      <c r="BB801" s="18"/>
      <c r="BC801" s="18"/>
      <c r="BD801" s="18"/>
      <c r="BE801" s="18"/>
      <c r="BF801" s="18"/>
      <c r="BG801" s="18"/>
      <c r="BH801" s="18"/>
      <c r="BI801" s="18"/>
      <c r="BJ801" s="18"/>
      <c r="BK801" s="18"/>
      <c r="BL801" s="18"/>
      <c r="BM801" s="18"/>
      <c r="BN801" s="18"/>
      <c r="BO801" s="18"/>
      <c r="BP801" s="18"/>
      <c r="BQ801" s="18"/>
      <c r="BR801" s="18"/>
      <c r="BS801" s="18"/>
      <c r="BT801" s="18"/>
      <c r="BU801" s="18"/>
      <c r="BV801" s="18"/>
      <c r="BW801" s="18"/>
      <c r="BX801" s="18"/>
      <c r="BY801" s="18"/>
      <c r="BZ801" s="18"/>
      <c r="CA801" s="18"/>
      <c r="CB801" s="18"/>
      <c r="CC801" s="18"/>
      <c r="CD801" s="18"/>
      <c r="CE801" s="18"/>
      <c r="CF801" s="18"/>
      <c r="CG801" s="18"/>
      <c r="CH801" s="18"/>
      <c r="CI801" s="18"/>
      <c r="CJ801" s="18"/>
      <c r="CK801" s="18"/>
      <c r="CL801" s="18"/>
      <c r="CM801" s="18"/>
      <c r="CN801" s="18"/>
      <c r="CO801" s="18"/>
      <c r="CP801" s="18"/>
      <c r="CQ801" s="18"/>
      <c r="CR801" s="18"/>
      <c r="CS801" s="18"/>
      <c r="CT801" s="18"/>
      <c r="CU801" s="18"/>
    </row>
    <row r="802" spans="1:99">
      <c r="A802" s="19"/>
      <c r="B802" s="19"/>
      <c r="C802" s="19"/>
      <c r="D802" s="19"/>
      <c r="E802" s="19"/>
      <c r="F802" s="19"/>
      <c r="G802" s="19"/>
      <c r="H802" s="19"/>
      <c r="I802" s="19"/>
      <c r="J802" s="19"/>
      <c r="K802" s="18"/>
      <c r="L802" s="18"/>
      <c r="M802" s="18"/>
      <c r="N802" s="18"/>
      <c r="O802" s="18"/>
      <c r="P802" s="18"/>
      <c r="Q802" s="18"/>
      <c r="R802" s="18"/>
      <c r="S802" s="18"/>
      <c r="T802" s="18"/>
      <c r="U802" s="18"/>
      <c r="V802" s="18"/>
      <c r="W802" s="18"/>
      <c r="X802" s="18"/>
      <c r="Y802" s="18"/>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c r="BC802" s="18"/>
      <c r="BD802" s="18"/>
      <c r="BE802" s="18"/>
      <c r="BF802" s="18"/>
      <c r="BG802" s="18"/>
      <c r="BH802" s="18"/>
      <c r="BI802" s="18"/>
      <c r="BJ802" s="18"/>
      <c r="BK802" s="18"/>
      <c r="BL802" s="18"/>
      <c r="BM802" s="18"/>
      <c r="BN802" s="18"/>
      <c r="BO802" s="18"/>
      <c r="BP802" s="18"/>
      <c r="BQ802" s="18"/>
      <c r="BR802" s="18"/>
      <c r="BS802" s="18"/>
      <c r="BT802" s="18"/>
      <c r="BU802" s="18"/>
      <c r="BV802" s="18"/>
      <c r="BW802" s="18"/>
      <c r="BX802" s="18"/>
      <c r="BY802" s="18"/>
      <c r="BZ802" s="18"/>
      <c r="CA802" s="18"/>
      <c r="CB802" s="18"/>
      <c r="CC802" s="18"/>
      <c r="CD802" s="18"/>
      <c r="CE802" s="18"/>
      <c r="CF802" s="18"/>
      <c r="CG802" s="18"/>
      <c r="CH802" s="18"/>
      <c r="CI802" s="18"/>
      <c r="CJ802" s="18"/>
      <c r="CK802" s="18"/>
      <c r="CL802" s="18"/>
      <c r="CM802" s="18"/>
      <c r="CN802" s="18"/>
      <c r="CO802" s="18"/>
      <c r="CP802" s="18"/>
      <c r="CQ802" s="18"/>
      <c r="CR802" s="18"/>
      <c r="CS802" s="18"/>
      <c r="CT802" s="18"/>
      <c r="CU802" s="18"/>
    </row>
    <row r="803" spans="1:99">
      <c r="A803" s="19"/>
      <c r="B803" s="19"/>
      <c r="C803" s="19"/>
      <c r="D803" s="19"/>
      <c r="E803" s="19"/>
      <c r="F803" s="19"/>
      <c r="G803" s="19"/>
      <c r="H803" s="19"/>
      <c r="I803" s="19"/>
      <c r="J803" s="19"/>
      <c r="K803" s="18"/>
      <c r="L803" s="18"/>
      <c r="M803" s="18"/>
      <c r="N803" s="18"/>
      <c r="O803" s="18"/>
      <c r="P803" s="18"/>
      <c r="Q803" s="18"/>
      <c r="R803" s="18"/>
      <c r="S803" s="18"/>
      <c r="T803" s="18"/>
      <c r="U803" s="18"/>
      <c r="V803" s="18"/>
      <c r="W803" s="18"/>
      <c r="X803" s="18"/>
      <c r="Y803" s="18"/>
      <c r="Z803" s="18"/>
      <c r="AA803" s="18"/>
      <c r="AB803" s="18"/>
      <c r="AC803" s="18"/>
      <c r="AD803" s="18"/>
      <c r="AE803" s="18"/>
      <c r="AF803" s="18"/>
      <c r="AG803" s="18"/>
      <c r="AH803" s="18"/>
      <c r="AI803" s="18"/>
      <c r="AJ803" s="18"/>
      <c r="AK803" s="18"/>
      <c r="AL803" s="18"/>
      <c r="AM803" s="18"/>
      <c r="AN803" s="18"/>
      <c r="AO803" s="18"/>
      <c r="AP803" s="18"/>
      <c r="AQ803" s="18"/>
      <c r="AR803" s="18"/>
      <c r="AS803" s="18"/>
      <c r="AT803" s="18"/>
      <c r="AU803" s="18"/>
      <c r="AV803" s="18"/>
      <c r="AW803" s="18"/>
      <c r="AX803" s="18"/>
      <c r="AY803" s="18"/>
      <c r="AZ803" s="18"/>
      <c r="BA803" s="18"/>
      <c r="BB803" s="18"/>
      <c r="BC803" s="18"/>
      <c r="BD803" s="18"/>
      <c r="BE803" s="18"/>
      <c r="BF803" s="18"/>
      <c r="BG803" s="18"/>
      <c r="BH803" s="18"/>
      <c r="BI803" s="18"/>
      <c r="BJ803" s="18"/>
      <c r="BK803" s="18"/>
      <c r="BL803" s="18"/>
      <c r="BM803" s="18"/>
      <c r="BN803" s="18"/>
      <c r="BO803" s="18"/>
      <c r="BP803" s="18"/>
      <c r="BQ803" s="18"/>
      <c r="BR803" s="18"/>
      <c r="BS803" s="18"/>
      <c r="BT803" s="18"/>
      <c r="BU803" s="18"/>
      <c r="BV803" s="18"/>
      <c r="BW803" s="18"/>
      <c r="BX803" s="18"/>
      <c r="BY803" s="18"/>
      <c r="BZ803" s="18"/>
      <c r="CA803" s="18"/>
      <c r="CB803" s="18"/>
      <c r="CC803" s="18"/>
      <c r="CD803" s="18"/>
      <c r="CE803" s="18"/>
      <c r="CF803" s="18"/>
      <c r="CG803" s="18"/>
      <c r="CH803" s="18"/>
      <c r="CI803" s="18"/>
      <c r="CJ803" s="18"/>
      <c r="CK803" s="18"/>
      <c r="CL803" s="18"/>
      <c r="CM803" s="18"/>
      <c r="CN803" s="18"/>
      <c r="CO803" s="18"/>
      <c r="CP803" s="18"/>
      <c r="CQ803" s="18"/>
      <c r="CR803" s="18"/>
      <c r="CS803" s="18"/>
      <c r="CT803" s="18"/>
      <c r="CU803" s="18"/>
    </row>
    <row r="804" spans="1:99">
      <c r="A804" s="19"/>
      <c r="B804" s="19"/>
      <c r="C804" s="19"/>
      <c r="D804" s="19"/>
      <c r="E804" s="19"/>
      <c r="F804" s="19"/>
      <c r="G804" s="19"/>
      <c r="H804" s="19"/>
      <c r="I804" s="19"/>
      <c r="J804" s="19"/>
      <c r="K804" s="18"/>
      <c r="L804" s="18"/>
      <c r="M804" s="18"/>
      <c r="N804" s="18"/>
      <c r="O804" s="18"/>
      <c r="P804" s="18"/>
      <c r="Q804" s="18"/>
      <c r="R804" s="18"/>
      <c r="S804" s="18"/>
      <c r="T804" s="18"/>
      <c r="U804" s="18"/>
      <c r="V804" s="18"/>
      <c r="W804" s="18"/>
      <c r="X804" s="18"/>
      <c r="Y804" s="18"/>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c r="BC804" s="18"/>
      <c r="BD804" s="18"/>
      <c r="BE804" s="18"/>
      <c r="BF804" s="18"/>
      <c r="BG804" s="18"/>
      <c r="BH804" s="18"/>
      <c r="BI804" s="18"/>
      <c r="BJ804" s="18"/>
      <c r="BK804" s="18"/>
      <c r="BL804" s="18"/>
      <c r="BM804" s="18"/>
      <c r="BN804" s="18"/>
      <c r="BO804" s="18"/>
      <c r="BP804" s="18"/>
      <c r="BQ804" s="18"/>
      <c r="BR804" s="18"/>
      <c r="BS804" s="18"/>
      <c r="BT804" s="18"/>
      <c r="BU804" s="18"/>
      <c r="BV804" s="18"/>
      <c r="BW804" s="18"/>
      <c r="BX804" s="18"/>
      <c r="BY804" s="18"/>
      <c r="BZ804" s="18"/>
      <c r="CA804" s="18"/>
      <c r="CB804" s="18"/>
      <c r="CC804" s="18"/>
      <c r="CD804" s="18"/>
      <c r="CE804" s="18"/>
      <c r="CF804" s="18"/>
      <c r="CG804" s="18"/>
      <c r="CH804" s="18"/>
      <c r="CI804" s="18"/>
      <c r="CJ804" s="18"/>
      <c r="CK804" s="18"/>
      <c r="CL804" s="18"/>
      <c r="CM804" s="18"/>
      <c r="CN804" s="18"/>
      <c r="CO804" s="18"/>
      <c r="CP804" s="18"/>
      <c r="CQ804" s="18"/>
      <c r="CR804" s="18"/>
      <c r="CS804" s="18"/>
      <c r="CT804" s="18"/>
      <c r="CU804" s="18"/>
    </row>
    <row r="805" spans="1:99">
      <c r="A805" s="19"/>
      <c r="B805" s="19"/>
      <c r="C805" s="19"/>
      <c r="D805" s="19"/>
      <c r="E805" s="19"/>
      <c r="F805" s="19"/>
      <c r="G805" s="19"/>
      <c r="H805" s="19"/>
      <c r="I805" s="19"/>
      <c r="J805" s="19"/>
      <c r="K805" s="18"/>
      <c r="L805" s="18"/>
      <c r="M805" s="18"/>
      <c r="N805" s="18"/>
      <c r="O805" s="18"/>
      <c r="P805" s="18"/>
      <c r="Q805" s="18"/>
      <c r="R805" s="18"/>
      <c r="S805" s="18"/>
      <c r="T805" s="18"/>
      <c r="U805" s="18"/>
      <c r="V805" s="18"/>
      <c r="W805" s="18"/>
      <c r="X805" s="18"/>
      <c r="Y805" s="18"/>
      <c r="Z805" s="18"/>
      <c r="AA805" s="18"/>
      <c r="AB805" s="18"/>
      <c r="AC805" s="18"/>
      <c r="AD805" s="18"/>
      <c r="AE805" s="18"/>
      <c r="AF805" s="18"/>
      <c r="AG805" s="18"/>
      <c r="AH805" s="18"/>
      <c r="AI805" s="18"/>
      <c r="AJ805" s="18"/>
      <c r="AK805" s="18"/>
      <c r="AL805" s="18"/>
      <c r="AM805" s="18"/>
      <c r="AN805" s="18"/>
      <c r="AO805" s="18"/>
      <c r="AP805" s="18"/>
      <c r="AQ805" s="18"/>
      <c r="AR805" s="18"/>
      <c r="AS805" s="18"/>
      <c r="AT805" s="18"/>
      <c r="AU805" s="18"/>
      <c r="AV805" s="18"/>
      <c r="AW805" s="18"/>
      <c r="AX805" s="18"/>
      <c r="AY805" s="18"/>
      <c r="AZ805" s="18"/>
      <c r="BA805" s="18"/>
      <c r="BB805" s="18"/>
      <c r="BC805" s="18"/>
      <c r="BD805" s="18"/>
      <c r="BE805" s="18"/>
      <c r="BF805" s="18"/>
      <c r="BG805" s="18"/>
      <c r="BH805" s="18"/>
      <c r="BI805" s="18"/>
      <c r="BJ805" s="18"/>
      <c r="BK805" s="18"/>
      <c r="BL805" s="18"/>
      <c r="BM805" s="18"/>
      <c r="BN805" s="18"/>
      <c r="BO805" s="18"/>
      <c r="BP805" s="18"/>
      <c r="BQ805" s="18"/>
      <c r="BR805" s="18"/>
      <c r="BS805" s="18"/>
      <c r="BT805" s="18"/>
      <c r="BU805" s="18"/>
      <c r="BV805" s="18"/>
      <c r="BW805" s="18"/>
      <c r="BX805" s="18"/>
      <c r="BY805" s="18"/>
      <c r="BZ805" s="18"/>
      <c r="CA805" s="18"/>
      <c r="CB805" s="18"/>
      <c r="CC805" s="18"/>
      <c r="CD805" s="18"/>
      <c r="CE805" s="18"/>
      <c r="CF805" s="18"/>
      <c r="CG805" s="18"/>
      <c r="CH805" s="18"/>
      <c r="CI805" s="18"/>
      <c r="CJ805" s="18"/>
      <c r="CK805" s="18"/>
      <c r="CL805" s="18"/>
      <c r="CM805" s="18"/>
      <c r="CN805" s="18"/>
      <c r="CO805" s="18"/>
      <c r="CP805" s="18"/>
      <c r="CQ805" s="18"/>
      <c r="CR805" s="18"/>
      <c r="CS805" s="18"/>
      <c r="CT805" s="18"/>
      <c r="CU805" s="18"/>
    </row>
    <row r="806" spans="1:99">
      <c r="A806" s="19"/>
      <c r="B806" s="19"/>
      <c r="C806" s="19"/>
      <c r="D806" s="19"/>
      <c r="E806" s="19"/>
      <c r="F806" s="19"/>
      <c r="G806" s="19"/>
      <c r="H806" s="19"/>
      <c r="I806" s="19"/>
      <c r="J806" s="19"/>
      <c r="K806" s="18"/>
      <c r="L806" s="18"/>
      <c r="M806" s="18"/>
      <c r="N806" s="18"/>
      <c r="O806" s="18"/>
      <c r="P806" s="18"/>
      <c r="Q806" s="18"/>
      <c r="R806" s="18"/>
      <c r="S806" s="18"/>
      <c r="T806" s="18"/>
      <c r="U806" s="18"/>
      <c r="V806" s="18"/>
      <c r="W806" s="18"/>
      <c r="X806" s="18"/>
      <c r="Y806" s="18"/>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c r="BC806" s="18"/>
      <c r="BD806" s="18"/>
      <c r="BE806" s="18"/>
      <c r="BF806" s="18"/>
      <c r="BG806" s="18"/>
      <c r="BH806" s="18"/>
      <c r="BI806" s="18"/>
      <c r="BJ806" s="18"/>
      <c r="BK806" s="18"/>
      <c r="BL806" s="18"/>
      <c r="BM806" s="18"/>
      <c r="BN806" s="18"/>
      <c r="BO806" s="18"/>
      <c r="BP806" s="18"/>
      <c r="BQ806" s="18"/>
      <c r="BR806" s="18"/>
      <c r="BS806" s="18"/>
      <c r="BT806" s="18"/>
      <c r="BU806" s="18"/>
      <c r="BV806" s="18"/>
      <c r="BW806" s="18"/>
      <c r="BX806" s="18"/>
      <c r="BY806" s="18"/>
      <c r="BZ806" s="18"/>
      <c r="CA806" s="18"/>
      <c r="CB806" s="18"/>
      <c r="CC806" s="18"/>
      <c r="CD806" s="18"/>
      <c r="CE806" s="18"/>
      <c r="CF806" s="18"/>
      <c r="CG806" s="18"/>
      <c r="CH806" s="18"/>
      <c r="CI806" s="18"/>
      <c r="CJ806" s="18"/>
      <c r="CK806" s="18"/>
      <c r="CL806" s="18"/>
      <c r="CM806" s="18"/>
      <c r="CN806" s="18"/>
      <c r="CO806" s="18"/>
      <c r="CP806" s="18"/>
      <c r="CQ806" s="18"/>
      <c r="CR806" s="18"/>
      <c r="CS806" s="18"/>
      <c r="CT806" s="18"/>
      <c r="CU806" s="18"/>
    </row>
    <row r="807" spans="1:99">
      <c r="A807" s="19"/>
      <c r="B807" s="19"/>
      <c r="C807" s="19"/>
      <c r="D807" s="19"/>
      <c r="E807" s="19"/>
      <c r="F807" s="19"/>
      <c r="G807" s="19"/>
      <c r="H807" s="19"/>
      <c r="I807" s="19"/>
      <c r="J807" s="19"/>
      <c r="K807" s="18"/>
      <c r="L807" s="18"/>
      <c r="M807" s="18"/>
      <c r="N807" s="18"/>
      <c r="O807" s="18"/>
      <c r="P807" s="18"/>
      <c r="Q807" s="18"/>
      <c r="R807" s="18"/>
      <c r="S807" s="18"/>
      <c r="T807" s="18"/>
      <c r="U807" s="18"/>
      <c r="V807" s="18"/>
      <c r="W807" s="18"/>
      <c r="X807" s="18"/>
      <c r="Y807" s="18"/>
      <c r="Z807" s="18"/>
      <c r="AA807" s="18"/>
      <c r="AB807" s="18"/>
      <c r="AC807" s="18"/>
      <c r="AD807" s="18"/>
      <c r="AE807" s="18"/>
      <c r="AF807" s="18"/>
      <c r="AG807" s="18"/>
      <c r="AH807" s="18"/>
      <c r="AI807" s="18"/>
      <c r="AJ807" s="18"/>
      <c r="AK807" s="18"/>
      <c r="AL807" s="18"/>
      <c r="AM807" s="18"/>
      <c r="AN807" s="18"/>
      <c r="AO807" s="18"/>
      <c r="AP807" s="18"/>
      <c r="AQ807" s="18"/>
      <c r="AR807" s="18"/>
      <c r="AS807" s="18"/>
      <c r="AT807" s="18"/>
      <c r="AU807" s="18"/>
      <c r="AV807" s="18"/>
      <c r="AW807" s="18"/>
      <c r="AX807" s="18"/>
      <c r="AY807" s="18"/>
      <c r="AZ807" s="18"/>
      <c r="BA807" s="18"/>
      <c r="BB807" s="18"/>
      <c r="BC807" s="18"/>
      <c r="BD807" s="18"/>
      <c r="BE807" s="18"/>
      <c r="BF807" s="18"/>
      <c r="BG807" s="18"/>
      <c r="BH807" s="18"/>
      <c r="BI807" s="18"/>
      <c r="BJ807" s="18"/>
      <c r="BK807" s="18"/>
      <c r="BL807" s="18"/>
      <c r="BM807" s="18"/>
      <c r="BN807" s="18"/>
      <c r="BO807" s="18"/>
      <c r="BP807" s="18"/>
      <c r="BQ807" s="18"/>
      <c r="BR807" s="18"/>
      <c r="BS807" s="18"/>
      <c r="BT807" s="18"/>
      <c r="BU807" s="18"/>
      <c r="BV807" s="18"/>
      <c r="BW807" s="18"/>
      <c r="BX807" s="18"/>
      <c r="BY807" s="18"/>
      <c r="BZ807" s="18"/>
      <c r="CA807" s="18"/>
      <c r="CB807" s="18"/>
      <c r="CC807" s="18"/>
      <c r="CD807" s="18"/>
      <c r="CE807" s="18"/>
      <c r="CF807" s="18"/>
      <c r="CG807" s="18"/>
      <c r="CH807" s="18"/>
      <c r="CI807" s="18"/>
      <c r="CJ807" s="18"/>
      <c r="CK807" s="18"/>
      <c r="CL807" s="18"/>
      <c r="CM807" s="18"/>
      <c r="CN807" s="18"/>
      <c r="CO807" s="18"/>
      <c r="CP807" s="18"/>
      <c r="CQ807" s="18"/>
      <c r="CR807" s="18"/>
      <c r="CS807" s="18"/>
      <c r="CT807" s="18"/>
      <c r="CU807" s="18"/>
    </row>
    <row r="808" spans="1:99">
      <c r="A808" s="19"/>
      <c r="B808" s="19"/>
      <c r="C808" s="19"/>
      <c r="D808" s="19"/>
      <c r="E808" s="19"/>
      <c r="F808" s="19"/>
      <c r="G808" s="19"/>
      <c r="H808" s="19"/>
      <c r="I808" s="19"/>
      <c r="J808" s="19"/>
      <c r="K808" s="18"/>
      <c r="L808" s="18"/>
      <c r="M808" s="18"/>
      <c r="N808" s="18"/>
      <c r="O808" s="18"/>
      <c r="P808" s="18"/>
      <c r="Q808" s="18"/>
      <c r="R808" s="18"/>
      <c r="S808" s="18"/>
      <c r="T808" s="18"/>
      <c r="U808" s="18"/>
      <c r="V808" s="18"/>
      <c r="W808" s="18"/>
      <c r="X808" s="18"/>
      <c r="Y808" s="18"/>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c r="BC808" s="18"/>
      <c r="BD808" s="18"/>
      <c r="BE808" s="18"/>
      <c r="BF808" s="18"/>
      <c r="BG808" s="18"/>
      <c r="BH808" s="18"/>
      <c r="BI808" s="18"/>
      <c r="BJ808" s="18"/>
      <c r="BK808" s="18"/>
      <c r="BL808" s="18"/>
      <c r="BM808" s="18"/>
      <c r="BN808" s="18"/>
      <c r="BO808" s="18"/>
      <c r="BP808" s="18"/>
      <c r="BQ808" s="18"/>
      <c r="BR808" s="18"/>
      <c r="BS808" s="18"/>
      <c r="BT808" s="18"/>
      <c r="BU808" s="18"/>
      <c r="BV808" s="18"/>
      <c r="BW808" s="18"/>
      <c r="BX808" s="18"/>
      <c r="BY808" s="18"/>
      <c r="BZ808" s="18"/>
      <c r="CA808" s="18"/>
      <c r="CB808" s="18"/>
      <c r="CC808" s="18"/>
      <c r="CD808" s="18"/>
      <c r="CE808" s="18"/>
      <c r="CF808" s="18"/>
      <c r="CG808" s="18"/>
      <c r="CH808" s="18"/>
      <c r="CI808" s="18"/>
      <c r="CJ808" s="18"/>
      <c r="CK808" s="18"/>
      <c r="CL808" s="18"/>
      <c r="CM808" s="18"/>
      <c r="CN808" s="18"/>
      <c r="CO808" s="18"/>
      <c r="CP808" s="18"/>
      <c r="CQ808" s="18"/>
      <c r="CR808" s="18"/>
      <c r="CS808" s="18"/>
      <c r="CT808" s="18"/>
      <c r="CU808" s="18"/>
    </row>
    <row r="809" spans="1:99">
      <c r="A809" s="19"/>
      <c r="B809" s="19"/>
      <c r="C809" s="19"/>
      <c r="D809" s="19"/>
      <c r="E809" s="19"/>
      <c r="F809" s="19"/>
      <c r="G809" s="19"/>
      <c r="H809" s="19"/>
      <c r="I809" s="19"/>
      <c r="J809" s="19"/>
      <c r="K809" s="18"/>
      <c r="L809" s="18"/>
      <c r="M809" s="18"/>
      <c r="N809" s="18"/>
      <c r="O809" s="18"/>
      <c r="P809" s="18"/>
      <c r="Q809" s="18"/>
      <c r="R809" s="18"/>
      <c r="S809" s="18"/>
      <c r="T809" s="18"/>
      <c r="U809" s="18"/>
      <c r="V809" s="18"/>
      <c r="W809" s="18"/>
      <c r="X809" s="18"/>
      <c r="Y809" s="18"/>
      <c r="Z809" s="18"/>
      <c r="AA809" s="18"/>
      <c r="AB809" s="18"/>
      <c r="AC809" s="18"/>
      <c r="AD809" s="18"/>
      <c r="AE809" s="18"/>
      <c r="AF809" s="18"/>
      <c r="AG809" s="18"/>
      <c r="AH809" s="18"/>
      <c r="AI809" s="18"/>
      <c r="AJ809" s="18"/>
      <c r="AK809" s="18"/>
      <c r="AL809" s="18"/>
      <c r="AM809" s="18"/>
      <c r="AN809" s="18"/>
      <c r="AO809" s="18"/>
      <c r="AP809" s="18"/>
      <c r="AQ809" s="18"/>
      <c r="AR809" s="18"/>
      <c r="AS809" s="18"/>
      <c r="AT809" s="18"/>
      <c r="AU809" s="18"/>
      <c r="AV809" s="18"/>
      <c r="AW809" s="18"/>
      <c r="AX809" s="18"/>
      <c r="AY809" s="18"/>
      <c r="AZ809" s="18"/>
      <c r="BA809" s="18"/>
      <c r="BB809" s="18"/>
      <c r="BC809" s="18"/>
      <c r="BD809" s="18"/>
      <c r="BE809" s="18"/>
      <c r="BF809" s="18"/>
      <c r="BG809" s="18"/>
      <c r="BH809" s="18"/>
      <c r="BI809" s="18"/>
      <c r="BJ809" s="18"/>
      <c r="BK809" s="18"/>
      <c r="BL809" s="18"/>
      <c r="BM809" s="18"/>
      <c r="BN809" s="18"/>
      <c r="BO809" s="18"/>
      <c r="BP809" s="18"/>
      <c r="BQ809" s="18"/>
      <c r="BR809" s="18"/>
      <c r="BS809" s="18"/>
      <c r="BT809" s="18"/>
      <c r="BU809" s="18"/>
      <c r="BV809" s="18"/>
      <c r="BW809" s="18"/>
      <c r="BX809" s="18"/>
      <c r="BY809" s="18"/>
      <c r="BZ809" s="18"/>
      <c r="CA809" s="18"/>
      <c r="CB809" s="18"/>
      <c r="CC809" s="18"/>
      <c r="CD809" s="18"/>
      <c r="CE809" s="18"/>
      <c r="CF809" s="18"/>
      <c r="CG809" s="18"/>
      <c r="CH809" s="18"/>
      <c r="CI809" s="18"/>
      <c r="CJ809" s="18"/>
      <c r="CK809" s="18"/>
      <c r="CL809" s="18"/>
      <c r="CM809" s="18"/>
      <c r="CN809" s="18"/>
      <c r="CO809" s="18"/>
      <c r="CP809" s="18"/>
      <c r="CQ809" s="18"/>
      <c r="CR809" s="18"/>
      <c r="CS809" s="18"/>
      <c r="CT809" s="18"/>
      <c r="CU809" s="18"/>
    </row>
    <row r="810" spans="1:99">
      <c r="A810" s="19"/>
      <c r="B810" s="19"/>
      <c r="C810" s="19"/>
      <c r="D810" s="19"/>
      <c r="E810" s="19"/>
      <c r="F810" s="19"/>
      <c r="G810" s="19"/>
      <c r="H810" s="19"/>
      <c r="I810" s="19"/>
      <c r="J810" s="19"/>
      <c r="K810" s="18"/>
      <c r="L810" s="18"/>
      <c r="M810" s="18"/>
      <c r="N810" s="18"/>
      <c r="O810" s="18"/>
      <c r="P810" s="18"/>
      <c r="Q810" s="18"/>
      <c r="R810" s="18"/>
      <c r="S810" s="18"/>
      <c r="T810" s="18"/>
      <c r="U810" s="18"/>
      <c r="V810" s="18"/>
      <c r="W810" s="18"/>
      <c r="X810" s="18"/>
      <c r="Y810" s="18"/>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c r="BC810" s="18"/>
      <c r="BD810" s="18"/>
      <c r="BE810" s="18"/>
      <c r="BF810" s="18"/>
      <c r="BG810" s="18"/>
      <c r="BH810" s="18"/>
      <c r="BI810" s="18"/>
      <c r="BJ810" s="18"/>
      <c r="BK810" s="18"/>
      <c r="BL810" s="18"/>
      <c r="BM810" s="18"/>
      <c r="BN810" s="18"/>
      <c r="BO810" s="18"/>
      <c r="BP810" s="18"/>
      <c r="BQ810" s="18"/>
      <c r="BR810" s="18"/>
      <c r="BS810" s="18"/>
      <c r="BT810" s="18"/>
      <c r="BU810" s="18"/>
      <c r="BV810" s="18"/>
      <c r="BW810" s="18"/>
      <c r="BX810" s="18"/>
      <c r="BY810" s="18"/>
      <c r="BZ810" s="18"/>
      <c r="CA810" s="18"/>
      <c r="CB810" s="18"/>
      <c r="CC810" s="18"/>
      <c r="CD810" s="18"/>
      <c r="CE810" s="18"/>
      <c r="CF810" s="18"/>
      <c r="CG810" s="18"/>
      <c r="CH810" s="18"/>
      <c r="CI810" s="18"/>
      <c r="CJ810" s="18"/>
      <c r="CK810" s="18"/>
      <c r="CL810" s="18"/>
      <c r="CM810" s="18"/>
      <c r="CN810" s="18"/>
      <c r="CO810" s="18"/>
      <c r="CP810" s="18"/>
      <c r="CQ810" s="18"/>
      <c r="CR810" s="18"/>
      <c r="CS810" s="18"/>
      <c r="CT810" s="18"/>
      <c r="CU810" s="18"/>
    </row>
    <row r="811" spans="1:99">
      <c r="A811" s="19"/>
      <c r="B811" s="19"/>
      <c r="C811" s="19"/>
      <c r="D811" s="19"/>
      <c r="E811" s="19"/>
      <c r="F811" s="19"/>
      <c r="G811" s="19"/>
      <c r="H811" s="19"/>
      <c r="I811" s="19"/>
      <c r="J811" s="19"/>
      <c r="K811" s="18"/>
      <c r="L811" s="18"/>
      <c r="M811" s="18"/>
      <c r="N811" s="18"/>
      <c r="O811" s="18"/>
      <c r="P811" s="18"/>
      <c r="Q811" s="18"/>
      <c r="R811" s="18"/>
      <c r="S811" s="18"/>
      <c r="T811" s="18"/>
      <c r="U811" s="18"/>
      <c r="V811" s="18"/>
      <c r="W811" s="18"/>
      <c r="X811" s="18"/>
      <c r="Y811" s="18"/>
      <c r="Z811" s="18"/>
      <c r="AA811" s="18"/>
      <c r="AB811" s="18"/>
      <c r="AC811" s="18"/>
      <c r="AD811" s="18"/>
      <c r="AE811" s="18"/>
      <c r="AF811" s="18"/>
      <c r="AG811" s="18"/>
      <c r="AH811" s="18"/>
      <c r="AI811" s="18"/>
      <c r="AJ811" s="18"/>
      <c r="AK811" s="18"/>
      <c r="AL811" s="18"/>
      <c r="AM811" s="18"/>
      <c r="AN811" s="18"/>
      <c r="AO811" s="18"/>
      <c r="AP811" s="18"/>
      <c r="AQ811" s="18"/>
      <c r="AR811" s="18"/>
      <c r="AS811" s="18"/>
      <c r="AT811" s="18"/>
      <c r="AU811" s="18"/>
      <c r="AV811" s="18"/>
      <c r="AW811" s="18"/>
      <c r="AX811" s="18"/>
      <c r="AY811" s="18"/>
      <c r="AZ811" s="18"/>
      <c r="BA811" s="18"/>
      <c r="BB811" s="18"/>
      <c r="BC811" s="18"/>
      <c r="BD811" s="18"/>
      <c r="BE811" s="18"/>
      <c r="BF811" s="18"/>
      <c r="BG811" s="18"/>
      <c r="BH811" s="18"/>
      <c r="BI811" s="18"/>
      <c r="BJ811" s="18"/>
      <c r="BK811" s="18"/>
      <c r="BL811" s="18"/>
      <c r="BM811" s="18"/>
      <c r="BN811" s="18"/>
      <c r="BO811" s="18"/>
      <c r="BP811" s="18"/>
      <c r="BQ811" s="18"/>
      <c r="BR811" s="18"/>
      <c r="BS811" s="18"/>
      <c r="BT811" s="18"/>
      <c r="BU811" s="18"/>
      <c r="BV811" s="18"/>
      <c r="BW811" s="18"/>
      <c r="BX811" s="18"/>
      <c r="BY811" s="18"/>
      <c r="BZ811" s="18"/>
      <c r="CA811" s="18"/>
      <c r="CB811" s="18"/>
      <c r="CC811" s="18"/>
      <c r="CD811" s="18"/>
      <c r="CE811" s="18"/>
      <c r="CF811" s="18"/>
      <c r="CG811" s="18"/>
      <c r="CH811" s="18"/>
      <c r="CI811" s="18"/>
      <c r="CJ811" s="18"/>
      <c r="CK811" s="18"/>
      <c r="CL811" s="18"/>
      <c r="CM811" s="18"/>
      <c r="CN811" s="18"/>
      <c r="CO811" s="18"/>
      <c r="CP811" s="18"/>
      <c r="CQ811" s="18"/>
      <c r="CR811" s="18"/>
      <c r="CS811" s="18"/>
      <c r="CT811" s="18"/>
      <c r="CU811" s="18"/>
    </row>
    <row r="812" spans="1:99">
      <c r="A812" s="19"/>
      <c r="B812" s="19"/>
      <c r="C812" s="19"/>
      <c r="D812" s="19"/>
      <c r="E812" s="19"/>
      <c r="F812" s="19"/>
      <c r="G812" s="19"/>
      <c r="H812" s="19"/>
      <c r="I812" s="19"/>
      <c r="J812" s="19"/>
      <c r="K812" s="18"/>
      <c r="L812" s="18"/>
      <c r="M812" s="18"/>
      <c r="N812" s="18"/>
      <c r="O812" s="18"/>
      <c r="P812" s="18"/>
      <c r="Q812" s="18"/>
      <c r="R812" s="18"/>
      <c r="S812" s="18"/>
      <c r="T812" s="18"/>
      <c r="U812" s="18"/>
      <c r="V812" s="18"/>
      <c r="W812" s="18"/>
      <c r="X812" s="18"/>
      <c r="Y812" s="18"/>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c r="BC812" s="18"/>
      <c r="BD812" s="18"/>
      <c r="BE812" s="18"/>
      <c r="BF812" s="18"/>
      <c r="BG812" s="18"/>
      <c r="BH812" s="18"/>
      <c r="BI812" s="18"/>
      <c r="BJ812" s="18"/>
      <c r="BK812" s="18"/>
      <c r="BL812" s="18"/>
      <c r="BM812" s="18"/>
      <c r="BN812" s="18"/>
      <c r="BO812" s="18"/>
      <c r="BP812" s="18"/>
      <c r="BQ812" s="18"/>
      <c r="BR812" s="18"/>
      <c r="BS812" s="18"/>
      <c r="BT812" s="18"/>
      <c r="BU812" s="18"/>
      <c r="BV812" s="18"/>
      <c r="BW812" s="18"/>
      <c r="BX812" s="18"/>
      <c r="BY812" s="18"/>
      <c r="BZ812" s="18"/>
      <c r="CA812" s="18"/>
      <c r="CB812" s="18"/>
      <c r="CC812" s="18"/>
      <c r="CD812" s="18"/>
      <c r="CE812" s="18"/>
      <c r="CF812" s="18"/>
      <c r="CG812" s="18"/>
      <c r="CH812" s="18"/>
      <c r="CI812" s="18"/>
      <c r="CJ812" s="18"/>
      <c r="CK812" s="18"/>
      <c r="CL812" s="18"/>
      <c r="CM812" s="18"/>
      <c r="CN812" s="18"/>
      <c r="CO812" s="18"/>
      <c r="CP812" s="18"/>
      <c r="CQ812" s="18"/>
      <c r="CR812" s="18"/>
      <c r="CS812" s="18"/>
      <c r="CT812" s="18"/>
      <c r="CU812" s="18"/>
    </row>
    <row r="813" spans="1:99">
      <c r="A813" s="19"/>
      <c r="B813" s="19"/>
      <c r="C813" s="19"/>
      <c r="D813" s="19"/>
      <c r="E813" s="19"/>
      <c r="F813" s="19"/>
      <c r="G813" s="19"/>
      <c r="H813" s="19"/>
      <c r="I813" s="19"/>
      <c r="J813" s="19"/>
      <c r="K813" s="18"/>
      <c r="L813" s="18"/>
      <c r="M813" s="18"/>
      <c r="N813" s="18"/>
      <c r="O813" s="18"/>
      <c r="P813" s="18"/>
      <c r="Q813" s="18"/>
      <c r="R813" s="18"/>
      <c r="S813" s="18"/>
      <c r="T813" s="18"/>
      <c r="U813" s="18"/>
      <c r="V813" s="18"/>
      <c r="W813" s="18"/>
      <c r="X813" s="18"/>
      <c r="Y813" s="18"/>
      <c r="Z813" s="18"/>
      <c r="AA813" s="18"/>
      <c r="AB813" s="18"/>
      <c r="AC813" s="18"/>
      <c r="AD813" s="18"/>
      <c r="AE813" s="18"/>
      <c r="AF813" s="18"/>
      <c r="AG813" s="18"/>
      <c r="AH813" s="18"/>
      <c r="AI813" s="18"/>
      <c r="AJ813" s="18"/>
      <c r="AK813" s="18"/>
      <c r="AL813" s="18"/>
      <c r="AM813" s="18"/>
      <c r="AN813" s="18"/>
      <c r="AO813" s="18"/>
      <c r="AP813" s="18"/>
      <c r="AQ813" s="18"/>
      <c r="AR813" s="18"/>
      <c r="AS813" s="18"/>
      <c r="AT813" s="18"/>
      <c r="AU813" s="18"/>
      <c r="AV813" s="18"/>
      <c r="AW813" s="18"/>
      <c r="AX813" s="18"/>
      <c r="AY813" s="18"/>
      <c r="AZ813" s="18"/>
      <c r="BA813" s="18"/>
      <c r="BB813" s="18"/>
      <c r="BC813" s="18"/>
      <c r="BD813" s="18"/>
      <c r="BE813" s="18"/>
      <c r="BF813" s="18"/>
      <c r="BG813" s="18"/>
      <c r="BH813" s="18"/>
      <c r="BI813" s="18"/>
      <c r="BJ813" s="18"/>
      <c r="BK813" s="18"/>
      <c r="BL813" s="18"/>
      <c r="BM813" s="18"/>
      <c r="BN813" s="18"/>
      <c r="BO813" s="18"/>
      <c r="BP813" s="18"/>
      <c r="BQ813" s="18"/>
      <c r="BR813" s="18"/>
      <c r="BS813" s="18"/>
      <c r="BT813" s="18"/>
      <c r="BU813" s="18"/>
      <c r="BV813" s="18"/>
      <c r="BW813" s="18"/>
      <c r="BX813" s="18"/>
      <c r="BY813" s="18"/>
      <c r="BZ813" s="18"/>
      <c r="CA813" s="18"/>
      <c r="CB813" s="18"/>
      <c r="CC813" s="18"/>
      <c r="CD813" s="18"/>
      <c r="CE813" s="18"/>
      <c r="CF813" s="18"/>
      <c r="CG813" s="18"/>
      <c r="CH813" s="18"/>
      <c r="CI813" s="18"/>
      <c r="CJ813" s="18"/>
      <c r="CK813" s="18"/>
      <c r="CL813" s="18"/>
      <c r="CM813" s="18"/>
      <c r="CN813" s="18"/>
      <c r="CO813" s="18"/>
      <c r="CP813" s="18"/>
      <c r="CQ813" s="18"/>
      <c r="CR813" s="18"/>
      <c r="CS813" s="18"/>
      <c r="CT813" s="18"/>
      <c r="CU813" s="18"/>
    </row>
    <row r="814" spans="1:99">
      <c r="A814" s="19"/>
      <c r="B814" s="19"/>
      <c r="C814" s="19"/>
      <c r="D814" s="19"/>
      <c r="E814" s="19"/>
      <c r="F814" s="19"/>
      <c r="G814" s="19"/>
      <c r="H814" s="19"/>
      <c r="I814" s="19"/>
      <c r="J814" s="19"/>
      <c r="K814" s="18"/>
      <c r="L814" s="18"/>
      <c r="M814" s="18"/>
      <c r="N814" s="18"/>
      <c r="O814" s="18"/>
      <c r="P814" s="18"/>
      <c r="Q814" s="18"/>
      <c r="R814" s="18"/>
      <c r="S814" s="18"/>
      <c r="T814" s="18"/>
      <c r="U814" s="18"/>
      <c r="V814" s="18"/>
      <c r="W814" s="18"/>
      <c r="X814" s="18"/>
      <c r="Y814" s="18"/>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c r="BC814" s="18"/>
      <c r="BD814" s="18"/>
      <c r="BE814" s="18"/>
      <c r="BF814" s="18"/>
      <c r="BG814" s="18"/>
      <c r="BH814" s="18"/>
      <c r="BI814" s="18"/>
      <c r="BJ814" s="18"/>
      <c r="BK814" s="18"/>
      <c r="BL814" s="18"/>
      <c r="BM814" s="18"/>
      <c r="BN814" s="18"/>
      <c r="BO814" s="18"/>
      <c r="BP814" s="18"/>
      <c r="BQ814" s="18"/>
      <c r="BR814" s="18"/>
      <c r="BS814" s="18"/>
      <c r="BT814" s="18"/>
      <c r="BU814" s="18"/>
      <c r="BV814" s="18"/>
      <c r="BW814" s="18"/>
      <c r="BX814" s="18"/>
      <c r="BY814" s="18"/>
      <c r="BZ814" s="18"/>
      <c r="CA814" s="18"/>
      <c r="CB814" s="18"/>
      <c r="CC814" s="18"/>
      <c r="CD814" s="18"/>
      <c r="CE814" s="18"/>
      <c r="CF814" s="18"/>
      <c r="CG814" s="18"/>
      <c r="CH814" s="18"/>
      <c r="CI814" s="18"/>
      <c r="CJ814" s="18"/>
      <c r="CK814" s="18"/>
      <c r="CL814" s="18"/>
      <c r="CM814" s="18"/>
      <c r="CN814" s="18"/>
      <c r="CO814" s="18"/>
      <c r="CP814" s="18"/>
      <c r="CQ814" s="18"/>
      <c r="CR814" s="18"/>
      <c r="CS814" s="18"/>
      <c r="CT814" s="18"/>
      <c r="CU814" s="18"/>
    </row>
    <row r="815" spans="1:99">
      <c r="A815" s="19"/>
      <c r="B815" s="19"/>
      <c r="C815" s="19"/>
      <c r="D815" s="19"/>
      <c r="E815" s="19"/>
      <c r="F815" s="19"/>
      <c r="G815" s="19"/>
      <c r="H815" s="19"/>
      <c r="I815" s="19"/>
      <c r="J815" s="19"/>
      <c r="K815" s="18"/>
      <c r="L815" s="18"/>
      <c r="M815" s="18"/>
      <c r="N815" s="18"/>
      <c r="O815" s="18"/>
      <c r="P815" s="18"/>
      <c r="Q815" s="18"/>
      <c r="R815" s="18"/>
      <c r="S815" s="18"/>
      <c r="T815" s="18"/>
      <c r="U815" s="18"/>
      <c r="V815" s="18"/>
      <c r="W815" s="18"/>
      <c r="X815" s="18"/>
      <c r="Y815" s="18"/>
      <c r="Z815" s="18"/>
      <c r="AA815" s="18"/>
      <c r="AB815" s="18"/>
      <c r="AC815" s="18"/>
      <c r="AD815" s="18"/>
      <c r="AE815" s="18"/>
      <c r="AF815" s="18"/>
      <c r="AG815" s="18"/>
      <c r="AH815" s="18"/>
      <c r="AI815" s="18"/>
      <c r="AJ815" s="18"/>
      <c r="AK815" s="18"/>
      <c r="AL815" s="18"/>
      <c r="AM815" s="18"/>
      <c r="AN815" s="18"/>
      <c r="AO815" s="18"/>
      <c r="AP815" s="18"/>
      <c r="AQ815" s="18"/>
      <c r="AR815" s="18"/>
      <c r="AS815" s="18"/>
      <c r="AT815" s="18"/>
      <c r="AU815" s="18"/>
      <c r="AV815" s="18"/>
      <c r="AW815" s="18"/>
      <c r="AX815" s="18"/>
      <c r="AY815" s="18"/>
      <c r="AZ815" s="18"/>
      <c r="BA815" s="18"/>
      <c r="BB815" s="18"/>
      <c r="BC815" s="18"/>
      <c r="BD815" s="18"/>
      <c r="BE815" s="18"/>
      <c r="BF815" s="18"/>
      <c r="BG815" s="18"/>
      <c r="BH815" s="18"/>
      <c r="BI815" s="18"/>
      <c r="BJ815" s="18"/>
      <c r="BK815" s="18"/>
      <c r="BL815" s="18"/>
      <c r="BM815" s="18"/>
      <c r="BN815" s="18"/>
      <c r="BO815" s="18"/>
      <c r="BP815" s="18"/>
      <c r="BQ815" s="18"/>
      <c r="BR815" s="18"/>
      <c r="BS815" s="18"/>
      <c r="BT815" s="18"/>
      <c r="BU815" s="18"/>
      <c r="BV815" s="18"/>
      <c r="BW815" s="18"/>
      <c r="BX815" s="18"/>
      <c r="BY815" s="18"/>
      <c r="BZ815" s="18"/>
      <c r="CA815" s="18"/>
      <c r="CB815" s="18"/>
      <c r="CC815" s="18"/>
      <c r="CD815" s="18"/>
      <c r="CE815" s="18"/>
      <c r="CF815" s="18"/>
      <c r="CG815" s="18"/>
      <c r="CH815" s="18"/>
      <c r="CI815" s="18"/>
      <c r="CJ815" s="18"/>
      <c r="CK815" s="18"/>
      <c r="CL815" s="18"/>
      <c r="CM815" s="18"/>
      <c r="CN815" s="18"/>
      <c r="CO815" s="18"/>
      <c r="CP815" s="18"/>
      <c r="CQ815" s="18"/>
      <c r="CR815" s="18"/>
      <c r="CS815" s="18"/>
      <c r="CT815" s="18"/>
      <c r="CU815" s="18"/>
    </row>
    <row r="816" spans="1:99">
      <c r="A816" s="19"/>
      <c r="B816" s="19"/>
      <c r="C816" s="19"/>
      <c r="D816" s="19"/>
      <c r="E816" s="19"/>
      <c r="F816" s="19"/>
      <c r="G816" s="19"/>
      <c r="H816" s="19"/>
      <c r="I816" s="19"/>
      <c r="J816" s="19"/>
      <c r="K816" s="18"/>
      <c r="L816" s="18"/>
      <c r="M816" s="18"/>
      <c r="N816" s="18"/>
      <c r="O816" s="18"/>
      <c r="P816" s="18"/>
      <c r="Q816" s="18"/>
      <c r="R816" s="18"/>
      <c r="S816" s="18"/>
      <c r="T816" s="18"/>
      <c r="U816" s="18"/>
      <c r="V816" s="18"/>
      <c r="W816" s="18"/>
      <c r="X816" s="18"/>
      <c r="Y816" s="18"/>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c r="BC816" s="18"/>
      <c r="BD816" s="18"/>
      <c r="BE816" s="18"/>
      <c r="BF816" s="18"/>
      <c r="BG816" s="18"/>
      <c r="BH816" s="18"/>
      <c r="BI816" s="18"/>
      <c r="BJ816" s="18"/>
      <c r="BK816" s="18"/>
      <c r="BL816" s="18"/>
      <c r="BM816" s="18"/>
      <c r="BN816" s="18"/>
      <c r="BO816" s="18"/>
      <c r="BP816" s="18"/>
      <c r="BQ816" s="18"/>
      <c r="BR816" s="18"/>
      <c r="BS816" s="18"/>
      <c r="BT816" s="18"/>
      <c r="BU816" s="18"/>
      <c r="BV816" s="18"/>
      <c r="BW816" s="18"/>
      <c r="BX816" s="18"/>
      <c r="BY816" s="18"/>
      <c r="BZ816" s="18"/>
      <c r="CA816" s="18"/>
      <c r="CB816" s="18"/>
      <c r="CC816" s="18"/>
      <c r="CD816" s="18"/>
      <c r="CE816" s="18"/>
      <c r="CF816" s="18"/>
      <c r="CG816" s="18"/>
      <c r="CH816" s="18"/>
      <c r="CI816" s="18"/>
      <c r="CJ816" s="18"/>
      <c r="CK816" s="18"/>
      <c r="CL816" s="18"/>
      <c r="CM816" s="18"/>
      <c r="CN816" s="18"/>
      <c r="CO816" s="18"/>
      <c r="CP816" s="18"/>
      <c r="CQ816" s="18"/>
      <c r="CR816" s="18"/>
      <c r="CS816" s="18"/>
      <c r="CT816" s="18"/>
      <c r="CU816" s="18"/>
    </row>
    <row r="817" spans="1:99">
      <c r="A817" s="19"/>
      <c r="B817" s="19"/>
      <c r="C817" s="19"/>
      <c r="D817" s="19"/>
      <c r="E817" s="19"/>
      <c r="F817" s="19"/>
      <c r="G817" s="19"/>
      <c r="H817" s="19"/>
      <c r="I817" s="19"/>
      <c r="J817" s="19"/>
      <c r="K817" s="18"/>
      <c r="L817" s="18"/>
      <c r="M817" s="18"/>
      <c r="N817" s="18"/>
      <c r="O817" s="18"/>
      <c r="P817" s="18"/>
      <c r="Q817" s="18"/>
      <c r="R817" s="18"/>
      <c r="S817" s="18"/>
      <c r="T817" s="18"/>
      <c r="U817" s="18"/>
      <c r="V817" s="18"/>
      <c r="W817" s="18"/>
      <c r="X817" s="18"/>
      <c r="Y817" s="18"/>
      <c r="Z817" s="18"/>
      <c r="AA817" s="18"/>
      <c r="AB817" s="18"/>
      <c r="AC817" s="18"/>
      <c r="AD817" s="18"/>
      <c r="AE817" s="18"/>
      <c r="AF817" s="18"/>
      <c r="AG817" s="18"/>
      <c r="AH817" s="18"/>
      <c r="AI817" s="18"/>
      <c r="AJ817" s="18"/>
      <c r="AK817" s="18"/>
      <c r="AL817" s="18"/>
      <c r="AM817" s="18"/>
      <c r="AN817" s="18"/>
      <c r="AO817" s="18"/>
      <c r="AP817" s="18"/>
      <c r="AQ817" s="18"/>
      <c r="AR817" s="18"/>
      <c r="AS817" s="18"/>
      <c r="AT817" s="18"/>
      <c r="AU817" s="18"/>
      <c r="AV817" s="18"/>
      <c r="AW817" s="18"/>
      <c r="AX817" s="18"/>
      <c r="AY817" s="18"/>
      <c r="AZ817" s="18"/>
      <c r="BA817" s="18"/>
      <c r="BB817" s="18"/>
      <c r="BC817" s="18"/>
      <c r="BD817" s="18"/>
      <c r="BE817" s="18"/>
      <c r="BF817" s="18"/>
      <c r="BG817" s="18"/>
      <c r="BH817" s="18"/>
      <c r="BI817" s="18"/>
      <c r="BJ817" s="18"/>
      <c r="BK817" s="18"/>
      <c r="BL817" s="18"/>
      <c r="BM817" s="18"/>
      <c r="BN817" s="18"/>
      <c r="BO817" s="18"/>
      <c r="BP817" s="18"/>
      <c r="BQ817" s="18"/>
      <c r="BR817" s="18"/>
      <c r="BS817" s="18"/>
      <c r="BT817" s="18"/>
      <c r="BU817" s="18"/>
      <c r="BV817" s="18"/>
      <c r="BW817" s="18"/>
      <c r="BX817" s="18"/>
      <c r="BY817" s="18"/>
      <c r="BZ817" s="18"/>
      <c r="CA817" s="18"/>
      <c r="CB817" s="18"/>
      <c r="CC817" s="18"/>
      <c r="CD817" s="18"/>
      <c r="CE817" s="18"/>
      <c r="CF817" s="18"/>
      <c r="CG817" s="18"/>
      <c r="CH817" s="18"/>
      <c r="CI817" s="18"/>
      <c r="CJ817" s="18"/>
      <c r="CK817" s="18"/>
      <c r="CL817" s="18"/>
      <c r="CM817" s="18"/>
      <c r="CN817" s="18"/>
      <c r="CO817" s="18"/>
      <c r="CP817" s="18"/>
      <c r="CQ817" s="18"/>
      <c r="CR817" s="18"/>
      <c r="CS817" s="18"/>
      <c r="CT817" s="18"/>
      <c r="CU817" s="18"/>
    </row>
    <row r="818" spans="1:99">
      <c r="A818" s="19"/>
      <c r="B818" s="19"/>
      <c r="C818" s="19"/>
      <c r="D818" s="19"/>
      <c r="E818" s="19"/>
      <c r="F818" s="19"/>
      <c r="G818" s="19"/>
      <c r="H818" s="19"/>
      <c r="I818" s="19"/>
      <c r="J818" s="19"/>
      <c r="K818" s="18"/>
      <c r="L818" s="18"/>
      <c r="M818" s="18"/>
      <c r="N818" s="18"/>
      <c r="O818" s="18"/>
      <c r="P818" s="18"/>
      <c r="Q818" s="18"/>
      <c r="R818" s="18"/>
      <c r="S818" s="18"/>
      <c r="T818" s="18"/>
      <c r="U818" s="18"/>
      <c r="V818" s="18"/>
      <c r="W818" s="18"/>
      <c r="X818" s="18"/>
      <c r="Y818" s="18"/>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c r="BC818" s="18"/>
      <c r="BD818" s="18"/>
      <c r="BE818" s="18"/>
      <c r="BF818" s="18"/>
      <c r="BG818" s="18"/>
      <c r="BH818" s="18"/>
      <c r="BI818" s="18"/>
      <c r="BJ818" s="18"/>
      <c r="BK818" s="18"/>
      <c r="BL818" s="18"/>
      <c r="BM818" s="18"/>
      <c r="BN818" s="18"/>
      <c r="BO818" s="18"/>
      <c r="BP818" s="18"/>
      <c r="BQ818" s="18"/>
      <c r="BR818" s="18"/>
      <c r="BS818" s="18"/>
      <c r="BT818" s="18"/>
      <c r="BU818" s="18"/>
      <c r="BV818" s="18"/>
      <c r="BW818" s="18"/>
      <c r="BX818" s="18"/>
      <c r="BY818" s="18"/>
      <c r="BZ818" s="18"/>
      <c r="CA818" s="18"/>
      <c r="CB818" s="18"/>
      <c r="CC818" s="18"/>
      <c r="CD818" s="18"/>
      <c r="CE818" s="18"/>
      <c r="CF818" s="18"/>
      <c r="CG818" s="18"/>
      <c r="CH818" s="18"/>
      <c r="CI818" s="18"/>
      <c r="CJ818" s="18"/>
      <c r="CK818" s="18"/>
      <c r="CL818" s="18"/>
      <c r="CM818" s="18"/>
      <c r="CN818" s="18"/>
      <c r="CO818" s="18"/>
      <c r="CP818" s="18"/>
      <c r="CQ818" s="18"/>
      <c r="CR818" s="18"/>
      <c r="CS818" s="18"/>
      <c r="CT818" s="18"/>
      <c r="CU818" s="18"/>
    </row>
    <row r="819" spans="1:99">
      <c r="A819" s="19"/>
      <c r="B819" s="19"/>
      <c r="C819" s="19"/>
      <c r="D819" s="19"/>
      <c r="E819" s="19"/>
      <c r="F819" s="19"/>
      <c r="G819" s="19"/>
      <c r="H819" s="19"/>
      <c r="I819" s="19"/>
      <c r="J819" s="19"/>
      <c r="K819" s="18"/>
      <c r="L819" s="18"/>
      <c r="M819" s="18"/>
      <c r="N819" s="18"/>
      <c r="O819" s="18"/>
      <c r="P819" s="18"/>
      <c r="Q819" s="18"/>
      <c r="R819" s="18"/>
      <c r="S819" s="18"/>
      <c r="T819" s="18"/>
      <c r="U819" s="18"/>
      <c r="V819" s="18"/>
      <c r="W819" s="18"/>
      <c r="X819" s="18"/>
      <c r="Y819" s="18"/>
      <c r="Z819" s="18"/>
      <c r="AA819" s="18"/>
      <c r="AB819" s="18"/>
      <c r="AC819" s="18"/>
      <c r="AD819" s="18"/>
      <c r="AE819" s="18"/>
      <c r="AF819" s="18"/>
      <c r="AG819" s="18"/>
      <c r="AH819" s="18"/>
      <c r="AI819" s="18"/>
      <c r="AJ819" s="18"/>
      <c r="AK819" s="18"/>
      <c r="AL819" s="18"/>
      <c r="AM819" s="18"/>
      <c r="AN819" s="18"/>
      <c r="AO819" s="18"/>
      <c r="AP819" s="18"/>
      <c r="AQ819" s="18"/>
      <c r="AR819" s="18"/>
      <c r="AS819" s="18"/>
      <c r="AT819" s="18"/>
      <c r="AU819" s="18"/>
      <c r="AV819" s="18"/>
      <c r="AW819" s="18"/>
      <c r="AX819" s="18"/>
      <c r="AY819" s="18"/>
      <c r="AZ819" s="18"/>
      <c r="BA819" s="18"/>
      <c r="BB819" s="18"/>
      <c r="BC819" s="18"/>
      <c r="BD819" s="18"/>
      <c r="BE819" s="18"/>
      <c r="BF819" s="18"/>
      <c r="BG819" s="18"/>
      <c r="BH819" s="18"/>
      <c r="BI819" s="18"/>
      <c r="BJ819" s="18"/>
      <c r="BK819" s="18"/>
      <c r="BL819" s="18"/>
      <c r="BM819" s="18"/>
      <c r="BN819" s="18"/>
      <c r="BO819" s="18"/>
      <c r="BP819" s="18"/>
      <c r="BQ819" s="18"/>
      <c r="BR819" s="18"/>
      <c r="BS819" s="18"/>
      <c r="BT819" s="18"/>
      <c r="BU819" s="18"/>
      <c r="BV819" s="18"/>
      <c r="BW819" s="18"/>
      <c r="BX819" s="18"/>
      <c r="BY819" s="18"/>
      <c r="BZ819" s="18"/>
      <c r="CA819" s="18"/>
      <c r="CB819" s="18"/>
      <c r="CC819" s="18"/>
      <c r="CD819" s="18"/>
      <c r="CE819" s="18"/>
      <c r="CF819" s="18"/>
      <c r="CG819" s="18"/>
      <c r="CH819" s="18"/>
      <c r="CI819" s="18"/>
      <c r="CJ819" s="18"/>
      <c r="CK819" s="18"/>
      <c r="CL819" s="18"/>
      <c r="CM819" s="18"/>
      <c r="CN819" s="18"/>
      <c r="CO819" s="18"/>
      <c r="CP819" s="18"/>
      <c r="CQ819" s="18"/>
      <c r="CR819" s="18"/>
      <c r="CS819" s="18"/>
      <c r="CT819" s="18"/>
      <c r="CU819" s="18"/>
    </row>
    <row r="820" spans="1:99">
      <c r="A820" s="19"/>
      <c r="B820" s="19"/>
      <c r="C820" s="19"/>
      <c r="D820" s="19"/>
      <c r="E820" s="19"/>
      <c r="F820" s="19"/>
      <c r="G820" s="19"/>
      <c r="H820" s="19"/>
      <c r="I820" s="19"/>
      <c r="J820" s="19"/>
      <c r="K820" s="18"/>
      <c r="L820" s="18"/>
      <c r="M820" s="18"/>
      <c r="N820" s="18"/>
      <c r="O820" s="18"/>
      <c r="P820" s="18"/>
      <c r="Q820" s="18"/>
      <c r="R820" s="18"/>
      <c r="S820" s="18"/>
      <c r="T820" s="18"/>
      <c r="U820" s="18"/>
      <c r="V820" s="18"/>
      <c r="W820" s="18"/>
      <c r="X820" s="18"/>
      <c r="Y820" s="18"/>
      <c r="Z820" s="18"/>
      <c r="AA820" s="18"/>
      <c r="AB820" s="18"/>
      <c r="AC820" s="18"/>
      <c r="AD820" s="18"/>
      <c r="AE820" s="18"/>
      <c r="AF820" s="18"/>
      <c r="AG820" s="18"/>
      <c r="AH820" s="18"/>
      <c r="AI820" s="18"/>
      <c r="AJ820" s="18"/>
      <c r="AK820" s="18"/>
      <c r="AL820" s="18"/>
      <c r="AM820" s="18"/>
      <c r="AN820" s="18"/>
      <c r="AO820" s="18"/>
      <c r="AP820" s="18"/>
      <c r="AQ820" s="18"/>
      <c r="AR820" s="18"/>
      <c r="AS820" s="18"/>
      <c r="AT820" s="18"/>
      <c r="AU820" s="18"/>
      <c r="AV820" s="18"/>
      <c r="AW820" s="18"/>
      <c r="AX820" s="18"/>
      <c r="AY820" s="18"/>
      <c r="AZ820" s="18"/>
      <c r="BA820" s="18"/>
      <c r="BB820" s="18"/>
      <c r="BC820" s="18"/>
      <c r="BD820" s="18"/>
      <c r="BE820" s="18"/>
      <c r="BF820" s="18"/>
      <c r="BG820" s="18"/>
      <c r="BH820" s="18"/>
      <c r="BI820" s="18"/>
      <c r="BJ820" s="18"/>
      <c r="BK820" s="18"/>
      <c r="BL820" s="18"/>
      <c r="BM820" s="18"/>
      <c r="BN820" s="18"/>
      <c r="BO820" s="18"/>
      <c r="BP820" s="18"/>
      <c r="BQ820" s="18"/>
      <c r="BR820" s="18"/>
      <c r="BS820" s="18"/>
      <c r="BT820" s="18"/>
      <c r="BU820" s="18"/>
      <c r="BV820" s="18"/>
      <c r="BW820" s="18"/>
      <c r="BX820" s="18"/>
      <c r="BY820" s="18"/>
      <c r="BZ820" s="18"/>
      <c r="CA820" s="18"/>
      <c r="CB820" s="18"/>
      <c r="CC820" s="18"/>
      <c r="CD820" s="18"/>
      <c r="CE820" s="18"/>
      <c r="CF820" s="18"/>
      <c r="CG820" s="18"/>
      <c r="CH820" s="18"/>
      <c r="CI820" s="18"/>
      <c r="CJ820" s="18"/>
      <c r="CK820" s="18"/>
      <c r="CL820" s="18"/>
      <c r="CM820" s="18"/>
      <c r="CN820" s="18"/>
      <c r="CO820" s="18"/>
      <c r="CP820" s="18"/>
      <c r="CQ820" s="18"/>
      <c r="CR820" s="18"/>
      <c r="CS820" s="18"/>
      <c r="CT820" s="18"/>
      <c r="CU820" s="18"/>
    </row>
    <row r="821" spans="1:99">
      <c r="A821" s="19"/>
      <c r="B821" s="19"/>
      <c r="C821" s="19"/>
      <c r="D821" s="19"/>
      <c r="E821" s="19"/>
      <c r="F821" s="19"/>
      <c r="G821" s="19"/>
      <c r="H821" s="19"/>
      <c r="I821" s="19"/>
      <c r="J821" s="19"/>
      <c r="K821" s="18"/>
      <c r="L821" s="18"/>
      <c r="M821" s="18"/>
      <c r="N821" s="18"/>
      <c r="O821" s="18"/>
      <c r="P821" s="18"/>
      <c r="Q821" s="18"/>
      <c r="R821" s="18"/>
      <c r="S821" s="18"/>
      <c r="T821" s="18"/>
      <c r="U821" s="18"/>
      <c r="V821" s="18"/>
      <c r="W821" s="18"/>
      <c r="X821" s="18"/>
      <c r="Y821" s="18"/>
      <c r="Z821" s="18"/>
      <c r="AA821" s="18"/>
      <c r="AB821" s="18"/>
      <c r="AC821" s="18"/>
      <c r="AD821" s="18"/>
      <c r="AE821" s="18"/>
      <c r="AF821" s="18"/>
      <c r="AG821" s="18"/>
      <c r="AH821" s="18"/>
      <c r="AI821" s="18"/>
      <c r="AJ821" s="18"/>
      <c r="AK821" s="18"/>
      <c r="AL821" s="18"/>
      <c r="AM821" s="18"/>
      <c r="AN821" s="18"/>
      <c r="AO821" s="18"/>
      <c r="AP821" s="18"/>
      <c r="AQ821" s="18"/>
      <c r="AR821" s="18"/>
      <c r="AS821" s="18"/>
      <c r="AT821" s="18"/>
      <c r="AU821" s="18"/>
      <c r="AV821" s="18"/>
      <c r="AW821" s="18"/>
      <c r="AX821" s="18"/>
      <c r="AY821" s="18"/>
      <c r="AZ821" s="18"/>
      <c r="BA821" s="18"/>
      <c r="BB821" s="18"/>
      <c r="BC821" s="18"/>
      <c r="BD821" s="18"/>
      <c r="BE821" s="18"/>
      <c r="BF821" s="18"/>
      <c r="BG821" s="18"/>
      <c r="BH821" s="18"/>
      <c r="BI821" s="18"/>
      <c r="BJ821" s="18"/>
      <c r="BK821" s="18"/>
      <c r="BL821" s="18"/>
      <c r="BM821" s="18"/>
      <c r="BN821" s="18"/>
      <c r="BO821" s="18"/>
      <c r="BP821" s="18"/>
      <c r="BQ821" s="18"/>
      <c r="BR821" s="18"/>
      <c r="BS821" s="18"/>
      <c r="BT821" s="18"/>
      <c r="BU821" s="18"/>
      <c r="BV821" s="18"/>
      <c r="BW821" s="18"/>
      <c r="BX821" s="18"/>
      <c r="BY821" s="18"/>
      <c r="BZ821" s="18"/>
      <c r="CA821" s="18"/>
      <c r="CB821" s="18"/>
      <c r="CC821" s="18"/>
      <c r="CD821" s="18"/>
      <c r="CE821" s="18"/>
      <c r="CF821" s="18"/>
      <c r="CG821" s="18"/>
      <c r="CH821" s="18"/>
      <c r="CI821" s="18"/>
      <c r="CJ821" s="18"/>
      <c r="CK821" s="18"/>
      <c r="CL821" s="18"/>
      <c r="CM821" s="18"/>
      <c r="CN821" s="18"/>
      <c r="CO821" s="18"/>
      <c r="CP821" s="18"/>
      <c r="CQ821" s="18"/>
      <c r="CR821" s="18"/>
      <c r="CS821" s="18"/>
      <c r="CT821" s="18"/>
      <c r="CU821" s="18"/>
    </row>
    <row r="822" spans="1:99">
      <c r="A822" s="19"/>
      <c r="B822" s="19"/>
      <c r="C822" s="19"/>
      <c r="D822" s="19"/>
      <c r="E822" s="19"/>
      <c r="F822" s="19"/>
      <c r="G822" s="19"/>
      <c r="H822" s="19"/>
      <c r="I822" s="19"/>
      <c r="J822" s="19"/>
      <c r="K822" s="18"/>
      <c r="L822" s="18"/>
      <c r="M822" s="18"/>
      <c r="N822" s="18"/>
      <c r="O822" s="18"/>
      <c r="P822" s="18"/>
      <c r="Q822" s="18"/>
      <c r="R822" s="18"/>
      <c r="S822" s="18"/>
      <c r="T822" s="18"/>
      <c r="U822" s="18"/>
      <c r="V822" s="18"/>
      <c r="W822" s="18"/>
      <c r="X822" s="18"/>
      <c r="Y822" s="18"/>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c r="BC822" s="18"/>
      <c r="BD822" s="18"/>
      <c r="BE822" s="18"/>
      <c r="BF822" s="18"/>
      <c r="BG822" s="18"/>
      <c r="BH822" s="18"/>
      <c r="BI822" s="18"/>
      <c r="BJ822" s="18"/>
      <c r="BK822" s="18"/>
      <c r="BL822" s="18"/>
      <c r="BM822" s="18"/>
      <c r="BN822" s="18"/>
      <c r="BO822" s="18"/>
      <c r="BP822" s="18"/>
      <c r="BQ822" s="18"/>
      <c r="BR822" s="18"/>
      <c r="BS822" s="18"/>
      <c r="BT822" s="18"/>
      <c r="BU822" s="18"/>
      <c r="BV822" s="18"/>
      <c r="BW822" s="18"/>
      <c r="BX822" s="18"/>
      <c r="BY822" s="18"/>
      <c r="BZ822" s="18"/>
      <c r="CA822" s="18"/>
      <c r="CB822" s="18"/>
      <c r="CC822" s="18"/>
      <c r="CD822" s="18"/>
      <c r="CE822" s="18"/>
      <c r="CF822" s="18"/>
      <c r="CG822" s="18"/>
      <c r="CH822" s="18"/>
      <c r="CI822" s="18"/>
      <c r="CJ822" s="18"/>
      <c r="CK822" s="18"/>
      <c r="CL822" s="18"/>
      <c r="CM822" s="18"/>
      <c r="CN822" s="18"/>
      <c r="CO822" s="18"/>
      <c r="CP822" s="18"/>
      <c r="CQ822" s="18"/>
      <c r="CR822" s="18"/>
      <c r="CS822" s="18"/>
      <c r="CT822" s="18"/>
      <c r="CU822" s="18"/>
    </row>
    <row r="823" spans="1:99">
      <c r="A823" s="19"/>
      <c r="B823" s="19"/>
      <c r="C823" s="19"/>
      <c r="D823" s="19"/>
      <c r="E823" s="19"/>
      <c r="F823" s="19"/>
      <c r="G823" s="19"/>
      <c r="H823" s="19"/>
      <c r="I823" s="19"/>
      <c r="J823" s="19"/>
      <c r="K823" s="18"/>
      <c r="L823" s="18"/>
      <c r="M823" s="18"/>
      <c r="N823" s="18"/>
      <c r="O823" s="18"/>
      <c r="P823" s="18"/>
      <c r="Q823" s="18"/>
      <c r="R823" s="18"/>
      <c r="S823" s="18"/>
      <c r="T823" s="18"/>
      <c r="U823" s="18"/>
      <c r="V823" s="18"/>
      <c r="W823" s="18"/>
      <c r="X823" s="18"/>
      <c r="Y823" s="18"/>
      <c r="Z823" s="18"/>
      <c r="AA823" s="18"/>
      <c r="AB823" s="18"/>
      <c r="AC823" s="18"/>
      <c r="AD823" s="18"/>
      <c r="AE823" s="18"/>
      <c r="AF823" s="18"/>
      <c r="AG823" s="18"/>
      <c r="AH823" s="18"/>
      <c r="AI823" s="18"/>
      <c r="AJ823" s="18"/>
      <c r="AK823" s="18"/>
      <c r="AL823" s="18"/>
      <c r="AM823" s="18"/>
      <c r="AN823" s="18"/>
      <c r="AO823" s="18"/>
      <c r="AP823" s="18"/>
      <c r="AQ823" s="18"/>
      <c r="AR823" s="18"/>
      <c r="AS823" s="18"/>
      <c r="AT823" s="18"/>
      <c r="AU823" s="18"/>
      <c r="AV823" s="18"/>
      <c r="AW823" s="18"/>
      <c r="AX823" s="18"/>
      <c r="AY823" s="18"/>
      <c r="AZ823" s="18"/>
      <c r="BA823" s="18"/>
      <c r="BB823" s="18"/>
      <c r="BC823" s="18"/>
      <c r="BD823" s="18"/>
      <c r="BE823" s="18"/>
      <c r="BF823" s="18"/>
      <c r="BG823" s="18"/>
      <c r="BH823" s="18"/>
      <c r="BI823" s="18"/>
      <c r="BJ823" s="18"/>
      <c r="BK823" s="18"/>
      <c r="BL823" s="18"/>
      <c r="BM823" s="18"/>
      <c r="BN823" s="18"/>
      <c r="BO823" s="18"/>
      <c r="BP823" s="18"/>
      <c r="BQ823" s="18"/>
      <c r="BR823" s="18"/>
      <c r="BS823" s="18"/>
      <c r="BT823" s="18"/>
      <c r="BU823" s="18"/>
      <c r="BV823" s="18"/>
      <c r="BW823" s="18"/>
      <c r="BX823" s="18"/>
      <c r="BY823" s="18"/>
      <c r="BZ823" s="18"/>
      <c r="CA823" s="18"/>
      <c r="CB823" s="18"/>
      <c r="CC823" s="18"/>
      <c r="CD823" s="18"/>
      <c r="CE823" s="18"/>
      <c r="CF823" s="18"/>
      <c r="CG823" s="18"/>
      <c r="CH823" s="18"/>
      <c r="CI823" s="18"/>
      <c r="CJ823" s="18"/>
      <c r="CK823" s="18"/>
      <c r="CL823" s="18"/>
      <c r="CM823" s="18"/>
      <c r="CN823" s="18"/>
      <c r="CO823" s="18"/>
      <c r="CP823" s="18"/>
      <c r="CQ823" s="18"/>
      <c r="CR823" s="18"/>
      <c r="CS823" s="18"/>
      <c r="CT823" s="18"/>
      <c r="CU823" s="18"/>
    </row>
    <row r="824" spans="1:99">
      <c r="A824" s="19"/>
      <c r="B824" s="19"/>
      <c r="C824" s="19"/>
      <c r="D824" s="19"/>
      <c r="E824" s="19"/>
      <c r="F824" s="19"/>
      <c r="G824" s="19"/>
      <c r="H824" s="19"/>
      <c r="I824" s="19"/>
      <c r="J824" s="19"/>
      <c r="K824" s="18"/>
      <c r="L824" s="18"/>
      <c r="M824" s="18"/>
      <c r="N824" s="18"/>
      <c r="O824" s="18"/>
      <c r="P824" s="18"/>
      <c r="Q824" s="18"/>
      <c r="R824" s="18"/>
      <c r="S824" s="18"/>
      <c r="T824" s="18"/>
      <c r="U824" s="18"/>
      <c r="V824" s="18"/>
      <c r="W824" s="18"/>
      <c r="X824" s="18"/>
      <c r="Y824" s="18"/>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c r="BC824" s="18"/>
      <c r="BD824" s="18"/>
      <c r="BE824" s="18"/>
      <c r="BF824" s="18"/>
      <c r="BG824" s="18"/>
      <c r="BH824" s="18"/>
      <c r="BI824" s="18"/>
      <c r="BJ824" s="18"/>
      <c r="BK824" s="18"/>
      <c r="BL824" s="18"/>
      <c r="BM824" s="18"/>
      <c r="BN824" s="18"/>
      <c r="BO824" s="18"/>
      <c r="BP824" s="18"/>
      <c r="BQ824" s="18"/>
      <c r="BR824" s="18"/>
      <c r="BS824" s="18"/>
      <c r="BT824" s="18"/>
      <c r="BU824" s="18"/>
      <c r="BV824" s="18"/>
      <c r="BW824" s="18"/>
      <c r="BX824" s="18"/>
      <c r="BY824" s="18"/>
      <c r="BZ824" s="18"/>
      <c r="CA824" s="18"/>
      <c r="CB824" s="18"/>
      <c r="CC824" s="18"/>
      <c r="CD824" s="18"/>
      <c r="CE824" s="18"/>
      <c r="CF824" s="18"/>
      <c r="CG824" s="18"/>
      <c r="CH824" s="18"/>
      <c r="CI824" s="18"/>
      <c r="CJ824" s="18"/>
      <c r="CK824" s="18"/>
      <c r="CL824" s="18"/>
      <c r="CM824" s="18"/>
      <c r="CN824" s="18"/>
      <c r="CO824" s="18"/>
      <c r="CP824" s="18"/>
      <c r="CQ824" s="18"/>
      <c r="CR824" s="18"/>
      <c r="CS824" s="18"/>
      <c r="CT824" s="18"/>
      <c r="CU824" s="18"/>
    </row>
    <row r="825" spans="1:99">
      <c r="A825" s="19"/>
      <c r="B825" s="19"/>
      <c r="C825" s="19"/>
      <c r="D825" s="19"/>
      <c r="E825" s="19"/>
      <c r="F825" s="19"/>
      <c r="G825" s="19"/>
      <c r="H825" s="19"/>
      <c r="I825" s="19"/>
      <c r="J825" s="19"/>
      <c r="K825" s="18"/>
      <c r="L825" s="18"/>
      <c r="M825" s="18"/>
      <c r="N825" s="18"/>
      <c r="O825" s="18"/>
      <c r="P825" s="18"/>
      <c r="Q825" s="18"/>
      <c r="R825" s="18"/>
      <c r="S825" s="18"/>
      <c r="T825" s="18"/>
      <c r="U825" s="18"/>
      <c r="V825" s="18"/>
      <c r="W825" s="18"/>
      <c r="X825" s="18"/>
      <c r="Y825" s="18"/>
      <c r="Z825" s="18"/>
      <c r="AA825" s="18"/>
      <c r="AB825" s="18"/>
      <c r="AC825" s="18"/>
      <c r="AD825" s="18"/>
      <c r="AE825" s="18"/>
      <c r="AF825" s="18"/>
      <c r="AG825" s="18"/>
      <c r="AH825" s="18"/>
      <c r="AI825" s="18"/>
      <c r="AJ825" s="18"/>
      <c r="AK825" s="18"/>
      <c r="AL825" s="18"/>
      <c r="AM825" s="18"/>
      <c r="AN825" s="18"/>
      <c r="AO825" s="18"/>
      <c r="AP825" s="18"/>
      <c r="AQ825" s="18"/>
      <c r="AR825" s="18"/>
      <c r="AS825" s="18"/>
      <c r="AT825" s="18"/>
      <c r="AU825" s="18"/>
      <c r="AV825" s="18"/>
      <c r="AW825" s="18"/>
      <c r="AX825" s="18"/>
      <c r="AY825" s="18"/>
      <c r="AZ825" s="18"/>
      <c r="BA825" s="18"/>
      <c r="BB825" s="18"/>
      <c r="BC825" s="18"/>
      <c r="BD825" s="18"/>
      <c r="BE825" s="18"/>
      <c r="BF825" s="18"/>
      <c r="BG825" s="18"/>
      <c r="BH825" s="18"/>
      <c r="BI825" s="18"/>
      <c r="BJ825" s="18"/>
      <c r="BK825" s="18"/>
      <c r="BL825" s="18"/>
      <c r="BM825" s="18"/>
      <c r="BN825" s="18"/>
      <c r="BO825" s="18"/>
      <c r="BP825" s="18"/>
      <c r="BQ825" s="18"/>
      <c r="BR825" s="18"/>
      <c r="BS825" s="18"/>
      <c r="BT825" s="18"/>
      <c r="BU825" s="18"/>
      <c r="BV825" s="18"/>
      <c r="BW825" s="18"/>
      <c r="BX825" s="18"/>
      <c r="BY825" s="18"/>
      <c r="BZ825" s="18"/>
      <c r="CA825" s="18"/>
      <c r="CB825" s="18"/>
      <c r="CC825" s="18"/>
      <c r="CD825" s="18"/>
      <c r="CE825" s="18"/>
      <c r="CF825" s="18"/>
      <c r="CG825" s="18"/>
      <c r="CH825" s="18"/>
      <c r="CI825" s="18"/>
      <c r="CJ825" s="18"/>
      <c r="CK825" s="18"/>
      <c r="CL825" s="18"/>
      <c r="CM825" s="18"/>
      <c r="CN825" s="18"/>
      <c r="CO825" s="18"/>
      <c r="CP825" s="18"/>
      <c r="CQ825" s="18"/>
      <c r="CR825" s="18"/>
      <c r="CS825" s="18"/>
      <c r="CT825" s="18"/>
      <c r="CU825" s="18"/>
    </row>
    <row r="826" spans="1:99">
      <c r="A826" s="19"/>
      <c r="B826" s="19"/>
      <c r="C826" s="19"/>
      <c r="D826" s="19"/>
      <c r="E826" s="19"/>
      <c r="F826" s="19"/>
      <c r="G826" s="19"/>
      <c r="H826" s="19"/>
      <c r="I826" s="19"/>
      <c r="J826" s="19"/>
      <c r="K826" s="18"/>
      <c r="L826" s="18"/>
      <c r="M826" s="18"/>
      <c r="N826" s="18"/>
      <c r="O826" s="18"/>
      <c r="P826" s="18"/>
      <c r="Q826" s="18"/>
      <c r="R826" s="18"/>
      <c r="S826" s="18"/>
      <c r="T826" s="18"/>
      <c r="U826" s="18"/>
      <c r="V826" s="18"/>
      <c r="W826" s="18"/>
      <c r="X826" s="18"/>
      <c r="Y826" s="18"/>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c r="BC826" s="18"/>
      <c r="BD826" s="18"/>
      <c r="BE826" s="18"/>
      <c r="BF826" s="18"/>
      <c r="BG826" s="18"/>
      <c r="BH826" s="18"/>
      <c r="BI826" s="18"/>
      <c r="BJ826" s="18"/>
      <c r="BK826" s="18"/>
      <c r="BL826" s="18"/>
      <c r="BM826" s="18"/>
      <c r="BN826" s="18"/>
      <c r="BO826" s="18"/>
      <c r="BP826" s="18"/>
      <c r="BQ826" s="18"/>
      <c r="BR826" s="18"/>
      <c r="BS826" s="18"/>
      <c r="BT826" s="18"/>
      <c r="BU826" s="18"/>
      <c r="BV826" s="18"/>
      <c r="BW826" s="18"/>
      <c r="BX826" s="18"/>
      <c r="BY826" s="18"/>
      <c r="BZ826" s="18"/>
      <c r="CA826" s="18"/>
      <c r="CB826" s="18"/>
      <c r="CC826" s="18"/>
      <c r="CD826" s="18"/>
      <c r="CE826" s="18"/>
      <c r="CF826" s="18"/>
      <c r="CG826" s="18"/>
      <c r="CH826" s="18"/>
      <c r="CI826" s="18"/>
      <c r="CJ826" s="18"/>
      <c r="CK826" s="18"/>
      <c r="CL826" s="18"/>
      <c r="CM826" s="18"/>
      <c r="CN826" s="18"/>
      <c r="CO826" s="18"/>
      <c r="CP826" s="18"/>
      <c r="CQ826" s="18"/>
      <c r="CR826" s="18"/>
      <c r="CS826" s="18"/>
      <c r="CT826" s="18"/>
      <c r="CU826" s="18"/>
    </row>
    <row r="827" spans="1:99">
      <c r="A827" s="19"/>
      <c r="B827" s="19"/>
      <c r="C827" s="19"/>
      <c r="D827" s="19"/>
      <c r="E827" s="19"/>
      <c r="F827" s="19"/>
      <c r="G827" s="19"/>
      <c r="H827" s="19"/>
      <c r="I827" s="19"/>
      <c r="J827" s="19"/>
      <c r="K827" s="18"/>
      <c r="L827" s="18"/>
      <c r="M827" s="18"/>
      <c r="N827" s="18"/>
      <c r="O827" s="18"/>
      <c r="P827" s="18"/>
      <c r="Q827" s="18"/>
      <c r="R827" s="18"/>
      <c r="S827" s="18"/>
      <c r="T827" s="18"/>
      <c r="U827" s="18"/>
      <c r="V827" s="18"/>
      <c r="W827" s="18"/>
      <c r="X827" s="18"/>
      <c r="Y827" s="18"/>
      <c r="Z827" s="18"/>
      <c r="AA827" s="18"/>
      <c r="AB827" s="18"/>
      <c r="AC827" s="18"/>
      <c r="AD827" s="18"/>
      <c r="AE827" s="18"/>
      <c r="AF827" s="18"/>
      <c r="AG827" s="18"/>
      <c r="AH827" s="18"/>
      <c r="AI827" s="18"/>
      <c r="AJ827" s="18"/>
      <c r="AK827" s="18"/>
      <c r="AL827" s="18"/>
      <c r="AM827" s="18"/>
      <c r="AN827" s="18"/>
      <c r="AO827" s="18"/>
      <c r="AP827" s="18"/>
      <c r="AQ827" s="18"/>
      <c r="AR827" s="18"/>
      <c r="AS827" s="18"/>
      <c r="AT827" s="18"/>
      <c r="AU827" s="18"/>
      <c r="AV827" s="18"/>
      <c r="AW827" s="18"/>
      <c r="AX827" s="18"/>
      <c r="AY827" s="18"/>
      <c r="AZ827" s="18"/>
      <c r="BA827" s="18"/>
      <c r="BB827" s="18"/>
      <c r="BC827" s="18"/>
      <c r="BD827" s="18"/>
      <c r="BE827" s="18"/>
      <c r="BF827" s="18"/>
      <c r="BG827" s="18"/>
      <c r="BH827" s="18"/>
      <c r="BI827" s="18"/>
      <c r="BJ827" s="18"/>
      <c r="BK827" s="18"/>
      <c r="BL827" s="18"/>
      <c r="BM827" s="18"/>
      <c r="BN827" s="18"/>
      <c r="BO827" s="18"/>
      <c r="BP827" s="18"/>
      <c r="BQ827" s="18"/>
      <c r="BR827" s="18"/>
      <c r="BS827" s="18"/>
      <c r="BT827" s="18"/>
      <c r="BU827" s="18"/>
      <c r="BV827" s="18"/>
      <c r="BW827" s="18"/>
      <c r="BX827" s="18"/>
      <c r="BY827" s="18"/>
      <c r="BZ827" s="18"/>
      <c r="CA827" s="18"/>
      <c r="CB827" s="18"/>
      <c r="CC827" s="18"/>
      <c r="CD827" s="18"/>
      <c r="CE827" s="18"/>
      <c r="CF827" s="18"/>
      <c r="CG827" s="18"/>
      <c r="CH827" s="18"/>
      <c r="CI827" s="18"/>
      <c r="CJ827" s="18"/>
      <c r="CK827" s="18"/>
      <c r="CL827" s="18"/>
      <c r="CM827" s="18"/>
      <c r="CN827" s="18"/>
      <c r="CO827" s="18"/>
      <c r="CP827" s="18"/>
      <c r="CQ827" s="18"/>
      <c r="CR827" s="18"/>
      <c r="CS827" s="18"/>
      <c r="CT827" s="18"/>
      <c r="CU827" s="18"/>
    </row>
    <row r="828" spans="1:99">
      <c r="A828" s="19"/>
      <c r="B828" s="19"/>
      <c r="C828" s="19"/>
      <c r="D828" s="19"/>
      <c r="E828" s="19"/>
      <c r="F828" s="19"/>
      <c r="G828" s="19"/>
      <c r="H828" s="19"/>
      <c r="I828" s="19"/>
      <c r="J828" s="19"/>
      <c r="K828" s="18"/>
      <c r="L828" s="18"/>
      <c r="M828" s="18"/>
      <c r="N828" s="18"/>
      <c r="O828" s="18"/>
      <c r="P828" s="18"/>
      <c r="Q828" s="18"/>
      <c r="R828" s="18"/>
      <c r="S828" s="18"/>
      <c r="T828" s="18"/>
      <c r="U828" s="18"/>
      <c r="V828" s="18"/>
      <c r="W828" s="18"/>
      <c r="X828" s="18"/>
      <c r="Y828" s="18"/>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c r="BC828" s="18"/>
      <c r="BD828" s="18"/>
      <c r="BE828" s="18"/>
      <c r="BF828" s="18"/>
      <c r="BG828" s="18"/>
      <c r="BH828" s="18"/>
      <c r="BI828" s="18"/>
      <c r="BJ828" s="18"/>
      <c r="BK828" s="18"/>
      <c r="BL828" s="18"/>
      <c r="BM828" s="18"/>
      <c r="BN828" s="18"/>
      <c r="BO828" s="18"/>
      <c r="BP828" s="18"/>
      <c r="BQ828" s="18"/>
      <c r="BR828" s="18"/>
      <c r="BS828" s="18"/>
      <c r="BT828" s="18"/>
      <c r="BU828" s="18"/>
      <c r="BV828" s="18"/>
      <c r="BW828" s="18"/>
      <c r="BX828" s="18"/>
      <c r="BY828" s="18"/>
      <c r="BZ828" s="18"/>
      <c r="CA828" s="18"/>
      <c r="CB828" s="18"/>
      <c r="CC828" s="18"/>
      <c r="CD828" s="18"/>
      <c r="CE828" s="18"/>
      <c r="CF828" s="18"/>
      <c r="CG828" s="18"/>
      <c r="CH828" s="18"/>
      <c r="CI828" s="18"/>
      <c r="CJ828" s="18"/>
      <c r="CK828" s="18"/>
      <c r="CL828" s="18"/>
      <c r="CM828" s="18"/>
      <c r="CN828" s="18"/>
      <c r="CO828" s="18"/>
      <c r="CP828" s="18"/>
      <c r="CQ828" s="18"/>
      <c r="CR828" s="18"/>
      <c r="CS828" s="18"/>
      <c r="CT828" s="18"/>
      <c r="CU828" s="18"/>
    </row>
    <row r="829" spans="1:99">
      <c r="A829" s="19"/>
      <c r="B829" s="19"/>
      <c r="C829" s="19"/>
      <c r="D829" s="19"/>
      <c r="E829" s="19"/>
      <c r="F829" s="19"/>
      <c r="G829" s="19"/>
      <c r="H829" s="19"/>
      <c r="I829" s="19"/>
      <c r="J829" s="19"/>
      <c r="K829" s="18"/>
      <c r="L829" s="18"/>
      <c r="M829" s="18"/>
      <c r="N829" s="18"/>
      <c r="O829" s="18"/>
      <c r="P829" s="18"/>
      <c r="Q829" s="18"/>
      <c r="R829" s="18"/>
      <c r="S829" s="18"/>
      <c r="T829" s="18"/>
      <c r="U829" s="18"/>
      <c r="V829" s="18"/>
      <c r="W829" s="18"/>
      <c r="X829" s="18"/>
      <c r="Y829" s="18"/>
      <c r="Z829" s="18"/>
      <c r="AA829" s="18"/>
      <c r="AB829" s="18"/>
      <c r="AC829" s="18"/>
      <c r="AD829" s="18"/>
      <c r="AE829" s="18"/>
      <c r="AF829" s="18"/>
      <c r="AG829" s="18"/>
      <c r="AH829" s="18"/>
      <c r="AI829" s="18"/>
      <c r="AJ829" s="18"/>
      <c r="AK829" s="18"/>
      <c r="AL829" s="18"/>
      <c r="AM829" s="18"/>
      <c r="AN829" s="18"/>
      <c r="AO829" s="18"/>
      <c r="AP829" s="18"/>
      <c r="AQ829" s="18"/>
      <c r="AR829" s="18"/>
      <c r="AS829" s="18"/>
      <c r="AT829" s="18"/>
      <c r="AU829" s="18"/>
      <c r="AV829" s="18"/>
      <c r="AW829" s="18"/>
      <c r="AX829" s="18"/>
      <c r="AY829" s="18"/>
      <c r="AZ829" s="18"/>
      <c r="BA829" s="18"/>
      <c r="BB829" s="18"/>
      <c r="BC829" s="18"/>
      <c r="BD829" s="18"/>
      <c r="BE829" s="18"/>
      <c r="BF829" s="18"/>
      <c r="BG829" s="18"/>
      <c r="BH829" s="18"/>
      <c r="BI829" s="18"/>
      <c r="BJ829" s="18"/>
      <c r="BK829" s="18"/>
      <c r="BL829" s="18"/>
      <c r="BM829" s="18"/>
      <c r="BN829" s="18"/>
      <c r="BO829" s="18"/>
      <c r="BP829" s="18"/>
      <c r="BQ829" s="18"/>
      <c r="BR829" s="18"/>
      <c r="BS829" s="18"/>
      <c r="BT829" s="18"/>
      <c r="BU829" s="18"/>
      <c r="BV829" s="18"/>
      <c r="BW829" s="18"/>
      <c r="BX829" s="18"/>
      <c r="BY829" s="18"/>
      <c r="BZ829" s="18"/>
      <c r="CA829" s="18"/>
      <c r="CB829" s="18"/>
      <c r="CC829" s="18"/>
      <c r="CD829" s="18"/>
      <c r="CE829" s="18"/>
      <c r="CF829" s="18"/>
      <c r="CG829" s="18"/>
      <c r="CH829" s="18"/>
      <c r="CI829" s="18"/>
      <c r="CJ829" s="18"/>
      <c r="CK829" s="18"/>
      <c r="CL829" s="18"/>
      <c r="CM829" s="18"/>
      <c r="CN829" s="18"/>
      <c r="CO829" s="18"/>
      <c r="CP829" s="18"/>
      <c r="CQ829" s="18"/>
      <c r="CR829" s="18"/>
      <c r="CS829" s="18"/>
      <c r="CT829" s="18"/>
      <c r="CU829" s="18"/>
    </row>
    <row r="830" spans="1:99">
      <c r="A830" s="19"/>
      <c r="B830" s="19"/>
      <c r="C830" s="19"/>
      <c r="D830" s="19"/>
      <c r="E830" s="19"/>
      <c r="F830" s="19"/>
      <c r="G830" s="19"/>
      <c r="H830" s="19"/>
      <c r="I830" s="19"/>
      <c r="J830" s="19"/>
      <c r="K830" s="18"/>
      <c r="L830" s="18"/>
      <c r="M830" s="18"/>
      <c r="N830" s="18"/>
      <c r="O830" s="18"/>
      <c r="P830" s="18"/>
      <c r="Q830" s="18"/>
      <c r="R830" s="18"/>
      <c r="S830" s="18"/>
      <c r="T830" s="18"/>
      <c r="U830" s="18"/>
      <c r="V830" s="18"/>
      <c r="W830" s="18"/>
      <c r="X830" s="18"/>
      <c r="Y830" s="18"/>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c r="BC830" s="18"/>
      <c r="BD830" s="18"/>
      <c r="BE830" s="18"/>
      <c r="BF830" s="18"/>
      <c r="BG830" s="18"/>
      <c r="BH830" s="18"/>
      <c r="BI830" s="18"/>
      <c r="BJ830" s="18"/>
      <c r="BK830" s="18"/>
      <c r="BL830" s="18"/>
      <c r="BM830" s="18"/>
      <c r="BN830" s="18"/>
      <c r="BO830" s="18"/>
      <c r="BP830" s="18"/>
      <c r="BQ830" s="18"/>
      <c r="BR830" s="18"/>
      <c r="BS830" s="18"/>
      <c r="BT830" s="18"/>
      <c r="BU830" s="18"/>
      <c r="BV830" s="18"/>
      <c r="BW830" s="18"/>
      <c r="BX830" s="18"/>
      <c r="BY830" s="18"/>
      <c r="BZ830" s="18"/>
      <c r="CA830" s="18"/>
      <c r="CB830" s="18"/>
      <c r="CC830" s="18"/>
      <c r="CD830" s="18"/>
      <c r="CE830" s="18"/>
      <c r="CF830" s="18"/>
      <c r="CG830" s="18"/>
      <c r="CH830" s="18"/>
      <c r="CI830" s="18"/>
      <c r="CJ830" s="18"/>
      <c r="CK830" s="18"/>
      <c r="CL830" s="18"/>
      <c r="CM830" s="18"/>
      <c r="CN830" s="18"/>
      <c r="CO830" s="18"/>
      <c r="CP830" s="18"/>
      <c r="CQ830" s="18"/>
      <c r="CR830" s="18"/>
      <c r="CS830" s="18"/>
      <c r="CT830" s="18"/>
      <c r="CU830" s="18"/>
    </row>
    <row r="831" spans="1:99">
      <c r="A831" s="19"/>
      <c r="B831" s="19"/>
      <c r="C831" s="19"/>
      <c r="D831" s="19"/>
      <c r="E831" s="19"/>
      <c r="F831" s="19"/>
      <c r="G831" s="19"/>
      <c r="H831" s="19"/>
      <c r="I831" s="19"/>
      <c r="J831" s="19"/>
      <c r="K831" s="18"/>
      <c r="L831" s="18"/>
      <c r="M831" s="18"/>
      <c r="N831" s="18"/>
      <c r="O831" s="18"/>
      <c r="P831" s="18"/>
      <c r="Q831" s="18"/>
      <c r="R831" s="18"/>
      <c r="S831" s="18"/>
      <c r="T831" s="18"/>
      <c r="U831" s="18"/>
      <c r="V831" s="18"/>
      <c r="W831" s="18"/>
      <c r="X831" s="18"/>
      <c r="Y831" s="18"/>
      <c r="Z831" s="18"/>
      <c r="AA831" s="18"/>
      <c r="AB831" s="18"/>
      <c r="AC831" s="18"/>
      <c r="AD831" s="18"/>
      <c r="AE831" s="18"/>
      <c r="AF831" s="18"/>
      <c r="AG831" s="18"/>
      <c r="AH831" s="18"/>
      <c r="AI831" s="18"/>
      <c r="AJ831" s="18"/>
      <c r="AK831" s="18"/>
      <c r="AL831" s="18"/>
      <c r="AM831" s="18"/>
      <c r="AN831" s="18"/>
      <c r="AO831" s="18"/>
      <c r="AP831" s="18"/>
      <c r="AQ831" s="18"/>
      <c r="AR831" s="18"/>
      <c r="AS831" s="18"/>
      <c r="AT831" s="18"/>
      <c r="AU831" s="18"/>
      <c r="AV831" s="18"/>
      <c r="AW831" s="18"/>
      <c r="AX831" s="18"/>
      <c r="AY831" s="18"/>
      <c r="AZ831" s="18"/>
      <c r="BA831" s="18"/>
      <c r="BB831" s="18"/>
      <c r="BC831" s="18"/>
      <c r="BD831" s="18"/>
      <c r="BE831" s="18"/>
      <c r="BF831" s="18"/>
      <c r="BG831" s="18"/>
      <c r="BH831" s="18"/>
      <c r="BI831" s="18"/>
      <c r="BJ831" s="18"/>
      <c r="BK831" s="18"/>
      <c r="BL831" s="18"/>
      <c r="BM831" s="18"/>
      <c r="BN831" s="18"/>
      <c r="BO831" s="18"/>
      <c r="BP831" s="18"/>
      <c r="BQ831" s="18"/>
      <c r="BR831" s="18"/>
      <c r="BS831" s="18"/>
      <c r="BT831" s="18"/>
      <c r="BU831" s="18"/>
      <c r="BV831" s="18"/>
      <c r="BW831" s="18"/>
      <c r="BX831" s="18"/>
      <c r="BY831" s="18"/>
      <c r="BZ831" s="18"/>
      <c r="CA831" s="18"/>
      <c r="CB831" s="18"/>
      <c r="CC831" s="18"/>
      <c r="CD831" s="18"/>
      <c r="CE831" s="18"/>
      <c r="CF831" s="18"/>
      <c r="CG831" s="18"/>
      <c r="CH831" s="18"/>
      <c r="CI831" s="18"/>
      <c r="CJ831" s="18"/>
      <c r="CK831" s="18"/>
      <c r="CL831" s="18"/>
      <c r="CM831" s="18"/>
      <c r="CN831" s="18"/>
      <c r="CO831" s="18"/>
      <c r="CP831" s="18"/>
      <c r="CQ831" s="18"/>
      <c r="CR831" s="18"/>
      <c r="CS831" s="18"/>
      <c r="CT831" s="18"/>
      <c r="CU831" s="18"/>
    </row>
    <row r="832" spans="1:99">
      <c r="A832" s="19"/>
      <c r="B832" s="19"/>
      <c r="C832" s="19"/>
      <c r="D832" s="19"/>
      <c r="E832" s="19"/>
      <c r="F832" s="19"/>
      <c r="G832" s="19"/>
      <c r="H832" s="19"/>
      <c r="I832" s="19"/>
      <c r="J832" s="19"/>
      <c r="K832" s="18"/>
      <c r="L832" s="18"/>
      <c r="M832" s="18"/>
      <c r="N832" s="18"/>
      <c r="O832" s="18"/>
      <c r="P832" s="18"/>
      <c r="Q832" s="18"/>
      <c r="R832" s="18"/>
      <c r="S832" s="18"/>
      <c r="T832" s="18"/>
      <c r="U832" s="18"/>
      <c r="V832" s="18"/>
      <c r="W832" s="18"/>
      <c r="X832" s="18"/>
      <c r="Y832" s="18"/>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c r="BC832" s="18"/>
      <c r="BD832" s="18"/>
      <c r="BE832" s="18"/>
      <c r="BF832" s="18"/>
      <c r="BG832" s="18"/>
      <c r="BH832" s="18"/>
      <c r="BI832" s="18"/>
      <c r="BJ832" s="18"/>
      <c r="BK832" s="18"/>
      <c r="BL832" s="18"/>
      <c r="BM832" s="18"/>
      <c r="BN832" s="18"/>
      <c r="BO832" s="18"/>
      <c r="BP832" s="18"/>
      <c r="BQ832" s="18"/>
      <c r="BR832" s="18"/>
      <c r="BS832" s="18"/>
      <c r="BT832" s="18"/>
      <c r="BU832" s="18"/>
      <c r="BV832" s="18"/>
      <c r="BW832" s="18"/>
      <c r="BX832" s="18"/>
      <c r="BY832" s="18"/>
      <c r="BZ832" s="18"/>
      <c r="CA832" s="18"/>
      <c r="CB832" s="18"/>
      <c r="CC832" s="18"/>
      <c r="CD832" s="18"/>
      <c r="CE832" s="18"/>
      <c r="CF832" s="18"/>
      <c r="CG832" s="18"/>
      <c r="CH832" s="18"/>
      <c r="CI832" s="18"/>
      <c r="CJ832" s="18"/>
      <c r="CK832" s="18"/>
      <c r="CL832" s="18"/>
      <c r="CM832" s="18"/>
      <c r="CN832" s="18"/>
      <c r="CO832" s="18"/>
      <c r="CP832" s="18"/>
      <c r="CQ832" s="18"/>
      <c r="CR832" s="18"/>
      <c r="CS832" s="18"/>
      <c r="CT832" s="18"/>
      <c r="CU832" s="18"/>
    </row>
    <row r="833" spans="1:99">
      <c r="A833" s="19"/>
      <c r="B833" s="19"/>
      <c r="C833" s="19"/>
      <c r="D833" s="19"/>
      <c r="E833" s="19"/>
      <c r="F833" s="19"/>
      <c r="G833" s="19"/>
      <c r="H833" s="19"/>
      <c r="I833" s="19"/>
      <c r="J833" s="19"/>
      <c r="K833" s="18"/>
      <c r="L833" s="18"/>
      <c r="M833" s="18"/>
      <c r="N833" s="18"/>
      <c r="O833" s="18"/>
      <c r="P833" s="18"/>
      <c r="Q833" s="18"/>
      <c r="R833" s="18"/>
      <c r="S833" s="18"/>
      <c r="T833" s="18"/>
      <c r="U833" s="18"/>
      <c r="V833" s="18"/>
      <c r="W833" s="18"/>
      <c r="X833" s="18"/>
      <c r="Y833" s="18"/>
      <c r="Z833" s="18"/>
      <c r="AA833" s="18"/>
      <c r="AB833" s="18"/>
      <c r="AC833" s="18"/>
      <c r="AD833" s="18"/>
      <c r="AE833" s="18"/>
      <c r="AF833" s="18"/>
      <c r="AG833" s="18"/>
      <c r="AH833" s="18"/>
      <c r="AI833" s="18"/>
      <c r="AJ833" s="18"/>
      <c r="AK833" s="18"/>
      <c r="AL833" s="18"/>
      <c r="AM833" s="18"/>
      <c r="AN833" s="18"/>
      <c r="AO833" s="18"/>
      <c r="AP833" s="18"/>
      <c r="AQ833" s="18"/>
      <c r="AR833" s="18"/>
      <c r="AS833" s="18"/>
      <c r="AT833" s="18"/>
      <c r="AU833" s="18"/>
      <c r="AV833" s="18"/>
      <c r="AW833" s="18"/>
      <c r="AX833" s="18"/>
      <c r="AY833" s="18"/>
      <c r="AZ833" s="18"/>
      <c r="BA833" s="18"/>
      <c r="BB833" s="18"/>
      <c r="BC833" s="18"/>
      <c r="BD833" s="18"/>
      <c r="BE833" s="18"/>
      <c r="BF833" s="18"/>
      <c r="BG833" s="18"/>
      <c r="BH833" s="18"/>
      <c r="BI833" s="18"/>
      <c r="BJ833" s="18"/>
      <c r="BK833" s="18"/>
      <c r="BL833" s="18"/>
      <c r="BM833" s="18"/>
      <c r="BN833" s="18"/>
      <c r="BO833" s="18"/>
      <c r="BP833" s="18"/>
      <c r="BQ833" s="18"/>
      <c r="BR833" s="18"/>
      <c r="BS833" s="18"/>
      <c r="BT833" s="18"/>
      <c r="BU833" s="18"/>
      <c r="BV833" s="18"/>
      <c r="BW833" s="18"/>
      <c r="BX833" s="18"/>
      <c r="BY833" s="18"/>
      <c r="BZ833" s="18"/>
      <c r="CA833" s="18"/>
      <c r="CB833" s="18"/>
      <c r="CC833" s="18"/>
      <c r="CD833" s="18"/>
      <c r="CE833" s="18"/>
      <c r="CF833" s="18"/>
      <c r="CG833" s="18"/>
      <c r="CH833" s="18"/>
      <c r="CI833" s="18"/>
      <c r="CJ833" s="18"/>
      <c r="CK833" s="18"/>
      <c r="CL833" s="18"/>
      <c r="CM833" s="18"/>
      <c r="CN833" s="18"/>
      <c r="CO833" s="18"/>
      <c r="CP833" s="18"/>
      <c r="CQ833" s="18"/>
      <c r="CR833" s="18"/>
      <c r="CS833" s="18"/>
      <c r="CT833" s="18"/>
      <c r="CU833" s="18"/>
    </row>
    <row r="834" spans="1:99">
      <c r="A834" s="19"/>
      <c r="B834" s="19"/>
      <c r="C834" s="19"/>
      <c r="D834" s="19"/>
      <c r="E834" s="19"/>
      <c r="F834" s="19"/>
      <c r="G834" s="19"/>
      <c r="H834" s="19"/>
      <c r="I834" s="19"/>
      <c r="J834" s="19"/>
      <c r="K834" s="18"/>
      <c r="L834" s="18"/>
      <c r="M834" s="18"/>
      <c r="N834" s="18"/>
      <c r="O834" s="18"/>
      <c r="P834" s="18"/>
      <c r="Q834" s="18"/>
      <c r="R834" s="18"/>
      <c r="S834" s="18"/>
      <c r="T834" s="18"/>
      <c r="U834" s="18"/>
      <c r="V834" s="18"/>
      <c r="W834" s="18"/>
      <c r="X834" s="18"/>
      <c r="Y834" s="18"/>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c r="BC834" s="18"/>
      <c r="BD834" s="18"/>
      <c r="BE834" s="18"/>
      <c r="BF834" s="18"/>
      <c r="BG834" s="18"/>
      <c r="BH834" s="18"/>
      <c r="BI834" s="18"/>
      <c r="BJ834" s="18"/>
      <c r="BK834" s="18"/>
      <c r="BL834" s="18"/>
      <c r="BM834" s="18"/>
      <c r="BN834" s="18"/>
      <c r="BO834" s="18"/>
      <c r="BP834" s="18"/>
      <c r="BQ834" s="18"/>
      <c r="BR834" s="18"/>
      <c r="BS834" s="18"/>
      <c r="BT834" s="18"/>
      <c r="BU834" s="18"/>
      <c r="BV834" s="18"/>
      <c r="BW834" s="18"/>
      <c r="BX834" s="18"/>
      <c r="BY834" s="18"/>
      <c r="BZ834" s="18"/>
      <c r="CA834" s="18"/>
      <c r="CB834" s="18"/>
      <c r="CC834" s="18"/>
      <c r="CD834" s="18"/>
      <c r="CE834" s="18"/>
      <c r="CF834" s="18"/>
      <c r="CG834" s="18"/>
      <c r="CH834" s="18"/>
      <c r="CI834" s="18"/>
      <c r="CJ834" s="18"/>
      <c r="CK834" s="18"/>
      <c r="CL834" s="18"/>
      <c r="CM834" s="18"/>
      <c r="CN834" s="18"/>
      <c r="CO834" s="18"/>
      <c r="CP834" s="18"/>
      <c r="CQ834" s="18"/>
      <c r="CR834" s="18"/>
      <c r="CS834" s="18"/>
      <c r="CT834" s="18"/>
      <c r="CU834" s="18"/>
    </row>
    <row r="835" spans="1:99">
      <c r="A835" s="19"/>
      <c r="B835" s="19"/>
      <c r="C835" s="19"/>
      <c r="D835" s="19"/>
      <c r="E835" s="19"/>
      <c r="F835" s="19"/>
      <c r="G835" s="19"/>
      <c r="H835" s="19"/>
      <c r="I835" s="19"/>
      <c r="J835" s="19"/>
      <c r="K835" s="18"/>
      <c r="L835" s="18"/>
      <c r="M835" s="18"/>
      <c r="N835" s="18"/>
      <c r="O835" s="18"/>
      <c r="P835" s="18"/>
      <c r="Q835" s="18"/>
      <c r="R835" s="18"/>
      <c r="S835" s="18"/>
      <c r="T835" s="18"/>
      <c r="U835" s="18"/>
      <c r="V835" s="18"/>
      <c r="W835" s="18"/>
      <c r="X835" s="18"/>
      <c r="Y835" s="18"/>
      <c r="Z835" s="18"/>
      <c r="AA835" s="18"/>
      <c r="AB835" s="18"/>
      <c r="AC835" s="18"/>
      <c r="AD835" s="18"/>
      <c r="AE835" s="18"/>
      <c r="AF835" s="18"/>
      <c r="AG835" s="18"/>
      <c r="AH835" s="18"/>
      <c r="AI835" s="18"/>
      <c r="AJ835" s="18"/>
      <c r="AK835" s="18"/>
      <c r="AL835" s="18"/>
      <c r="AM835" s="18"/>
      <c r="AN835" s="18"/>
      <c r="AO835" s="18"/>
      <c r="AP835" s="18"/>
      <c r="AQ835" s="18"/>
      <c r="AR835" s="18"/>
      <c r="AS835" s="18"/>
      <c r="AT835" s="18"/>
      <c r="AU835" s="18"/>
      <c r="AV835" s="18"/>
      <c r="AW835" s="18"/>
      <c r="AX835" s="18"/>
      <c r="AY835" s="18"/>
      <c r="AZ835" s="18"/>
      <c r="BA835" s="18"/>
      <c r="BB835" s="18"/>
      <c r="BC835" s="18"/>
      <c r="BD835" s="18"/>
      <c r="BE835" s="18"/>
      <c r="BF835" s="18"/>
      <c r="BG835" s="18"/>
      <c r="BH835" s="18"/>
      <c r="BI835" s="18"/>
      <c r="BJ835" s="18"/>
      <c r="BK835" s="18"/>
      <c r="BL835" s="18"/>
      <c r="BM835" s="18"/>
      <c r="BN835" s="18"/>
      <c r="BO835" s="18"/>
      <c r="BP835" s="18"/>
      <c r="BQ835" s="18"/>
      <c r="BR835" s="18"/>
      <c r="BS835" s="18"/>
      <c r="BT835" s="18"/>
      <c r="BU835" s="18"/>
      <c r="BV835" s="18"/>
      <c r="BW835" s="18"/>
      <c r="BX835" s="18"/>
      <c r="BY835" s="18"/>
      <c r="BZ835" s="18"/>
      <c r="CA835" s="18"/>
      <c r="CB835" s="18"/>
      <c r="CC835" s="18"/>
      <c r="CD835" s="18"/>
      <c r="CE835" s="18"/>
      <c r="CF835" s="18"/>
      <c r="CG835" s="18"/>
      <c r="CH835" s="18"/>
      <c r="CI835" s="18"/>
      <c r="CJ835" s="18"/>
      <c r="CK835" s="18"/>
      <c r="CL835" s="18"/>
      <c r="CM835" s="18"/>
      <c r="CN835" s="18"/>
      <c r="CO835" s="18"/>
      <c r="CP835" s="18"/>
      <c r="CQ835" s="18"/>
      <c r="CR835" s="18"/>
      <c r="CS835" s="18"/>
      <c r="CT835" s="18"/>
      <c r="CU835" s="18"/>
    </row>
    <row r="836" spans="1:99">
      <c r="A836" s="19"/>
      <c r="B836" s="19"/>
      <c r="C836" s="19"/>
      <c r="D836" s="19"/>
      <c r="E836" s="19"/>
      <c r="F836" s="19"/>
      <c r="G836" s="19"/>
      <c r="H836" s="19"/>
      <c r="I836" s="19"/>
      <c r="J836" s="19"/>
      <c r="K836" s="18"/>
      <c r="L836" s="18"/>
      <c r="M836" s="18"/>
      <c r="N836" s="18"/>
      <c r="O836" s="18"/>
      <c r="P836" s="18"/>
      <c r="Q836" s="18"/>
      <c r="R836" s="18"/>
      <c r="S836" s="18"/>
      <c r="T836" s="18"/>
      <c r="U836" s="18"/>
      <c r="V836" s="18"/>
      <c r="W836" s="18"/>
      <c r="X836" s="18"/>
      <c r="Y836" s="18"/>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c r="BC836" s="18"/>
      <c r="BD836" s="18"/>
      <c r="BE836" s="18"/>
      <c r="BF836" s="18"/>
      <c r="BG836" s="18"/>
      <c r="BH836" s="18"/>
      <c r="BI836" s="18"/>
      <c r="BJ836" s="18"/>
      <c r="BK836" s="18"/>
      <c r="BL836" s="18"/>
      <c r="BM836" s="18"/>
      <c r="BN836" s="18"/>
      <c r="BO836" s="18"/>
      <c r="BP836" s="18"/>
      <c r="BQ836" s="18"/>
      <c r="BR836" s="18"/>
      <c r="BS836" s="18"/>
      <c r="BT836" s="18"/>
      <c r="BU836" s="18"/>
      <c r="BV836" s="18"/>
      <c r="BW836" s="18"/>
      <c r="BX836" s="18"/>
      <c r="BY836" s="18"/>
      <c r="BZ836" s="18"/>
      <c r="CA836" s="18"/>
      <c r="CB836" s="18"/>
      <c r="CC836" s="18"/>
      <c r="CD836" s="18"/>
      <c r="CE836" s="18"/>
      <c r="CF836" s="18"/>
      <c r="CG836" s="18"/>
      <c r="CH836" s="18"/>
      <c r="CI836" s="18"/>
      <c r="CJ836" s="18"/>
      <c r="CK836" s="18"/>
      <c r="CL836" s="18"/>
      <c r="CM836" s="18"/>
      <c r="CN836" s="18"/>
      <c r="CO836" s="18"/>
      <c r="CP836" s="18"/>
      <c r="CQ836" s="18"/>
      <c r="CR836" s="18"/>
      <c r="CS836" s="18"/>
      <c r="CT836" s="18"/>
      <c r="CU836" s="18"/>
    </row>
    <row r="837" spans="1:99">
      <c r="A837" s="19"/>
      <c r="B837" s="19"/>
      <c r="C837" s="19"/>
      <c r="D837" s="19"/>
      <c r="E837" s="19"/>
      <c r="F837" s="19"/>
      <c r="G837" s="19"/>
      <c r="H837" s="19"/>
      <c r="I837" s="19"/>
      <c r="J837" s="19"/>
      <c r="K837" s="18"/>
      <c r="L837" s="18"/>
      <c r="M837" s="18"/>
      <c r="N837" s="18"/>
      <c r="O837" s="18"/>
      <c r="P837" s="18"/>
      <c r="Q837" s="18"/>
      <c r="R837" s="18"/>
      <c r="S837" s="18"/>
      <c r="T837" s="18"/>
      <c r="U837" s="18"/>
      <c r="V837" s="18"/>
      <c r="W837" s="18"/>
      <c r="X837" s="18"/>
      <c r="Y837" s="18"/>
      <c r="Z837" s="18"/>
      <c r="AA837" s="18"/>
      <c r="AB837" s="18"/>
      <c r="AC837" s="18"/>
      <c r="AD837" s="18"/>
      <c r="AE837" s="18"/>
      <c r="AF837" s="18"/>
      <c r="AG837" s="18"/>
      <c r="AH837" s="18"/>
      <c r="AI837" s="18"/>
      <c r="AJ837" s="18"/>
      <c r="AK837" s="18"/>
      <c r="AL837" s="18"/>
      <c r="AM837" s="18"/>
      <c r="AN837" s="18"/>
      <c r="AO837" s="18"/>
      <c r="AP837" s="18"/>
      <c r="AQ837" s="18"/>
      <c r="AR837" s="18"/>
      <c r="AS837" s="18"/>
      <c r="AT837" s="18"/>
      <c r="AU837" s="18"/>
      <c r="AV837" s="18"/>
      <c r="AW837" s="18"/>
      <c r="AX837" s="18"/>
      <c r="AY837" s="18"/>
      <c r="AZ837" s="18"/>
      <c r="BA837" s="18"/>
      <c r="BB837" s="18"/>
      <c r="BC837" s="18"/>
      <c r="BD837" s="18"/>
      <c r="BE837" s="18"/>
      <c r="BF837" s="18"/>
      <c r="BG837" s="18"/>
      <c r="BH837" s="18"/>
      <c r="BI837" s="18"/>
      <c r="BJ837" s="18"/>
      <c r="BK837" s="18"/>
      <c r="BL837" s="18"/>
      <c r="BM837" s="18"/>
      <c r="BN837" s="18"/>
      <c r="BO837" s="18"/>
      <c r="BP837" s="18"/>
      <c r="BQ837" s="18"/>
      <c r="BR837" s="18"/>
      <c r="BS837" s="18"/>
      <c r="BT837" s="18"/>
      <c r="BU837" s="18"/>
      <c r="BV837" s="18"/>
      <c r="BW837" s="18"/>
      <c r="BX837" s="18"/>
      <c r="BY837" s="18"/>
      <c r="BZ837" s="18"/>
      <c r="CA837" s="18"/>
      <c r="CB837" s="18"/>
      <c r="CC837" s="18"/>
      <c r="CD837" s="18"/>
      <c r="CE837" s="18"/>
      <c r="CF837" s="18"/>
      <c r="CG837" s="18"/>
      <c r="CH837" s="18"/>
      <c r="CI837" s="18"/>
      <c r="CJ837" s="18"/>
      <c r="CK837" s="18"/>
      <c r="CL837" s="18"/>
      <c r="CM837" s="18"/>
      <c r="CN837" s="18"/>
      <c r="CO837" s="18"/>
      <c r="CP837" s="18"/>
      <c r="CQ837" s="18"/>
      <c r="CR837" s="18"/>
      <c r="CS837" s="18"/>
      <c r="CT837" s="18"/>
      <c r="CU837" s="18"/>
    </row>
    <row r="838" spans="1:99">
      <c r="A838" s="19"/>
      <c r="B838" s="19"/>
      <c r="C838" s="19"/>
      <c r="D838" s="19"/>
      <c r="E838" s="19"/>
      <c r="F838" s="19"/>
      <c r="G838" s="19"/>
      <c r="H838" s="19"/>
      <c r="I838" s="19"/>
      <c r="J838" s="19"/>
      <c r="K838" s="18"/>
      <c r="L838" s="18"/>
      <c r="M838" s="18"/>
      <c r="N838" s="18"/>
      <c r="O838" s="18"/>
      <c r="P838" s="18"/>
      <c r="Q838" s="18"/>
      <c r="R838" s="18"/>
      <c r="S838" s="18"/>
      <c r="T838" s="18"/>
      <c r="U838" s="18"/>
      <c r="V838" s="18"/>
      <c r="W838" s="18"/>
      <c r="X838" s="18"/>
      <c r="Y838" s="18"/>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c r="BC838" s="18"/>
      <c r="BD838" s="18"/>
      <c r="BE838" s="18"/>
      <c r="BF838" s="18"/>
      <c r="BG838" s="18"/>
      <c r="BH838" s="18"/>
      <c r="BI838" s="18"/>
      <c r="BJ838" s="18"/>
      <c r="BK838" s="18"/>
      <c r="BL838" s="18"/>
      <c r="BM838" s="18"/>
      <c r="BN838" s="18"/>
      <c r="BO838" s="18"/>
      <c r="BP838" s="18"/>
      <c r="BQ838" s="18"/>
      <c r="BR838" s="18"/>
      <c r="BS838" s="18"/>
      <c r="BT838" s="18"/>
      <c r="BU838" s="18"/>
      <c r="BV838" s="18"/>
      <c r="BW838" s="18"/>
      <c r="BX838" s="18"/>
      <c r="BY838" s="18"/>
      <c r="BZ838" s="18"/>
      <c r="CA838" s="18"/>
      <c r="CB838" s="18"/>
      <c r="CC838" s="18"/>
      <c r="CD838" s="18"/>
      <c r="CE838" s="18"/>
      <c r="CF838" s="18"/>
      <c r="CG838" s="18"/>
      <c r="CH838" s="18"/>
      <c r="CI838" s="18"/>
      <c r="CJ838" s="18"/>
      <c r="CK838" s="18"/>
      <c r="CL838" s="18"/>
      <c r="CM838" s="18"/>
      <c r="CN838" s="18"/>
      <c r="CO838" s="18"/>
      <c r="CP838" s="18"/>
      <c r="CQ838" s="18"/>
      <c r="CR838" s="18"/>
      <c r="CS838" s="18"/>
      <c r="CT838" s="18"/>
      <c r="CU838" s="18"/>
    </row>
    <row r="839" spans="1:99">
      <c r="A839" s="19"/>
      <c r="B839" s="19"/>
      <c r="C839" s="19"/>
      <c r="D839" s="19"/>
      <c r="E839" s="19"/>
      <c r="F839" s="19"/>
      <c r="G839" s="19"/>
      <c r="H839" s="19"/>
      <c r="I839" s="19"/>
      <c r="J839" s="19"/>
      <c r="K839" s="18"/>
      <c r="L839" s="18"/>
      <c r="M839" s="18"/>
      <c r="N839" s="18"/>
      <c r="O839" s="18"/>
      <c r="P839" s="18"/>
      <c r="Q839" s="18"/>
      <c r="R839" s="18"/>
      <c r="S839" s="18"/>
      <c r="T839" s="18"/>
      <c r="U839" s="18"/>
      <c r="V839" s="18"/>
      <c r="W839" s="18"/>
      <c r="X839" s="18"/>
      <c r="Y839" s="18"/>
      <c r="Z839" s="18"/>
      <c r="AA839" s="18"/>
      <c r="AB839" s="18"/>
      <c r="AC839" s="18"/>
      <c r="AD839" s="18"/>
      <c r="AE839" s="18"/>
      <c r="AF839" s="18"/>
      <c r="AG839" s="18"/>
      <c r="AH839" s="18"/>
      <c r="AI839" s="18"/>
      <c r="AJ839" s="18"/>
      <c r="AK839" s="18"/>
      <c r="AL839" s="18"/>
      <c r="AM839" s="18"/>
      <c r="AN839" s="18"/>
      <c r="AO839" s="18"/>
      <c r="AP839" s="18"/>
      <c r="AQ839" s="18"/>
      <c r="AR839" s="18"/>
      <c r="AS839" s="18"/>
      <c r="AT839" s="18"/>
      <c r="AU839" s="18"/>
      <c r="AV839" s="18"/>
      <c r="AW839" s="18"/>
      <c r="AX839" s="18"/>
      <c r="AY839" s="18"/>
      <c r="AZ839" s="18"/>
      <c r="BA839" s="18"/>
      <c r="BB839" s="18"/>
      <c r="BC839" s="18"/>
      <c r="BD839" s="18"/>
      <c r="BE839" s="18"/>
      <c r="BF839" s="18"/>
      <c r="BG839" s="18"/>
      <c r="BH839" s="18"/>
      <c r="BI839" s="18"/>
      <c r="BJ839" s="18"/>
      <c r="BK839" s="18"/>
      <c r="BL839" s="18"/>
      <c r="BM839" s="18"/>
      <c r="BN839" s="18"/>
      <c r="BO839" s="18"/>
      <c r="BP839" s="18"/>
      <c r="BQ839" s="18"/>
      <c r="BR839" s="18"/>
      <c r="BS839" s="18"/>
      <c r="BT839" s="18"/>
      <c r="BU839" s="18"/>
      <c r="BV839" s="18"/>
      <c r="BW839" s="18"/>
      <c r="BX839" s="18"/>
      <c r="BY839" s="18"/>
      <c r="BZ839" s="18"/>
      <c r="CA839" s="18"/>
      <c r="CB839" s="18"/>
      <c r="CC839" s="18"/>
      <c r="CD839" s="18"/>
      <c r="CE839" s="18"/>
      <c r="CF839" s="18"/>
      <c r="CG839" s="18"/>
      <c r="CH839" s="18"/>
      <c r="CI839" s="18"/>
      <c r="CJ839" s="18"/>
      <c r="CK839" s="18"/>
      <c r="CL839" s="18"/>
      <c r="CM839" s="18"/>
      <c r="CN839" s="18"/>
      <c r="CO839" s="18"/>
      <c r="CP839" s="18"/>
      <c r="CQ839" s="18"/>
      <c r="CR839" s="18"/>
      <c r="CS839" s="18"/>
      <c r="CT839" s="18"/>
      <c r="CU839" s="18"/>
    </row>
    <row r="840" spans="1:99">
      <c r="A840" s="19"/>
      <c r="B840" s="19"/>
      <c r="C840" s="19"/>
      <c r="D840" s="19"/>
      <c r="E840" s="19"/>
      <c r="F840" s="19"/>
      <c r="G840" s="19"/>
      <c r="H840" s="19"/>
      <c r="I840" s="19"/>
      <c r="J840" s="19"/>
      <c r="K840" s="18"/>
      <c r="L840" s="18"/>
      <c r="M840" s="18"/>
      <c r="N840" s="18"/>
      <c r="O840" s="18"/>
      <c r="P840" s="18"/>
      <c r="Q840" s="18"/>
      <c r="R840" s="18"/>
      <c r="S840" s="18"/>
      <c r="T840" s="18"/>
      <c r="U840" s="18"/>
      <c r="V840" s="18"/>
      <c r="W840" s="18"/>
      <c r="X840" s="18"/>
      <c r="Y840" s="18"/>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c r="BC840" s="18"/>
      <c r="BD840" s="18"/>
      <c r="BE840" s="18"/>
      <c r="BF840" s="18"/>
      <c r="BG840" s="18"/>
      <c r="BH840" s="18"/>
      <c r="BI840" s="18"/>
      <c r="BJ840" s="18"/>
      <c r="BK840" s="18"/>
      <c r="BL840" s="18"/>
      <c r="BM840" s="18"/>
      <c r="BN840" s="18"/>
      <c r="BO840" s="18"/>
      <c r="BP840" s="18"/>
      <c r="BQ840" s="18"/>
      <c r="BR840" s="18"/>
      <c r="BS840" s="18"/>
      <c r="BT840" s="18"/>
      <c r="BU840" s="18"/>
      <c r="BV840" s="18"/>
      <c r="BW840" s="18"/>
      <c r="BX840" s="18"/>
      <c r="BY840" s="18"/>
      <c r="BZ840" s="18"/>
      <c r="CA840" s="18"/>
      <c r="CB840" s="18"/>
      <c r="CC840" s="18"/>
      <c r="CD840" s="18"/>
      <c r="CE840" s="18"/>
      <c r="CF840" s="18"/>
      <c r="CG840" s="18"/>
      <c r="CH840" s="18"/>
      <c r="CI840" s="18"/>
      <c r="CJ840" s="18"/>
      <c r="CK840" s="18"/>
      <c r="CL840" s="18"/>
      <c r="CM840" s="18"/>
      <c r="CN840" s="18"/>
      <c r="CO840" s="18"/>
      <c r="CP840" s="18"/>
      <c r="CQ840" s="18"/>
      <c r="CR840" s="18"/>
      <c r="CS840" s="18"/>
      <c r="CT840" s="18"/>
      <c r="CU840" s="18"/>
    </row>
    <row r="841" spans="1:99">
      <c r="A841" s="19"/>
      <c r="B841" s="19"/>
      <c r="C841" s="19"/>
      <c r="D841" s="19"/>
      <c r="E841" s="19"/>
      <c r="F841" s="19"/>
      <c r="G841" s="19"/>
      <c r="H841" s="19"/>
      <c r="I841" s="19"/>
      <c r="J841" s="19"/>
      <c r="K841" s="18"/>
      <c r="L841" s="18"/>
      <c r="M841" s="18"/>
      <c r="N841" s="18"/>
      <c r="O841" s="18"/>
      <c r="P841" s="18"/>
      <c r="Q841" s="18"/>
      <c r="R841" s="18"/>
      <c r="S841" s="18"/>
      <c r="T841" s="18"/>
      <c r="U841" s="18"/>
      <c r="V841" s="18"/>
      <c r="W841" s="18"/>
      <c r="X841" s="18"/>
      <c r="Y841" s="18"/>
      <c r="Z841" s="18"/>
      <c r="AA841" s="18"/>
      <c r="AB841" s="18"/>
      <c r="AC841" s="18"/>
      <c r="AD841" s="18"/>
      <c r="AE841" s="18"/>
      <c r="AF841" s="18"/>
      <c r="AG841" s="18"/>
      <c r="AH841" s="18"/>
      <c r="AI841" s="18"/>
      <c r="AJ841" s="18"/>
      <c r="AK841" s="18"/>
      <c r="AL841" s="18"/>
      <c r="AM841" s="18"/>
      <c r="AN841" s="18"/>
      <c r="AO841" s="18"/>
      <c r="AP841" s="18"/>
      <c r="AQ841" s="18"/>
      <c r="AR841" s="18"/>
      <c r="AS841" s="18"/>
      <c r="AT841" s="18"/>
      <c r="AU841" s="18"/>
      <c r="AV841" s="18"/>
      <c r="AW841" s="18"/>
      <c r="AX841" s="18"/>
      <c r="AY841" s="18"/>
      <c r="AZ841" s="18"/>
      <c r="BA841" s="18"/>
      <c r="BB841" s="18"/>
      <c r="BC841" s="18"/>
      <c r="BD841" s="18"/>
      <c r="BE841" s="18"/>
      <c r="BF841" s="18"/>
      <c r="BG841" s="18"/>
      <c r="BH841" s="18"/>
      <c r="BI841" s="18"/>
      <c r="BJ841" s="18"/>
      <c r="BK841" s="18"/>
      <c r="BL841" s="18"/>
      <c r="BM841" s="18"/>
      <c r="BN841" s="18"/>
      <c r="BO841" s="18"/>
      <c r="BP841" s="18"/>
      <c r="BQ841" s="18"/>
      <c r="BR841" s="18"/>
      <c r="BS841" s="18"/>
      <c r="BT841" s="18"/>
      <c r="BU841" s="18"/>
      <c r="BV841" s="18"/>
      <c r="BW841" s="18"/>
      <c r="BX841" s="18"/>
      <c r="BY841" s="18"/>
      <c r="BZ841" s="18"/>
      <c r="CA841" s="18"/>
      <c r="CB841" s="18"/>
      <c r="CC841" s="18"/>
      <c r="CD841" s="18"/>
      <c r="CE841" s="18"/>
      <c r="CF841" s="18"/>
      <c r="CG841" s="18"/>
      <c r="CH841" s="18"/>
      <c r="CI841" s="18"/>
      <c r="CJ841" s="18"/>
      <c r="CK841" s="18"/>
      <c r="CL841" s="18"/>
      <c r="CM841" s="18"/>
      <c r="CN841" s="18"/>
      <c r="CO841" s="18"/>
      <c r="CP841" s="18"/>
      <c r="CQ841" s="18"/>
      <c r="CR841" s="18"/>
      <c r="CS841" s="18"/>
      <c r="CT841" s="18"/>
      <c r="CU841" s="18"/>
    </row>
    <row r="842" spans="1:99">
      <c r="A842" s="19"/>
      <c r="B842" s="19"/>
      <c r="C842" s="19"/>
      <c r="D842" s="19"/>
      <c r="E842" s="19"/>
      <c r="F842" s="19"/>
      <c r="G842" s="19"/>
      <c r="H842" s="19"/>
      <c r="I842" s="19"/>
      <c r="J842" s="19"/>
      <c r="K842" s="18"/>
      <c r="L842" s="18"/>
      <c r="M842" s="18"/>
      <c r="N842" s="18"/>
      <c r="O842" s="18"/>
      <c r="P842" s="18"/>
      <c r="Q842" s="18"/>
      <c r="R842" s="18"/>
      <c r="S842" s="18"/>
      <c r="T842" s="18"/>
      <c r="U842" s="18"/>
      <c r="V842" s="18"/>
      <c r="W842" s="18"/>
      <c r="X842" s="18"/>
      <c r="Y842" s="18"/>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c r="BC842" s="18"/>
      <c r="BD842" s="18"/>
      <c r="BE842" s="18"/>
      <c r="BF842" s="18"/>
      <c r="BG842" s="18"/>
      <c r="BH842" s="18"/>
      <c r="BI842" s="18"/>
      <c r="BJ842" s="18"/>
      <c r="BK842" s="18"/>
      <c r="BL842" s="18"/>
      <c r="BM842" s="18"/>
      <c r="BN842" s="18"/>
      <c r="BO842" s="18"/>
      <c r="BP842" s="18"/>
      <c r="BQ842" s="18"/>
      <c r="BR842" s="18"/>
      <c r="BS842" s="18"/>
      <c r="BT842" s="18"/>
      <c r="BU842" s="18"/>
      <c r="BV842" s="18"/>
      <c r="BW842" s="18"/>
      <c r="BX842" s="18"/>
      <c r="BY842" s="18"/>
      <c r="BZ842" s="18"/>
      <c r="CA842" s="18"/>
      <c r="CB842" s="18"/>
      <c r="CC842" s="18"/>
      <c r="CD842" s="18"/>
      <c r="CE842" s="18"/>
      <c r="CF842" s="18"/>
      <c r="CG842" s="18"/>
      <c r="CH842" s="18"/>
      <c r="CI842" s="18"/>
      <c r="CJ842" s="18"/>
      <c r="CK842" s="18"/>
      <c r="CL842" s="18"/>
      <c r="CM842" s="18"/>
      <c r="CN842" s="18"/>
      <c r="CO842" s="18"/>
      <c r="CP842" s="18"/>
      <c r="CQ842" s="18"/>
      <c r="CR842" s="18"/>
      <c r="CS842" s="18"/>
      <c r="CT842" s="18"/>
      <c r="CU842" s="18"/>
    </row>
    <row r="843" spans="1:99">
      <c r="A843" s="19"/>
      <c r="B843" s="19"/>
      <c r="C843" s="19"/>
      <c r="D843" s="19"/>
      <c r="E843" s="19"/>
      <c r="F843" s="19"/>
      <c r="G843" s="19"/>
      <c r="H843" s="19"/>
      <c r="I843" s="19"/>
      <c r="J843" s="19"/>
      <c r="K843" s="18"/>
      <c r="L843" s="18"/>
      <c r="M843" s="18"/>
      <c r="N843" s="18"/>
      <c r="O843" s="18"/>
      <c r="P843" s="18"/>
      <c r="Q843" s="18"/>
      <c r="R843" s="18"/>
      <c r="S843" s="18"/>
      <c r="T843" s="18"/>
      <c r="U843" s="18"/>
      <c r="V843" s="18"/>
      <c r="W843" s="18"/>
      <c r="X843" s="18"/>
      <c r="Y843" s="18"/>
      <c r="Z843" s="18"/>
      <c r="AA843" s="18"/>
      <c r="AB843" s="18"/>
      <c r="AC843" s="18"/>
      <c r="AD843" s="18"/>
      <c r="AE843" s="18"/>
      <c r="AF843" s="18"/>
      <c r="AG843" s="18"/>
      <c r="AH843" s="18"/>
      <c r="AI843" s="18"/>
      <c r="AJ843" s="18"/>
      <c r="AK843" s="18"/>
      <c r="AL843" s="18"/>
      <c r="AM843" s="18"/>
      <c r="AN843" s="18"/>
      <c r="AO843" s="18"/>
      <c r="AP843" s="18"/>
      <c r="AQ843" s="18"/>
      <c r="AR843" s="18"/>
      <c r="AS843" s="18"/>
      <c r="AT843" s="18"/>
      <c r="AU843" s="18"/>
      <c r="AV843" s="18"/>
      <c r="AW843" s="18"/>
      <c r="AX843" s="18"/>
      <c r="AY843" s="18"/>
      <c r="AZ843" s="18"/>
      <c r="BA843" s="18"/>
      <c r="BB843" s="18"/>
      <c r="BC843" s="18"/>
      <c r="BD843" s="18"/>
      <c r="BE843" s="18"/>
      <c r="BF843" s="18"/>
      <c r="BG843" s="18"/>
      <c r="BH843" s="18"/>
      <c r="BI843" s="18"/>
      <c r="BJ843" s="18"/>
      <c r="BK843" s="18"/>
      <c r="BL843" s="18"/>
      <c r="BM843" s="18"/>
      <c r="BN843" s="18"/>
      <c r="BO843" s="18"/>
      <c r="BP843" s="18"/>
      <c r="BQ843" s="18"/>
      <c r="BR843" s="18"/>
      <c r="BS843" s="18"/>
      <c r="BT843" s="18"/>
      <c r="BU843" s="18"/>
      <c r="BV843" s="18"/>
      <c r="BW843" s="18"/>
      <c r="BX843" s="18"/>
      <c r="BY843" s="18"/>
      <c r="BZ843" s="18"/>
      <c r="CA843" s="18"/>
      <c r="CB843" s="18"/>
      <c r="CC843" s="18"/>
      <c r="CD843" s="18"/>
      <c r="CE843" s="18"/>
      <c r="CF843" s="18"/>
      <c r="CG843" s="18"/>
      <c r="CH843" s="18"/>
      <c r="CI843" s="18"/>
      <c r="CJ843" s="18"/>
      <c r="CK843" s="18"/>
      <c r="CL843" s="18"/>
      <c r="CM843" s="18"/>
      <c r="CN843" s="18"/>
      <c r="CO843" s="18"/>
      <c r="CP843" s="18"/>
      <c r="CQ843" s="18"/>
      <c r="CR843" s="18"/>
      <c r="CS843" s="18"/>
      <c r="CT843" s="18"/>
      <c r="CU843" s="18"/>
    </row>
    <row r="844" spans="1:99">
      <c r="A844" s="19"/>
      <c r="B844" s="19"/>
      <c r="C844" s="19"/>
      <c r="D844" s="19"/>
      <c r="E844" s="19"/>
      <c r="F844" s="19"/>
      <c r="G844" s="19"/>
      <c r="H844" s="19"/>
      <c r="I844" s="19"/>
      <c r="J844" s="19"/>
      <c r="K844" s="18"/>
      <c r="L844" s="18"/>
      <c r="M844" s="18"/>
      <c r="N844" s="18"/>
      <c r="O844" s="18"/>
      <c r="P844" s="18"/>
      <c r="Q844" s="18"/>
      <c r="R844" s="18"/>
      <c r="S844" s="18"/>
      <c r="T844" s="18"/>
      <c r="U844" s="18"/>
      <c r="V844" s="18"/>
      <c r="W844" s="18"/>
      <c r="X844" s="18"/>
      <c r="Y844" s="18"/>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c r="BC844" s="18"/>
      <c r="BD844" s="18"/>
      <c r="BE844" s="18"/>
      <c r="BF844" s="18"/>
      <c r="BG844" s="18"/>
      <c r="BH844" s="18"/>
      <c r="BI844" s="18"/>
      <c r="BJ844" s="18"/>
      <c r="BK844" s="18"/>
      <c r="BL844" s="18"/>
      <c r="BM844" s="18"/>
      <c r="BN844" s="18"/>
      <c r="BO844" s="18"/>
      <c r="BP844" s="18"/>
      <c r="BQ844" s="18"/>
      <c r="BR844" s="18"/>
      <c r="BS844" s="18"/>
      <c r="BT844" s="18"/>
      <c r="BU844" s="18"/>
      <c r="BV844" s="18"/>
      <c r="BW844" s="18"/>
      <c r="BX844" s="18"/>
      <c r="BY844" s="18"/>
      <c r="BZ844" s="18"/>
      <c r="CA844" s="18"/>
      <c r="CB844" s="18"/>
      <c r="CC844" s="18"/>
      <c r="CD844" s="18"/>
      <c r="CE844" s="18"/>
      <c r="CF844" s="18"/>
      <c r="CG844" s="18"/>
      <c r="CH844" s="18"/>
      <c r="CI844" s="18"/>
      <c r="CJ844" s="18"/>
      <c r="CK844" s="18"/>
      <c r="CL844" s="18"/>
      <c r="CM844" s="18"/>
      <c r="CN844" s="18"/>
      <c r="CO844" s="18"/>
      <c r="CP844" s="18"/>
      <c r="CQ844" s="18"/>
      <c r="CR844" s="18"/>
      <c r="CS844" s="18"/>
      <c r="CT844" s="18"/>
      <c r="CU844" s="18"/>
    </row>
    <row r="845" spans="1:99">
      <c r="A845" s="19"/>
      <c r="B845" s="19"/>
      <c r="C845" s="19"/>
      <c r="D845" s="19"/>
      <c r="E845" s="19"/>
      <c r="F845" s="19"/>
      <c r="G845" s="19"/>
      <c r="H845" s="19"/>
      <c r="I845" s="19"/>
      <c r="J845" s="19"/>
      <c r="K845" s="18"/>
      <c r="L845" s="18"/>
      <c r="M845" s="18"/>
      <c r="N845" s="18"/>
      <c r="O845" s="18"/>
      <c r="P845" s="18"/>
      <c r="Q845" s="18"/>
      <c r="R845" s="18"/>
      <c r="S845" s="18"/>
      <c r="T845" s="18"/>
      <c r="U845" s="18"/>
      <c r="V845" s="18"/>
      <c r="W845" s="18"/>
      <c r="X845" s="18"/>
      <c r="Y845" s="18"/>
      <c r="Z845" s="18"/>
      <c r="AA845" s="18"/>
      <c r="AB845" s="18"/>
      <c r="AC845" s="18"/>
      <c r="AD845" s="18"/>
      <c r="AE845" s="18"/>
      <c r="AF845" s="18"/>
      <c r="AG845" s="18"/>
      <c r="AH845" s="18"/>
      <c r="AI845" s="18"/>
      <c r="AJ845" s="18"/>
      <c r="AK845" s="18"/>
      <c r="AL845" s="18"/>
      <c r="AM845" s="18"/>
      <c r="AN845" s="18"/>
      <c r="AO845" s="18"/>
      <c r="AP845" s="18"/>
      <c r="AQ845" s="18"/>
      <c r="AR845" s="18"/>
      <c r="AS845" s="18"/>
      <c r="AT845" s="18"/>
      <c r="AU845" s="18"/>
      <c r="AV845" s="18"/>
      <c r="AW845" s="18"/>
      <c r="AX845" s="18"/>
      <c r="AY845" s="18"/>
      <c r="AZ845" s="18"/>
      <c r="BA845" s="18"/>
      <c r="BB845" s="18"/>
      <c r="BC845" s="18"/>
      <c r="BD845" s="18"/>
      <c r="BE845" s="18"/>
      <c r="BF845" s="18"/>
      <c r="BG845" s="18"/>
      <c r="BH845" s="18"/>
      <c r="BI845" s="18"/>
      <c r="BJ845" s="18"/>
      <c r="BK845" s="18"/>
      <c r="BL845" s="18"/>
      <c r="BM845" s="18"/>
      <c r="BN845" s="18"/>
      <c r="BO845" s="18"/>
      <c r="BP845" s="18"/>
      <c r="BQ845" s="18"/>
      <c r="BR845" s="18"/>
      <c r="BS845" s="18"/>
      <c r="BT845" s="18"/>
      <c r="BU845" s="18"/>
      <c r="BV845" s="18"/>
      <c r="BW845" s="18"/>
      <c r="BX845" s="18"/>
      <c r="BY845" s="18"/>
      <c r="BZ845" s="18"/>
      <c r="CA845" s="18"/>
      <c r="CB845" s="18"/>
      <c r="CC845" s="18"/>
      <c r="CD845" s="18"/>
      <c r="CE845" s="18"/>
      <c r="CF845" s="18"/>
      <c r="CG845" s="18"/>
      <c r="CH845" s="18"/>
      <c r="CI845" s="18"/>
      <c r="CJ845" s="18"/>
      <c r="CK845" s="18"/>
      <c r="CL845" s="18"/>
      <c r="CM845" s="18"/>
      <c r="CN845" s="18"/>
      <c r="CO845" s="18"/>
      <c r="CP845" s="18"/>
      <c r="CQ845" s="18"/>
      <c r="CR845" s="18"/>
      <c r="CS845" s="18"/>
      <c r="CT845" s="18"/>
      <c r="CU845" s="18"/>
    </row>
    <row r="846" spans="1:99">
      <c r="A846" s="19"/>
      <c r="B846" s="19"/>
      <c r="C846" s="19"/>
      <c r="D846" s="19"/>
      <c r="E846" s="19"/>
      <c r="F846" s="19"/>
      <c r="G846" s="19"/>
      <c r="H846" s="19"/>
      <c r="I846" s="19"/>
      <c r="J846" s="19"/>
      <c r="K846" s="18"/>
      <c r="L846" s="18"/>
      <c r="M846" s="18"/>
      <c r="N846" s="18"/>
      <c r="O846" s="18"/>
      <c r="P846" s="18"/>
      <c r="Q846" s="18"/>
      <c r="R846" s="18"/>
      <c r="S846" s="18"/>
      <c r="T846" s="18"/>
      <c r="U846" s="18"/>
      <c r="V846" s="18"/>
      <c r="W846" s="18"/>
      <c r="X846" s="18"/>
      <c r="Y846" s="18"/>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c r="BC846" s="18"/>
      <c r="BD846" s="18"/>
      <c r="BE846" s="18"/>
      <c r="BF846" s="18"/>
      <c r="BG846" s="18"/>
      <c r="BH846" s="18"/>
      <c r="BI846" s="18"/>
      <c r="BJ846" s="18"/>
      <c r="BK846" s="18"/>
      <c r="BL846" s="18"/>
      <c r="BM846" s="18"/>
      <c r="BN846" s="18"/>
      <c r="BO846" s="18"/>
      <c r="BP846" s="18"/>
      <c r="BQ846" s="18"/>
      <c r="BR846" s="18"/>
      <c r="BS846" s="18"/>
      <c r="BT846" s="18"/>
      <c r="BU846" s="18"/>
      <c r="BV846" s="18"/>
      <c r="BW846" s="18"/>
      <c r="BX846" s="18"/>
      <c r="BY846" s="18"/>
      <c r="BZ846" s="18"/>
      <c r="CA846" s="18"/>
      <c r="CB846" s="18"/>
      <c r="CC846" s="18"/>
      <c r="CD846" s="18"/>
      <c r="CE846" s="18"/>
      <c r="CF846" s="18"/>
      <c r="CG846" s="18"/>
      <c r="CH846" s="18"/>
      <c r="CI846" s="18"/>
      <c r="CJ846" s="18"/>
      <c r="CK846" s="18"/>
      <c r="CL846" s="18"/>
      <c r="CM846" s="18"/>
      <c r="CN846" s="18"/>
      <c r="CO846" s="18"/>
      <c r="CP846" s="18"/>
      <c r="CQ846" s="18"/>
      <c r="CR846" s="18"/>
      <c r="CS846" s="18"/>
      <c r="CT846" s="18"/>
      <c r="CU846" s="18"/>
    </row>
    <row r="847" spans="1:99">
      <c r="A847" s="19"/>
      <c r="B847" s="19"/>
      <c r="C847" s="19"/>
      <c r="D847" s="19"/>
      <c r="E847" s="19"/>
      <c r="F847" s="19"/>
      <c r="G847" s="19"/>
      <c r="H847" s="19"/>
      <c r="I847" s="19"/>
      <c r="J847" s="19"/>
      <c r="K847" s="18"/>
      <c r="L847" s="18"/>
      <c r="M847" s="18"/>
      <c r="N847" s="18"/>
      <c r="O847" s="18"/>
      <c r="P847" s="18"/>
      <c r="Q847" s="18"/>
      <c r="R847" s="18"/>
      <c r="S847" s="18"/>
      <c r="T847" s="18"/>
      <c r="U847" s="18"/>
      <c r="V847" s="18"/>
      <c r="W847" s="18"/>
      <c r="X847" s="18"/>
      <c r="Y847" s="18"/>
      <c r="Z847" s="18"/>
      <c r="AA847" s="18"/>
      <c r="AB847" s="18"/>
      <c r="AC847" s="18"/>
      <c r="AD847" s="18"/>
      <c r="AE847" s="18"/>
      <c r="AF847" s="18"/>
      <c r="AG847" s="18"/>
      <c r="AH847" s="18"/>
      <c r="AI847" s="18"/>
      <c r="AJ847" s="18"/>
      <c r="AK847" s="18"/>
      <c r="AL847" s="18"/>
      <c r="AM847" s="18"/>
      <c r="AN847" s="18"/>
      <c r="AO847" s="18"/>
      <c r="AP847" s="18"/>
      <c r="AQ847" s="18"/>
      <c r="AR847" s="18"/>
      <c r="AS847" s="18"/>
      <c r="AT847" s="18"/>
      <c r="AU847" s="18"/>
      <c r="AV847" s="18"/>
      <c r="AW847" s="18"/>
      <c r="AX847" s="18"/>
      <c r="AY847" s="18"/>
      <c r="AZ847" s="18"/>
      <c r="BA847" s="18"/>
      <c r="BB847" s="18"/>
      <c r="BC847" s="18"/>
      <c r="BD847" s="18"/>
      <c r="BE847" s="18"/>
      <c r="BF847" s="18"/>
      <c r="BG847" s="18"/>
      <c r="BH847" s="18"/>
      <c r="BI847" s="18"/>
      <c r="BJ847" s="18"/>
      <c r="BK847" s="18"/>
      <c r="BL847" s="18"/>
      <c r="BM847" s="18"/>
      <c r="BN847" s="18"/>
      <c r="BO847" s="18"/>
      <c r="BP847" s="18"/>
      <c r="BQ847" s="18"/>
      <c r="BR847" s="18"/>
      <c r="BS847" s="18"/>
      <c r="BT847" s="18"/>
      <c r="BU847" s="18"/>
      <c r="BV847" s="18"/>
      <c r="BW847" s="18"/>
      <c r="BX847" s="18"/>
      <c r="BY847" s="18"/>
      <c r="BZ847" s="18"/>
      <c r="CA847" s="18"/>
      <c r="CB847" s="18"/>
      <c r="CC847" s="18"/>
      <c r="CD847" s="18"/>
      <c r="CE847" s="18"/>
      <c r="CF847" s="18"/>
      <c r="CG847" s="18"/>
      <c r="CH847" s="18"/>
      <c r="CI847" s="18"/>
      <c r="CJ847" s="18"/>
      <c r="CK847" s="18"/>
      <c r="CL847" s="18"/>
      <c r="CM847" s="18"/>
      <c r="CN847" s="18"/>
      <c r="CO847" s="18"/>
      <c r="CP847" s="18"/>
      <c r="CQ847" s="18"/>
      <c r="CR847" s="18"/>
      <c r="CS847" s="18"/>
      <c r="CT847" s="18"/>
      <c r="CU847" s="18"/>
    </row>
    <row r="848" spans="1:99">
      <c r="A848" s="19"/>
      <c r="B848" s="19"/>
      <c r="C848" s="19"/>
      <c r="D848" s="19"/>
      <c r="E848" s="19"/>
      <c r="F848" s="19"/>
      <c r="G848" s="19"/>
      <c r="H848" s="19"/>
      <c r="I848" s="19"/>
      <c r="J848" s="19"/>
      <c r="K848" s="18"/>
      <c r="L848" s="18"/>
      <c r="M848" s="18"/>
      <c r="N848" s="18"/>
      <c r="O848" s="18"/>
      <c r="P848" s="18"/>
      <c r="Q848" s="18"/>
      <c r="R848" s="18"/>
      <c r="S848" s="18"/>
      <c r="T848" s="18"/>
      <c r="U848" s="18"/>
      <c r="V848" s="18"/>
      <c r="W848" s="18"/>
      <c r="X848" s="18"/>
      <c r="Y848" s="18"/>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c r="BC848" s="18"/>
      <c r="BD848" s="18"/>
      <c r="BE848" s="18"/>
      <c r="BF848" s="18"/>
      <c r="BG848" s="18"/>
      <c r="BH848" s="18"/>
      <c r="BI848" s="18"/>
      <c r="BJ848" s="18"/>
      <c r="BK848" s="18"/>
      <c r="BL848" s="18"/>
      <c r="BM848" s="18"/>
      <c r="BN848" s="18"/>
      <c r="BO848" s="18"/>
      <c r="BP848" s="18"/>
      <c r="BQ848" s="18"/>
      <c r="BR848" s="18"/>
      <c r="BS848" s="18"/>
      <c r="BT848" s="18"/>
      <c r="BU848" s="18"/>
      <c r="BV848" s="18"/>
      <c r="BW848" s="18"/>
      <c r="BX848" s="18"/>
      <c r="BY848" s="18"/>
      <c r="BZ848" s="18"/>
      <c r="CA848" s="18"/>
      <c r="CB848" s="18"/>
      <c r="CC848" s="18"/>
      <c r="CD848" s="18"/>
      <c r="CE848" s="18"/>
      <c r="CF848" s="18"/>
      <c r="CG848" s="18"/>
      <c r="CH848" s="18"/>
      <c r="CI848" s="18"/>
      <c r="CJ848" s="18"/>
      <c r="CK848" s="18"/>
      <c r="CL848" s="18"/>
      <c r="CM848" s="18"/>
      <c r="CN848" s="18"/>
      <c r="CO848" s="18"/>
      <c r="CP848" s="18"/>
      <c r="CQ848" s="18"/>
      <c r="CR848" s="18"/>
      <c r="CS848" s="18"/>
      <c r="CT848" s="18"/>
      <c r="CU848" s="18"/>
    </row>
    <row r="849" spans="1:99">
      <c r="A849" s="19"/>
      <c r="B849" s="19"/>
      <c r="C849" s="19"/>
      <c r="D849" s="19"/>
      <c r="E849" s="19"/>
      <c r="F849" s="19"/>
      <c r="G849" s="19"/>
      <c r="H849" s="19"/>
      <c r="I849" s="19"/>
      <c r="J849" s="19"/>
      <c r="K849" s="18"/>
      <c r="L849" s="18"/>
      <c r="M849" s="18"/>
      <c r="N849" s="18"/>
      <c r="O849" s="18"/>
      <c r="P849" s="18"/>
      <c r="Q849" s="18"/>
      <c r="R849" s="18"/>
      <c r="S849" s="18"/>
      <c r="T849" s="18"/>
      <c r="U849" s="18"/>
      <c r="V849" s="18"/>
      <c r="W849" s="18"/>
      <c r="X849" s="18"/>
      <c r="Y849" s="18"/>
      <c r="Z849" s="18"/>
      <c r="AA849" s="18"/>
      <c r="AB849" s="18"/>
      <c r="AC849" s="18"/>
      <c r="AD849" s="18"/>
      <c r="AE849" s="18"/>
      <c r="AF849" s="18"/>
      <c r="AG849" s="18"/>
      <c r="AH849" s="18"/>
      <c r="AI849" s="18"/>
      <c r="AJ849" s="18"/>
      <c r="AK849" s="18"/>
      <c r="AL849" s="18"/>
      <c r="AM849" s="18"/>
      <c r="AN849" s="18"/>
      <c r="AO849" s="18"/>
      <c r="AP849" s="18"/>
      <c r="AQ849" s="18"/>
      <c r="AR849" s="18"/>
      <c r="AS849" s="18"/>
      <c r="AT849" s="18"/>
      <c r="AU849" s="18"/>
      <c r="AV849" s="18"/>
      <c r="AW849" s="18"/>
      <c r="AX849" s="18"/>
      <c r="AY849" s="18"/>
      <c r="AZ849" s="18"/>
      <c r="BA849" s="18"/>
      <c r="BB849" s="18"/>
      <c r="BC849" s="18"/>
      <c r="BD849" s="18"/>
      <c r="BE849" s="18"/>
      <c r="BF849" s="18"/>
      <c r="BG849" s="18"/>
      <c r="BH849" s="18"/>
      <c r="BI849" s="18"/>
      <c r="BJ849" s="18"/>
      <c r="BK849" s="18"/>
      <c r="BL849" s="18"/>
      <c r="BM849" s="18"/>
      <c r="BN849" s="18"/>
      <c r="BO849" s="18"/>
      <c r="BP849" s="18"/>
      <c r="BQ849" s="18"/>
      <c r="BR849" s="18"/>
      <c r="BS849" s="18"/>
      <c r="BT849" s="18"/>
      <c r="BU849" s="18"/>
      <c r="BV849" s="18"/>
      <c r="BW849" s="18"/>
      <c r="BX849" s="18"/>
      <c r="BY849" s="18"/>
      <c r="BZ849" s="18"/>
      <c r="CA849" s="18"/>
      <c r="CB849" s="18"/>
      <c r="CC849" s="18"/>
      <c r="CD849" s="18"/>
      <c r="CE849" s="18"/>
      <c r="CF849" s="18"/>
      <c r="CG849" s="18"/>
      <c r="CH849" s="18"/>
      <c r="CI849" s="18"/>
      <c r="CJ849" s="18"/>
      <c r="CK849" s="18"/>
      <c r="CL849" s="18"/>
      <c r="CM849" s="18"/>
      <c r="CN849" s="18"/>
      <c r="CO849" s="18"/>
      <c r="CP849" s="18"/>
      <c r="CQ849" s="18"/>
      <c r="CR849" s="18"/>
      <c r="CS849" s="18"/>
      <c r="CT849" s="18"/>
      <c r="CU849" s="18"/>
    </row>
    <row r="850" spans="1:99">
      <c r="A850" s="19"/>
      <c r="B850" s="19"/>
      <c r="C850" s="19"/>
      <c r="D850" s="19"/>
      <c r="E850" s="19"/>
      <c r="F850" s="19"/>
      <c r="G850" s="19"/>
      <c r="H850" s="19"/>
      <c r="I850" s="19"/>
      <c r="J850" s="19"/>
      <c r="K850" s="18"/>
      <c r="L850" s="18"/>
      <c r="M850" s="18"/>
      <c r="N850" s="18"/>
      <c r="O850" s="18"/>
      <c r="P850" s="18"/>
      <c r="Q850" s="18"/>
      <c r="R850" s="18"/>
      <c r="S850" s="18"/>
      <c r="T850" s="18"/>
      <c r="U850" s="18"/>
      <c r="V850" s="18"/>
      <c r="W850" s="18"/>
      <c r="X850" s="18"/>
      <c r="Y850" s="18"/>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c r="BC850" s="18"/>
      <c r="BD850" s="18"/>
      <c r="BE850" s="18"/>
      <c r="BF850" s="18"/>
      <c r="BG850" s="18"/>
      <c r="BH850" s="18"/>
      <c r="BI850" s="18"/>
      <c r="BJ850" s="18"/>
      <c r="BK850" s="18"/>
      <c r="BL850" s="18"/>
      <c r="BM850" s="18"/>
      <c r="BN850" s="18"/>
      <c r="BO850" s="18"/>
      <c r="BP850" s="18"/>
      <c r="BQ850" s="18"/>
      <c r="BR850" s="18"/>
      <c r="BS850" s="18"/>
      <c r="BT850" s="18"/>
      <c r="BU850" s="18"/>
      <c r="BV850" s="18"/>
      <c r="BW850" s="18"/>
      <c r="BX850" s="18"/>
      <c r="BY850" s="18"/>
      <c r="BZ850" s="18"/>
      <c r="CA850" s="18"/>
      <c r="CB850" s="18"/>
      <c r="CC850" s="18"/>
      <c r="CD850" s="18"/>
      <c r="CE850" s="18"/>
      <c r="CF850" s="18"/>
      <c r="CG850" s="18"/>
      <c r="CH850" s="18"/>
      <c r="CI850" s="18"/>
      <c r="CJ850" s="18"/>
      <c r="CK850" s="18"/>
      <c r="CL850" s="18"/>
      <c r="CM850" s="18"/>
      <c r="CN850" s="18"/>
      <c r="CO850" s="18"/>
      <c r="CP850" s="18"/>
      <c r="CQ850" s="18"/>
      <c r="CR850" s="18"/>
      <c r="CS850" s="18"/>
      <c r="CT850" s="18"/>
      <c r="CU850" s="18"/>
    </row>
    <row r="851" spans="1:99">
      <c r="A851" s="19"/>
      <c r="B851" s="19"/>
      <c r="C851" s="19"/>
      <c r="D851" s="19"/>
      <c r="E851" s="19"/>
      <c r="F851" s="19"/>
      <c r="G851" s="19"/>
      <c r="H851" s="19"/>
      <c r="I851" s="19"/>
      <c r="J851" s="19"/>
      <c r="K851" s="18"/>
      <c r="L851" s="18"/>
      <c r="M851" s="18"/>
      <c r="N851" s="18"/>
      <c r="O851" s="18"/>
      <c r="P851" s="18"/>
      <c r="Q851" s="18"/>
      <c r="R851" s="18"/>
      <c r="S851" s="18"/>
      <c r="T851" s="18"/>
      <c r="U851" s="18"/>
      <c r="V851" s="18"/>
      <c r="W851" s="18"/>
      <c r="X851" s="18"/>
      <c r="Y851" s="18"/>
      <c r="Z851" s="18"/>
      <c r="AA851" s="18"/>
      <c r="AB851" s="18"/>
      <c r="AC851" s="18"/>
      <c r="AD851" s="18"/>
      <c r="AE851" s="18"/>
      <c r="AF851" s="18"/>
      <c r="AG851" s="18"/>
      <c r="AH851" s="18"/>
      <c r="AI851" s="18"/>
      <c r="AJ851" s="18"/>
      <c r="AK851" s="18"/>
      <c r="AL851" s="18"/>
      <c r="AM851" s="18"/>
      <c r="AN851" s="18"/>
      <c r="AO851" s="18"/>
      <c r="AP851" s="18"/>
      <c r="AQ851" s="18"/>
      <c r="AR851" s="18"/>
      <c r="AS851" s="18"/>
      <c r="AT851" s="18"/>
      <c r="AU851" s="18"/>
      <c r="AV851" s="18"/>
      <c r="AW851" s="18"/>
      <c r="AX851" s="18"/>
      <c r="AY851" s="18"/>
      <c r="AZ851" s="18"/>
      <c r="BA851" s="18"/>
      <c r="BB851" s="18"/>
      <c r="BC851" s="18"/>
      <c r="BD851" s="18"/>
      <c r="BE851" s="18"/>
      <c r="BF851" s="18"/>
      <c r="BG851" s="18"/>
      <c r="BH851" s="18"/>
      <c r="BI851" s="18"/>
      <c r="BJ851" s="18"/>
      <c r="BK851" s="18"/>
      <c r="BL851" s="18"/>
      <c r="BM851" s="18"/>
      <c r="BN851" s="18"/>
      <c r="BO851" s="18"/>
      <c r="BP851" s="18"/>
      <c r="BQ851" s="18"/>
      <c r="BR851" s="18"/>
      <c r="BS851" s="18"/>
      <c r="BT851" s="18"/>
      <c r="BU851" s="18"/>
      <c r="BV851" s="18"/>
      <c r="BW851" s="18"/>
      <c r="BX851" s="18"/>
      <c r="BY851" s="18"/>
      <c r="BZ851" s="18"/>
      <c r="CA851" s="18"/>
      <c r="CB851" s="18"/>
      <c r="CC851" s="18"/>
      <c r="CD851" s="18"/>
      <c r="CE851" s="18"/>
      <c r="CF851" s="18"/>
      <c r="CG851" s="18"/>
      <c r="CH851" s="18"/>
      <c r="CI851" s="18"/>
      <c r="CJ851" s="18"/>
      <c r="CK851" s="18"/>
      <c r="CL851" s="18"/>
      <c r="CM851" s="18"/>
      <c r="CN851" s="18"/>
      <c r="CO851" s="18"/>
      <c r="CP851" s="18"/>
      <c r="CQ851" s="18"/>
      <c r="CR851" s="18"/>
      <c r="CS851" s="18"/>
      <c r="CT851" s="18"/>
      <c r="CU851" s="18"/>
    </row>
    <row r="852" spans="1:99">
      <c r="A852" s="19"/>
      <c r="B852" s="19"/>
      <c r="C852" s="19"/>
      <c r="D852" s="19"/>
      <c r="E852" s="19"/>
      <c r="F852" s="19"/>
      <c r="G852" s="19"/>
      <c r="H852" s="19"/>
      <c r="I852" s="19"/>
      <c r="J852" s="19"/>
      <c r="K852" s="18"/>
      <c r="L852" s="18"/>
      <c r="M852" s="18"/>
      <c r="N852" s="18"/>
      <c r="O852" s="18"/>
      <c r="P852" s="18"/>
      <c r="Q852" s="18"/>
      <c r="R852" s="18"/>
      <c r="S852" s="18"/>
      <c r="T852" s="18"/>
      <c r="U852" s="18"/>
      <c r="V852" s="18"/>
      <c r="W852" s="18"/>
      <c r="X852" s="18"/>
      <c r="Y852" s="18"/>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c r="BC852" s="18"/>
      <c r="BD852" s="18"/>
      <c r="BE852" s="18"/>
      <c r="BF852" s="18"/>
      <c r="BG852" s="18"/>
      <c r="BH852" s="18"/>
      <c r="BI852" s="18"/>
      <c r="BJ852" s="18"/>
      <c r="BK852" s="18"/>
      <c r="BL852" s="18"/>
      <c r="BM852" s="18"/>
      <c r="BN852" s="18"/>
      <c r="BO852" s="18"/>
      <c r="BP852" s="18"/>
      <c r="BQ852" s="18"/>
      <c r="BR852" s="18"/>
      <c r="BS852" s="18"/>
      <c r="BT852" s="18"/>
      <c r="BU852" s="18"/>
      <c r="BV852" s="18"/>
      <c r="BW852" s="18"/>
      <c r="BX852" s="18"/>
      <c r="BY852" s="18"/>
      <c r="BZ852" s="18"/>
      <c r="CA852" s="18"/>
      <c r="CB852" s="18"/>
      <c r="CC852" s="18"/>
      <c r="CD852" s="18"/>
      <c r="CE852" s="18"/>
      <c r="CF852" s="18"/>
      <c r="CG852" s="18"/>
      <c r="CH852" s="18"/>
      <c r="CI852" s="18"/>
      <c r="CJ852" s="18"/>
      <c r="CK852" s="18"/>
      <c r="CL852" s="18"/>
      <c r="CM852" s="18"/>
      <c r="CN852" s="18"/>
      <c r="CO852" s="18"/>
      <c r="CP852" s="18"/>
      <c r="CQ852" s="18"/>
      <c r="CR852" s="18"/>
      <c r="CS852" s="18"/>
      <c r="CT852" s="18"/>
      <c r="CU852" s="18"/>
    </row>
    <row r="853" spans="1:99">
      <c r="A853" s="19"/>
      <c r="B853" s="19"/>
      <c r="C853" s="19"/>
      <c r="D853" s="19"/>
      <c r="E853" s="19"/>
      <c r="F853" s="19"/>
      <c r="G853" s="19"/>
      <c r="H853" s="19"/>
      <c r="I853" s="19"/>
      <c r="J853" s="19"/>
      <c r="K853" s="18"/>
      <c r="L853" s="18"/>
      <c r="M853" s="18"/>
      <c r="N853" s="18"/>
      <c r="O853" s="18"/>
      <c r="P853" s="18"/>
      <c r="Q853" s="18"/>
      <c r="R853" s="18"/>
      <c r="S853" s="18"/>
      <c r="T853" s="18"/>
      <c r="U853" s="18"/>
      <c r="V853" s="18"/>
      <c r="W853" s="18"/>
      <c r="X853" s="18"/>
      <c r="Y853" s="18"/>
      <c r="Z853" s="18"/>
      <c r="AA853" s="18"/>
      <c r="AB853" s="18"/>
      <c r="AC853" s="18"/>
      <c r="AD853" s="18"/>
      <c r="AE853" s="18"/>
      <c r="AF853" s="18"/>
      <c r="AG853" s="18"/>
      <c r="AH853" s="18"/>
      <c r="AI853" s="18"/>
      <c r="AJ853" s="18"/>
      <c r="AK853" s="18"/>
      <c r="AL853" s="18"/>
      <c r="AM853" s="18"/>
      <c r="AN853" s="18"/>
      <c r="AO853" s="18"/>
      <c r="AP853" s="18"/>
      <c r="AQ853" s="18"/>
      <c r="AR853" s="18"/>
      <c r="AS853" s="18"/>
      <c r="AT853" s="18"/>
      <c r="AU853" s="18"/>
      <c r="AV853" s="18"/>
      <c r="AW853" s="18"/>
      <c r="AX853" s="18"/>
      <c r="AY853" s="18"/>
      <c r="AZ853" s="18"/>
      <c r="BA853" s="18"/>
      <c r="BB853" s="18"/>
      <c r="BC853" s="18"/>
      <c r="BD853" s="18"/>
      <c r="BE853" s="18"/>
      <c r="BF853" s="18"/>
      <c r="BG853" s="18"/>
      <c r="BH853" s="18"/>
      <c r="BI853" s="18"/>
      <c r="BJ853" s="18"/>
      <c r="BK853" s="18"/>
      <c r="BL853" s="18"/>
      <c r="BM853" s="18"/>
      <c r="BN853" s="18"/>
      <c r="BO853" s="18"/>
      <c r="BP853" s="18"/>
      <c r="BQ853" s="18"/>
      <c r="BR853" s="18"/>
      <c r="BS853" s="18"/>
      <c r="BT853" s="18"/>
      <c r="BU853" s="18"/>
      <c r="BV853" s="18"/>
      <c r="BW853" s="18"/>
      <c r="BX853" s="18"/>
      <c r="BY853" s="18"/>
      <c r="BZ853" s="18"/>
      <c r="CA853" s="18"/>
      <c r="CB853" s="18"/>
      <c r="CC853" s="18"/>
      <c r="CD853" s="18"/>
      <c r="CE853" s="18"/>
      <c r="CF853" s="18"/>
      <c r="CG853" s="18"/>
      <c r="CH853" s="18"/>
      <c r="CI853" s="18"/>
      <c r="CJ853" s="18"/>
      <c r="CK853" s="18"/>
      <c r="CL853" s="18"/>
      <c r="CM853" s="18"/>
      <c r="CN853" s="18"/>
      <c r="CO853" s="18"/>
      <c r="CP853" s="18"/>
      <c r="CQ853" s="18"/>
      <c r="CR853" s="18"/>
      <c r="CS853" s="18"/>
      <c r="CT853" s="18"/>
      <c r="CU853" s="18"/>
    </row>
    <row r="854" spans="1:99">
      <c r="A854" s="19"/>
      <c r="B854" s="19"/>
      <c r="C854" s="19"/>
      <c r="D854" s="19"/>
      <c r="E854" s="19"/>
      <c r="F854" s="19"/>
      <c r="G854" s="19"/>
      <c r="H854" s="19"/>
      <c r="I854" s="19"/>
      <c r="J854" s="19"/>
      <c r="K854" s="18"/>
      <c r="L854" s="18"/>
      <c r="M854" s="18"/>
      <c r="N854" s="18"/>
      <c r="O854" s="18"/>
      <c r="P854" s="18"/>
      <c r="Q854" s="18"/>
      <c r="R854" s="18"/>
      <c r="S854" s="18"/>
      <c r="T854" s="18"/>
      <c r="U854" s="18"/>
      <c r="V854" s="18"/>
      <c r="W854" s="18"/>
      <c r="X854" s="18"/>
      <c r="Y854" s="18"/>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c r="BC854" s="18"/>
      <c r="BD854" s="18"/>
      <c r="BE854" s="18"/>
      <c r="BF854" s="18"/>
      <c r="BG854" s="18"/>
      <c r="BH854" s="18"/>
      <c r="BI854" s="18"/>
      <c r="BJ854" s="18"/>
      <c r="BK854" s="18"/>
      <c r="BL854" s="18"/>
      <c r="BM854" s="18"/>
      <c r="BN854" s="18"/>
      <c r="BO854" s="18"/>
      <c r="BP854" s="18"/>
      <c r="BQ854" s="18"/>
      <c r="BR854" s="18"/>
      <c r="BS854" s="18"/>
      <c r="BT854" s="18"/>
      <c r="BU854" s="18"/>
      <c r="BV854" s="18"/>
      <c r="BW854" s="18"/>
      <c r="BX854" s="18"/>
      <c r="BY854" s="18"/>
      <c r="BZ854" s="18"/>
      <c r="CA854" s="18"/>
      <c r="CB854" s="18"/>
      <c r="CC854" s="18"/>
      <c r="CD854" s="18"/>
      <c r="CE854" s="18"/>
      <c r="CF854" s="18"/>
      <c r="CG854" s="18"/>
      <c r="CH854" s="18"/>
      <c r="CI854" s="18"/>
      <c r="CJ854" s="18"/>
      <c r="CK854" s="18"/>
      <c r="CL854" s="18"/>
      <c r="CM854" s="18"/>
      <c r="CN854" s="18"/>
      <c r="CO854" s="18"/>
      <c r="CP854" s="18"/>
      <c r="CQ854" s="18"/>
      <c r="CR854" s="18"/>
      <c r="CS854" s="18"/>
      <c r="CT854" s="18"/>
      <c r="CU854" s="18"/>
    </row>
    <row r="855" spans="1:99">
      <c r="A855" s="19"/>
      <c r="B855" s="19"/>
      <c r="C855" s="19"/>
      <c r="D855" s="19"/>
      <c r="E855" s="19"/>
      <c r="F855" s="19"/>
      <c r="G855" s="19"/>
      <c r="H855" s="19"/>
      <c r="I855" s="19"/>
      <c r="J855" s="19"/>
      <c r="K855" s="18"/>
      <c r="L855" s="18"/>
      <c r="M855" s="18"/>
      <c r="N855" s="18"/>
      <c r="O855" s="18"/>
      <c r="P855" s="18"/>
      <c r="Q855" s="18"/>
      <c r="R855" s="18"/>
      <c r="S855" s="18"/>
      <c r="T855" s="18"/>
      <c r="U855" s="18"/>
      <c r="V855" s="18"/>
      <c r="W855" s="18"/>
      <c r="X855" s="18"/>
      <c r="Y855" s="18"/>
      <c r="Z855" s="18"/>
      <c r="AA855" s="18"/>
      <c r="AB855" s="18"/>
      <c r="AC855" s="18"/>
      <c r="AD855" s="18"/>
      <c r="AE855" s="18"/>
      <c r="AF855" s="18"/>
      <c r="AG855" s="18"/>
      <c r="AH855" s="18"/>
      <c r="AI855" s="18"/>
      <c r="AJ855" s="18"/>
      <c r="AK855" s="18"/>
      <c r="AL855" s="18"/>
      <c r="AM855" s="18"/>
      <c r="AN855" s="18"/>
      <c r="AO855" s="18"/>
      <c r="AP855" s="18"/>
      <c r="AQ855" s="18"/>
      <c r="AR855" s="18"/>
      <c r="AS855" s="18"/>
      <c r="AT855" s="18"/>
      <c r="AU855" s="18"/>
      <c r="AV855" s="18"/>
      <c r="AW855" s="18"/>
      <c r="AX855" s="18"/>
      <c r="AY855" s="18"/>
      <c r="AZ855" s="18"/>
      <c r="BA855" s="18"/>
      <c r="BB855" s="18"/>
      <c r="BC855" s="18"/>
      <c r="BD855" s="18"/>
      <c r="BE855" s="18"/>
      <c r="BF855" s="18"/>
      <c r="BG855" s="18"/>
      <c r="BH855" s="18"/>
      <c r="BI855" s="18"/>
      <c r="BJ855" s="18"/>
      <c r="BK855" s="18"/>
      <c r="BL855" s="18"/>
      <c r="BM855" s="18"/>
      <c r="BN855" s="18"/>
      <c r="BO855" s="18"/>
      <c r="BP855" s="18"/>
      <c r="BQ855" s="18"/>
      <c r="BR855" s="18"/>
      <c r="BS855" s="18"/>
      <c r="BT855" s="18"/>
      <c r="BU855" s="18"/>
      <c r="BV855" s="18"/>
      <c r="BW855" s="18"/>
      <c r="BX855" s="18"/>
      <c r="BY855" s="18"/>
      <c r="BZ855" s="18"/>
      <c r="CA855" s="18"/>
      <c r="CB855" s="18"/>
      <c r="CC855" s="18"/>
      <c r="CD855" s="18"/>
      <c r="CE855" s="18"/>
      <c r="CF855" s="18"/>
      <c r="CG855" s="18"/>
      <c r="CH855" s="18"/>
      <c r="CI855" s="18"/>
      <c r="CJ855" s="18"/>
      <c r="CK855" s="18"/>
      <c r="CL855" s="18"/>
      <c r="CM855" s="18"/>
      <c r="CN855" s="18"/>
      <c r="CO855" s="18"/>
      <c r="CP855" s="18"/>
      <c r="CQ855" s="18"/>
      <c r="CR855" s="18"/>
      <c r="CS855" s="18"/>
      <c r="CT855" s="18"/>
      <c r="CU855" s="18"/>
    </row>
    <row r="856" spans="1:99">
      <c r="A856" s="19"/>
      <c r="B856" s="19"/>
      <c r="C856" s="19"/>
      <c r="D856" s="19"/>
      <c r="E856" s="19"/>
      <c r="F856" s="19"/>
      <c r="G856" s="19"/>
      <c r="H856" s="19"/>
      <c r="I856" s="19"/>
      <c r="J856" s="19"/>
      <c r="K856" s="18"/>
      <c r="L856" s="18"/>
      <c r="M856" s="18"/>
      <c r="N856" s="18"/>
      <c r="O856" s="18"/>
      <c r="P856" s="18"/>
      <c r="Q856" s="18"/>
      <c r="R856" s="18"/>
      <c r="S856" s="18"/>
      <c r="T856" s="18"/>
      <c r="U856" s="18"/>
      <c r="V856" s="18"/>
      <c r="W856" s="18"/>
      <c r="X856" s="18"/>
      <c r="Y856" s="18"/>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c r="BC856" s="18"/>
      <c r="BD856" s="18"/>
      <c r="BE856" s="18"/>
      <c r="BF856" s="18"/>
      <c r="BG856" s="18"/>
      <c r="BH856" s="18"/>
      <c r="BI856" s="18"/>
      <c r="BJ856" s="18"/>
      <c r="BK856" s="18"/>
      <c r="BL856" s="18"/>
      <c r="BM856" s="18"/>
      <c r="BN856" s="18"/>
      <c r="BO856" s="18"/>
      <c r="BP856" s="18"/>
      <c r="BQ856" s="18"/>
      <c r="BR856" s="18"/>
      <c r="BS856" s="18"/>
      <c r="BT856" s="18"/>
      <c r="BU856" s="18"/>
      <c r="BV856" s="18"/>
      <c r="BW856" s="18"/>
      <c r="BX856" s="18"/>
      <c r="BY856" s="18"/>
      <c r="BZ856" s="18"/>
      <c r="CA856" s="18"/>
      <c r="CB856" s="18"/>
      <c r="CC856" s="18"/>
      <c r="CD856" s="18"/>
      <c r="CE856" s="18"/>
      <c r="CF856" s="18"/>
      <c r="CG856" s="18"/>
      <c r="CH856" s="18"/>
      <c r="CI856" s="18"/>
      <c r="CJ856" s="18"/>
      <c r="CK856" s="18"/>
      <c r="CL856" s="18"/>
      <c r="CM856" s="18"/>
      <c r="CN856" s="18"/>
      <c r="CO856" s="18"/>
      <c r="CP856" s="18"/>
      <c r="CQ856" s="18"/>
      <c r="CR856" s="18"/>
      <c r="CS856" s="18"/>
      <c r="CT856" s="18"/>
      <c r="CU856" s="18"/>
    </row>
    <row r="857" spans="1:99">
      <c r="A857" s="19"/>
      <c r="B857" s="19"/>
      <c r="C857" s="19"/>
      <c r="D857" s="19"/>
      <c r="E857" s="19"/>
      <c r="F857" s="19"/>
      <c r="G857" s="19"/>
      <c r="H857" s="19"/>
      <c r="I857" s="19"/>
      <c r="J857" s="19"/>
      <c r="K857" s="18"/>
      <c r="L857" s="18"/>
      <c r="M857" s="18"/>
      <c r="N857" s="18"/>
      <c r="O857" s="18"/>
      <c r="P857" s="18"/>
      <c r="Q857" s="18"/>
      <c r="R857" s="18"/>
      <c r="S857" s="18"/>
      <c r="T857" s="18"/>
      <c r="U857" s="18"/>
      <c r="V857" s="18"/>
      <c r="W857" s="18"/>
      <c r="X857" s="18"/>
      <c r="Y857" s="18"/>
      <c r="Z857" s="18"/>
      <c r="AA857" s="18"/>
      <c r="AB857" s="18"/>
      <c r="AC857" s="18"/>
      <c r="AD857" s="18"/>
      <c r="AE857" s="18"/>
      <c r="AF857" s="18"/>
      <c r="AG857" s="18"/>
      <c r="AH857" s="18"/>
      <c r="AI857" s="18"/>
      <c r="AJ857" s="18"/>
      <c r="AK857" s="18"/>
      <c r="AL857" s="18"/>
      <c r="AM857" s="18"/>
      <c r="AN857" s="18"/>
      <c r="AO857" s="18"/>
      <c r="AP857" s="18"/>
      <c r="AQ857" s="18"/>
      <c r="AR857" s="18"/>
      <c r="AS857" s="18"/>
      <c r="AT857" s="18"/>
      <c r="AU857" s="18"/>
      <c r="AV857" s="18"/>
      <c r="AW857" s="18"/>
      <c r="AX857" s="18"/>
      <c r="AY857" s="18"/>
      <c r="AZ857" s="18"/>
      <c r="BA857" s="18"/>
      <c r="BB857" s="18"/>
      <c r="BC857" s="18"/>
      <c r="BD857" s="18"/>
      <c r="BE857" s="18"/>
      <c r="BF857" s="18"/>
      <c r="BG857" s="18"/>
      <c r="BH857" s="18"/>
      <c r="BI857" s="18"/>
      <c r="BJ857" s="18"/>
      <c r="BK857" s="18"/>
      <c r="BL857" s="18"/>
      <c r="BM857" s="18"/>
      <c r="BN857" s="18"/>
      <c r="BO857" s="18"/>
      <c r="BP857" s="18"/>
      <c r="BQ857" s="18"/>
      <c r="BR857" s="18"/>
      <c r="BS857" s="18"/>
      <c r="BT857" s="18"/>
      <c r="BU857" s="18"/>
      <c r="BV857" s="18"/>
      <c r="BW857" s="18"/>
      <c r="BX857" s="18"/>
      <c r="BY857" s="18"/>
      <c r="BZ857" s="18"/>
      <c r="CA857" s="18"/>
      <c r="CB857" s="18"/>
      <c r="CC857" s="18"/>
      <c r="CD857" s="18"/>
      <c r="CE857" s="18"/>
      <c r="CF857" s="18"/>
      <c r="CG857" s="18"/>
      <c r="CH857" s="18"/>
      <c r="CI857" s="18"/>
      <c r="CJ857" s="18"/>
      <c r="CK857" s="18"/>
      <c r="CL857" s="18"/>
      <c r="CM857" s="18"/>
      <c r="CN857" s="18"/>
      <c r="CO857" s="18"/>
      <c r="CP857" s="18"/>
      <c r="CQ857" s="18"/>
      <c r="CR857" s="18"/>
      <c r="CS857" s="18"/>
      <c r="CT857" s="18"/>
      <c r="CU857" s="18"/>
    </row>
    <row r="858" spans="1:99">
      <c r="A858" s="19"/>
      <c r="B858" s="19"/>
      <c r="C858" s="19"/>
      <c r="D858" s="19"/>
      <c r="E858" s="19"/>
      <c r="F858" s="19"/>
      <c r="G858" s="19"/>
      <c r="H858" s="19"/>
      <c r="I858" s="19"/>
      <c r="J858" s="19"/>
      <c r="K858" s="18"/>
      <c r="L858" s="18"/>
      <c r="M858" s="18"/>
      <c r="N858" s="18"/>
      <c r="O858" s="18"/>
      <c r="P858" s="18"/>
      <c r="Q858" s="18"/>
      <c r="R858" s="18"/>
      <c r="S858" s="18"/>
      <c r="T858" s="18"/>
      <c r="U858" s="18"/>
      <c r="V858" s="18"/>
      <c r="W858" s="18"/>
      <c r="X858" s="18"/>
      <c r="Y858" s="18"/>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c r="BC858" s="18"/>
      <c r="BD858" s="18"/>
      <c r="BE858" s="18"/>
      <c r="BF858" s="18"/>
      <c r="BG858" s="18"/>
      <c r="BH858" s="18"/>
      <c r="BI858" s="18"/>
      <c r="BJ858" s="18"/>
      <c r="BK858" s="18"/>
      <c r="BL858" s="18"/>
      <c r="BM858" s="18"/>
      <c r="BN858" s="18"/>
      <c r="BO858" s="18"/>
      <c r="BP858" s="18"/>
      <c r="BQ858" s="18"/>
      <c r="BR858" s="18"/>
      <c r="BS858" s="18"/>
      <c r="BT858" s="18"/>
      <c r="BU858" s="18"/>
      <c r="BV858" s="18"/>
      <c r="BW858" s="18"/>
      <c r="BX858" s="18"/>
      <c r="BY858" s="18"/>
      <c r="BZ858" s="18"/>
      <c r="CA858" s="18"/>
      <c r="CB858" s="18"/>
      <c r="CC858" s="18"/>
      <c r="CD858" s="18"/>
      <c r="CE858" s="18"/>
      <c r="CF858" s="18"/>
      <c r="CG858" s="18"/>
      <c r="CH858" s="18"/>
      <c r="CI858" s="18"/>
      <c r="CJ858" s="18"/>
      <c r="CK858" s="18"/>
      <c r="CL858" s="18"/>
      <c r="CM858" s="18"/>
      <c r="CN858" s="18"/>
      <c r="CO858" s="18"/>
      <c r="CP858" s="18"/>
      <c r="CQ858" s="18"/>
      <c r="CR858" s="18"/>
      <c r="CS858" s="18"/>
      <c r="CT858" s="18"/>
      <c r="CU858" s="18"/>
    </row>
    <row r="859" spans="1:99">
      <c r="A859" s="19"/>
      <c r="B859" s="19"/>
      <c r="C859" s="19"/>
      <c r="D859" s="19"/>
      <c r="E859" s="19"/>
      <c r="F859" s="19"/>
      <c r="G859" s="19"/>
      <c r="H859" s="19"/>
      <c r="I859" s="19"/>
      <c r="J859" s="19"/>
      <c r="K859" s="18"/>
      <c r="L859" s="18"/>
      <c r="M859" s="18"/>
      <c r="N859" s="18"/>
      <c r="O859" s="18"/>
      <c r="P859" s="18"/>
      <c r="Q859" s="18"/>
      <c r="R859" s="18"/>
      <c r="S859" s="18"/>
      <c r="T859" s="18"/>
      <c r="U859" s="18"/>
      <c r="V859" s="18"/>
      <c r="W859" s="18"/>
      <c r="X859" s="18"/>
      <c r="Y859" s="18"/>
      <c r="Z859" s="18"/>
      <c r="AA859" s="18"/>
      <c r="AB859" s="18"/>
      <c r="AC859" s="18"/>
      <c r="AD859" s="18"/>
      <c r="AE859" s="18"/>
      <c r="AF859" s="18"/>
      <c r="AG859" s="18"/>
      <c r="AH859" s="18"/>
      <c r="AI859" s="18"/>
      <c r="AJ859" s="18"/>
      <c r="AK859" s="18"/>
      <c r="AL859" s="18"/>
      <c r="AM859" s="18"/>
      <c r="AN859" s="18"/>
      <c r="AO859" s="18"/>
      <c r="AP859" s="18"/>
      <c r="AQ859" s="18"/>
      <c r="AR859" s="18"/>
      <c r="AS859" s="18"/>
      <c r="AT859" s="18"/>
      <c r="AU859" s="18"/>
      <c r="AV859" s="18"/>
      <c r="AW859" s="18"/>
      <c r="AX859" s="18"/>
      <c r="AY859" s="18"/>
      <c r="AZ859" s="18"/>
      <c r="BA859" s="18"/>
      <c r="BB859" s="18"/>
      <c r="BC859" s="18"/>
      <c r="BD859" s="18"/>
      <c r="BE859" s="18"/>
      <c r="BF859" s="18"/>
      <c r="BG859" s="18"/>
      <c r="BH859" s="18"/>
      <c r="BI859" s="18"/>
      <c r="BJ859" s="18"/>
      <c r="BK859" s="18"/>
      <c r="BL859" s="18"/>
      <c r="BM859" s="18"/>
      <c r="BN859" s="18"/>
      <c r="BO859" s="18"/>
      <c r="BP859" s="18"/>
      <c r="BQ859" s="18"/>
      <c r="BR859" s="18"/>
      <c r="BS859" s="18"/>
      <c r="BT859" s="18"/>
      <c r="BU859" s="18"/>
      <c r="BV859" s="18"/>
      <c r="BW859" s="18"/>
      <c r="BX859" s="18"/>
      <c r="BY859" s="18"/>
      <c r="BZ859" s="18"/>
      <c r="CA859" s="18"/>
      <c r="CB859" s="18"/>
      <c r="CC859" s="18"/>
      <c r="CD859" s="18"/>
      <c r="CE859" s="18"/>
      <c r="CF859" s="18"/>
      <c r="CG859" s="18"/>
      <c r="CH859" s="18"/>
      <c r="CI859" s="18"/>
      <c r="CJ859" s="18"/>
      <c r="CK859" s="18"/>
      <c r="CL859" s="18"/>
      <c r="CM859" s="18"/>
      <c r="CN859" s="18"/>
      <c r="CO859" s="18"/>
      <c r="CP859" s="18"/>
      <c r="CQ859" s="18"/>
      <c r="CR859" s="18"/>
      <c r="CS859" s="18"/>
      <c r="CT859" s="18"/>
      <c r="CU859" s="18"/>
    </row>
    <row r="860" spans="1:99">
      <c r="A860" s="19"/>
      <c r="B860" s="19"/>
      <c r="C860" s="19"/>
      <c r="D860" s="19"/>
      <c r="E860" s="19"/>
      <c r="F860" s="19"/>
      <c r="G860" s="19"/>
      <c r="H860" s="19"/>
      <c r="I860" s="19"/>
      <c r="J860" s="19"/>
      <c r="K860" s="18"/>
      <c r="L860" s="18"/>
      <c r="M860" s="18"/>
      <c r="N860" s="18"/>
      <c r="O860" s="18"/>
      <c r="P860" s="18"/>
      <c r="Q860" s="18"/>
      <c r="R860" s="18"/>
      <c r="S860" s="18"/>
      <c r="T860" s="18"/>
      <c r="U860" s="18"/>
      <c r="V860" s="18"/>
      <c r="W860" s="18"/>
      <c r="X860" s="18"/>
      <c r="Y860" s="18"/>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c r="BC860" s="18"/>
      <c r="BD860" s="18"/>
      <c r="BE860" s="18"/>
      <c r="BF860" s="18"/>
      <c r="BG860" s="18"/>
      <c r="BH860" s="18"/>
      <c r="BI860" s="18"/>
      <c r="BJ860" s="18"/>
      <c r="BK860" s="18"/>
      <c r="BL860" s="18"/>
      <c r="BM860" s="18"/>
      <c r="BN860" s="18"/>
      <c r="BO860" s="18"/>
      <c r="BP860" s="18"/>
      <c r="BQ860" s="18"/>
      <c r="BR860" s="18"/>
      <c r="BS860" s="18"/>
      <c r="BT860" s="18"/>
      <c r="BU860" s="18"/>
      <c r="BV860" s="18"/>
      <c r="BW860" s="18"/>
      <c r="BX860" s="18"/>
      <c r="BY860" s="18"/>
      <c r="BZ860" s="18"/>
      <c r="CA860" s="18"/>
      <c r="CB860" s="18"/>
      <c r="CC860" s="18"/>
      <c r="CD860" s="18"/>
      <c r="CE860" s="18"/>
      <c r="CF860" s="18"/>
      <c r="CG860" s="18"/>
      <c r="CH860" s="18"/>
      <c r="CI860" s="18"/>
      <c r="CJ860" s="18"/>
      <c r="CK860" s="18"/>
      <c r="CL860" s="18"/>
      <c r="CM860" s="18"/>
      <c r="CN860" s="18"/>
      <c r="CO860" s="18"/>
      <c r="CP860" s="18"/>
      <c r="CQ860" s="18"/>
      <c r="CR860" s="18"/>
      <c r="CS860" s="18"/>
      <c r="CT860" s="18"/>
      <c r="CU860" s="18"/>
    </row>
    <row r="861" spans="1:99">
      <c r="A861" s="19"/>
      <c r="B861" s="19"/>
      <c r="C861" s="19"/>
      <c r="D861" s="19"/>
      <c r="E861" s="19"/>
      <c r="F861" s="19"/>
      <c r="G861" s="19"/>
      <c r="H861" s="19"/>
      <c r="I861" s="19"/>
      <c r="J861" s="19"/>
      <c r="K861" s="18"/>
      <c r="L861" s="18"/>
      <c r="M861" s="18"/>
      <c r="N861" s="18"/>
      <c r="O861" s="18"/>
      <c r="P861" s="18"/>
      <c r="Q861" s="18"/>
      <c r="R861" s="18"/>
      <c r="S861" s="18"/>
      <c r="T861" s="18"/>
      <c r="U861" s="18"/>
      <c r="V861" s="18"/>
      <c r="W861" s="18"/>
      <c r="X861" s="18"/>
      <c r="Y861" s="18"/>
      <c r="Z861" s="18"/>
      <c r="AA861" s="18"/>
      <c r="AB861" s="18"/>
      <c r="AC861" s="18"/>
      <c r="AD861" s="18"/>
      <c r="AE861" s="18"/>
      <c r="AF861" s="18"/>
      <c r="AG861" s="18"/>
      <c r="AH861" s="18"/>
      <c r="AI861" s="18"/>
      <c r="AJ861" s="18"/>
      <c r="AK861" s="18"/>
      <c r="AL861" s="18"/>
      <c r="AM861" s="18"/>
      <c r="AN861" s="18"/>
      <c r="AO861" s="18"/>
      <c r="AP861" s="18"/>
      <c r="AQ861" s="18"/>
      <c r="AR861" s="18"/>
      <c r="AS861" s="18"/>
      <c r="AT861" s="18"/>
      <c r="AU861" s="18"/>
      <c r="AV861" s="18"/>
      <c r="AW861" s="18"/>
      <c r="AX861" s="18"/>
      <c r="AY861" s="18"/>
      <c r="AZ861" s="18"/>
      <c r="BA861" s="18"/>
      <c r="BB861" s="18"/>
      <c r="BC861" s="18"/>
      <c r="BD861" s="18"/>
      <c r="BE861" s="18"/>
      <c r="BF861" s="18"/>
      <c r="BG861" s="18"/>
      <c r="BH861" s="18"/>
      <c r="BI861" s="18"/>
      <c r="BJ861" s="18"/>
      <c r="BK861" s="18"/>
      <c r="BL861" s="18"/>
      <c r="BM861" s="18"/>
      <c r="BN861" s="18"/>
      <c r="BO861" s="18"/>
      <c r="BP861" s="18"/>
      <c r="BQ861" s="18"/>
      <c r="BR861" s="18"/>
      <c r="BS861" s="18"/>
      <c r="BT861" s="18"/>
      <c r="BU861" s="18"/>
      <c r="BV861" s="18"/>
      <c r="BW861" s="18"/>
      <c r="BX861" s="18"/>
      <c r="BY861" s="18"/>
      <c r="BZ861" s="18"/>
      <c r="CA861" s="18"/>
      <c r="CB861" s="18"/>
      <c r="CC861" s="18"/>
      <c r="CD861" s="18"/>
      <c r="CE861" s="18"/>
      <c r="CF861" s="18"/>
      <c r="CG861" s="18"/>
      <c r="CH861" s="18"/>
      <c r="CI861" s="18"/>
      <c r="CJ861" s="18"/>
      <c r="CK861" s="18"/>
      <c r="CL861" s="18"/>
      <c r="CM861" s="18"/>
      <c r="CN861" s="18"/>
      <c r="CO861" s="18"/>
      <c r="CP861" s="18"/>
      <c r="CQ861" s="18"/>
      <c r="CR861" s="18"/>
      <c r="CS861" s="18"/>
      <c r="CT861" s="18"/>
      <c r="CU861" s="18"/>
    </row>
    <row r="862" spans="1:99">
      <c r="A862" s="19"/>
      <c r="B862" s="19"/>
      <c r="C862" s="19"/>
      <c r="D862" s="19"/>
      <c r="E862" s="19"/>
      <c r="F862" s="19"/>
      <c r="G862" s="19"/>
      <c r="H862" s="19"/>
      <c r="I862" s="19"/>
      <c r="J862" s="19"/>
      <c r="K862" s="18"/>
      <c r="L862" s="18"/>
      <c r="M862" s="18"/>
      <c r="N862" s="18"/>
      <c r="O862" s="18"/>
      <c r="P862" s="18"/>
      <c r="Q862" s="18"/>
      <c r="R862" s="18"/>
      <c r="S862" s="18"/>
      <c r="T862" s="18"/>
      <c r="U862" s="18"/>
      <c r="V862" s="18"/>
      <c r="W862" s="18"/>
      <c r="X862" s="18"/>
      <c r="Y862" s="18"/>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c r="BC862" s="18"/>
      <c r="BD862" s="18"/>
      <c r="BE862" s="18"/>
      <c r="BF862" s="18"/>
      <c r="BG862" s="18"/>
      <c r="BH862" s="18"/>
      <c r="BI862" s="18"/>
      <c r="BJ862" s="18"/>
      <c r="BK862" s="18"/>
      <c r="BL862" s="18"/>
      <c r="BM862" s="18"/>
      <c r="BN862" s="18"/>
      <c r="BO862" s="18"/>
      <c r="BP862" s="18"/>
      <c r="BQ862" s="18"/>
      <c r="BR862" s="18"/>
      <c r="BS862" s="18"/>
      <c r="BT862" s="18"/>
      <c r="BU862" s="18"/>
      <c r="BV862" s="18"/>
      <c r="BW862" s="18"/>
      <c r="BX862" s="18"/>
      <c r="BY862" s="18"/>
      <c r="BZ862" s="18"/>
      <c r="CA862" s="18"/>
      <c r="CB862" s="18"/>
      <c r="CC862" s="18"/>
      <c r="CD862" s="18"/>
      <c r="CE862" s="18"/>
      <c r="CF862" s="18"/>
      <c r="CG862" s="18"/>
      <c r="CH862" s="18"/>
      <c r="CI862" s="18"/>
      <c r="CJ862" s="18"/>
      <c r="CK862" s="18"/>
      <c r="CL862" s="18"/>
      <c r="CM862" s="18"/>
      <c r="CN862" s="18"/>
      <c r="CO862" s="18"/>
      <c r="CP862" s="18"/>
      <c r="CQ862" s="18"/>
      <c r="CR862" s="18"/>
      <c r="CS862" s="18"/>
      <c r="CT862" s="18"/>
      <c r="CU862" s="18"/>
    </row>
    <row r="863" spans="1:99">
      <c r="A863" s="19"/>
      <c r="B863" s="19"/>
      <c r="C863" s="19"/>
      <c r="D863" s="19"/>
      <c r="E863" s="19"/>
      <c r="F863" s="19"/>
      <c r="G863" s="19"/>
      <c r="H863" s="19"/>
      <c r="I863" s="19"/>
      <c r="J863" s="19"/>
      <c r="K863" s="18"/>
      <c r="L863" s="18"/>
      <c r="M863" s="18"/>
      <c r="N863" s="18"/>
      <c r="O863" s="18"/>
      <c r="P863" s="18"/>
      <c r="Q863" s="18"/>
      <c r="R863" s="18"/>
      <c r="S863" s="18"/>
      <c r="T863" s="18"/>
      <c r="U863" s="18"/>
      <c r="V863" s="18"/>
      <c r="W863" s="18"/>
      <c r="X863" s="18"/>
      <c r="Y863" s="18"/>
      <c r="Z863" s="18"/>
      <c r="AA863" s="18"/>
      <c r="AB863" s="18"/>
      <c r="AC863" s="18"/>
      <c r="AD863" s="18"/>
      <c r="AE863" s="18"/>
      <c r="AF863" s="18"/>
      <c r="AG863" s="18"/>
      <c r="AH863" s="18"/>
      <c r="AI863" s="18"/>
      <c r="AJ863" s="18"/>
      <c r="AK863" s="18"/>
      <c r="AL863" s="18"/>
      <c r="AM863" s="18"/>
      <c r="AN863" s="18"/>
      <c r="AO863" s="18"/>
      <c r="AP863" s="18"/>
      <c r="AQ863" s="18"/>
      <c r="AR863" s="18"/>
      <c r="AS863" s="18"/>
      <c r="AT863" s="18"/>
      <c r="AU863" s="18"/>
      <c r="AV863" s="18"/>
      <c r="AW863" s="18"/>
      <c r="AX863" s="18"/>
      <c r="AY863" s="18"/>
      <c r="AZ863" s="18"/>
      <c r="BA863" s="18"/>
      <c r="BB863" s="18"/>
      <c r="BC863" s="18"/>
      <c r="BD863" s="18"/>
      <c r="BE863" s="18"/>
      <c r="BF863" s="18"/>
      <c r="BG863" s="18"/>
      <c r="BH863" s="18"/>
      <c r="BI863" s="18"/>
      <c r="BJ863" s="18"/>
      <c r="BK863" s="18"/>
      <c r="BL863" s="18"/>
      <c r="BM863" s="18"/>
      <c r="BN863" s="18"/>
      <c r="BO863" s="18"/>
      <c r="BP863" s="18"/>
      <c r="BQ863" s="18"/>
      <c r="BR863" s="18"/>
      <c r="BS863" s="18"/>
      <c r="BT863" s="18"/>
      <c r="BU863" s="18"/>
      <c r="BV863" s="18"/>
      <c r="BW863" s="18"/>
      <c r="BX863" s="18"/>
      <c r="BY863" s="18"/>
      <c r="BZ863" s="18"/>
      <c r="CA863" s="18"/>
      <c r="CB863" s="18"/>
      <c r="CC863" s="18"/>
      <c r="CD863" s="18"/>
      <c r="CE863" s="18"/>
      <c r="CF863" s="18"/>
      <c r="CG863" s="18"/>
      <c r="CH863" s="18"/>
      <c r="CI863" s="18"/>
      <c r="CJ863" s="18"/>
      <c r="CK863" s="18"/>
      <c r="CL863" s="18"/>
      <c r="CM863" s="18"/>
      <c r="CN863" s="18"/>
      <c r="CO863" s="18"/>
      <c r="CP863" s="18"/>
      <c r="CQ863" s="18"/>
      <c r="CR863" s="18"/>
      <c r="CS863" s="18"/>
      <c r="CT863" s="18"/>
      <c r="CU863" s="18"/>
    </row>
    <row r="864" spans="1:99">
      <c r="A864" s="19"/>
      <c r="B864" s="19"/>
      <c r="C864" s="19"/>
      <c r="D864" s="19"/>
      <c r="E864" s="19"/>
      <c r="F864" s="19"/>
      <c r="G864" s="19"/>
      <c r="H864" s="19"/>
      <c r="I864" s="19"/>
      <c r="J864" s="19"/>
      <c r="K864" s="18"/>
      <c r="L864" s="18"/>
      <c r="M864" s="18"/>
      <c r="N864" s="18"/>
      <c r="O864" s="18"/>
      <c r="P864" s="18"/>
      <c r="Q864" s="18"/>
      <c r="R864" s="18"/>
      <c r="S864" s="18"/>
      <c r="T864" s="18"/>
      <c r="U864" s="18"/>
      <c r="V864" s="18"/>
      <c r="W864" s="18"/>
      <c r="X864" s="18"/>
      <c r="Y864" s="18"/>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c r="BC864" s="18"/>
      <c r="BD864" s="18"/>
      <c r="BE864" s="18"/>
      <c r="BF864" s="18"/>
      <c r="BG864" s="18"/>
      <c r="BH864" s="18"/>
      <c r="BI864" s="18"/>
      <c r="BJ864" s="18"/>
      <c r="BK864" s="18"/>
      <c r="BL864" s="18"/>
      <c r="BM864" s="18"/>
      <c r="BN864" s="18"/>
      <c r="BO864" s="18"/>
      <c r="BP864" s="18"/>
      <c r="BQ864" s="18"/>
      <c r="BR864" s="18"/>
      <c r="BS864" s="18"/>
      <c r="BT864" s="18"/>
      <c r="BU864" s="18"/>
      <c r="BV864" s="18"/>
      <c r="BW864" s="18"/>
      <c r="BX864" s="18"/>
      <c r="BY864" s="18"/>
      <c r="BZ864" s="18"/>
      <c r="CA864" s="18"/>
      <c r="CB864" s="18"/>
      <c r="CC864" s="18"/>
      <c r="CD864" s="18"/>
      <c r="CE864" s="18"/>
      <c r="CF864" s="18"/>
      <c r="CG864" s="18"/>
      <c r="CH864" s="18"/>
      <c r="CI864" s="18"/>
      <c r="CJ864" s="18"/>
      <c r="CK864" s="18"/>
      <c r="CL864" s="18"/>
      <c r="CM864" s="18"/>
      <c r="CN864" s="18"/>
      <c r="CO864" s="18"/>
      <c r="CP864" s="18"/>
      <c r="CQ864" s="18"/>
      <c r="CR864" s="18"/>
      <c r="CS864" s="18"/>
      <c r="CT864" s="18"/>
      <c r="CU864" s="18"/>
    </row>
    <row r="865" spans="1:99">
      <c r="A865" s="19"/>
      <c r="B865" s="19"/>
      <c r="C865" s="19"/>
      <c r="D865" s="19"/>
      <c r="E865" s="19"/>
      <c r="F865" s="19"/>
      <c r="G865" s="19"/>
      <c r="H865" s="19"/>
      <c r="I865" s="19"/>
      <c r="J865" s="19"/>
      <c r="K865" s="18"/>
      <c r="L865" s="18"/>
      <c r="M865" s="18"/>
      <c r="N865" s="18"/>
      <c r="O865" s="18"/>
      <c r="P865" s="18"/>
      <c r="Q865" s="18"/>
      <c r="R865" s="18"/>
      <c r="S865" s="18"/>
      <c r="T865" s="18"/>
      <c r="U865" s="18"/>
      <c r="V865" s="18"/>
      <c r="W865" s="18"/>
      <c r="X865" s="18"/>
      <c r="Y865" s="18"/>
      <c r="Z865" s="18"/>
      <c r="AA865" s="18"/>
      <c r="AB865" s="18"/>
      <c r="AC865" s="18"/>
      <c r="AD865" s="18"/>
      <c r="AE865" s="18"/>
      <c r="AF865" s="18"/>
      <c r="AG865" s="18"/>
      <c r="AH865" s="18"/>
      <c r="AI865" s="18"/>
      <c r="AJ865" s="18"/>
      <c r="AK865" s="18"/>
      <c r="AL865" s="18"/>
      <c r="AM865" s="18"/>
      <c r="AN865" s="18"/>
      <c r="AO865" s="18"/>
      <c r="AP865" s="18"/>
      <c r="AQ865" s="18"/>
      <c r="AR865" s="18"/>
      <c r="AS865" s="18"/>
      <c r="AT865" s="18"/>
      <c r="AU865" s="18"/>
      <c r="AV865" s="18"/>
      <c r="AW865" s="18"/>
      <c r="AX865" s="18"/>
      <c r="AY865" s="18"/>
      <c r="AZ865" s="18"/>
      <c r="BA865" s="18"/>
      <c r="BB865" s="18"/>
      <c r="BC865" s="18"/>
      <c r="BD865" s="18"/>
      <c r="BE865" s="18"/>
      <c r="BF865" s="18"/>
      <c r="BG865" s="18"/>
      <c r="BH865" s="18"/>
      <c r="BI865" s="18"/>
      <c r="BJ865" s="18"/>
      <c r="BK865" s="18"/>
      <c r="BL865" s="18"/>
      <c r="BM865" s="18"/>
      <c r="BN865" s="18"/>
      <c r="BO865" s="18"/>
      <c r="BP865" s="18"/>
      <c r="BQ865" s="18"/>
      <c r="BR865" s="18"/>
      <c r="BS865" s="18"/>
      <c r="BT865" s="18"/>
      <c r="BU865" s="18"/>
      <c r="BV865" s="18"/>
      <c r="BW865" s="18"/>
      <c r="BX865" s="18"/>
      <c r="BY865" s="18"/>
      <c r="BZ865" s="18"/>
      <c r="CA865" s="18"/>
      <c r="CB865" s="18"/>
      <c r="CC865" s="18"/>
      <c r="CD865" s="18"/>
      <c r="CE865" s="18"/>
      <c r="CF865" s="18"/>
      <c r="CG865" s="18"/>
      <c r="CH865" s="18"/>
      <c r="CI865" s="18"/>
      <c r="CJ865" s="18"/>
      <c r="CK865" s="18"/>
      <c r="CL865" s="18"/>
      <c r="CM865" s="18"/>
      <c r="CN865" s="18"/>
      <c r="CO865" s="18"/>
      <c r="CP865" s="18"/>
      <c r="CQ865" s="18"/>
      <c r="CR865" s="18"/>
      <c r="CS865" s="18"/>
      <c r="CT865" s="18"/>
      <c r="CU865" s="18"/>
    </row>
    <row r="866" spans="1:99">
      <c r="A866" s="19"/>
      <c r="B866" s="19"/>
      <c r="C866" s="19"/>
      <c r="D866" s="19"/>
      <c r="E866" s="19"/>
      <c r="F866" s="19"/>
      <c r="G866" s="19"/>
      <c r="H866" s="19"/>
      <c r="I866" s="19"/>
      <c r="J866" s="19"/>
      <c r="K866" s="18"/>
      <c r="L866" s="18"/>
      <c r="M866" s="18"/>
      <c r="N866" s="18"/>
      <c r="O866" s="18"/>
      <c r="P866" s="18"/>
      <c r="Q866" s="18"/>
      <c r="R866" s="18"/>
      <c r="S866" s="18"/>
      <c r="T866" s="18"/>
      <c r="U866" s="18"/>
      <c r="V866" s="18"/>
      <c r="W866" s="18"/>
      <c r="X866" s="18"/>
      <c r="Y866" s="18"/>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c r="BC866" s="18"/>
      <c r="BD866" s="18"/>
      <c r="BE866" s="18"/>
      <c r="BF866" s="18"/>
      <c r="BG866" s="18"/>
      <c r="BH866" s="18"/>
      <c r="BI866" s="18"/>
      <c r="BJ866" s="18"/>
      <c r="BK866" s="18"/>
      <c r="BL866" s="18"/>
      <c r="BM866" s="18"/>
      <c r="BN866" s="18"/>
      <c r="BO866" s="18"/>
      <c r="BP866" s="18"/>
      <c r="BQ866" s="18"/>
      <c r="BR866" s="18"/>
      <c r="BS866" s="18"/>
      <c r="BT866" s="18"/>
      <c r="BU866" s="18"/>
      <c r="BV866" s="18"/>
      <c r="BW866" s="18"/>
      <c r="BX866" s="18"/>
      <c r="BY866" s="18"/>
      <c r="BZ866" s="18"/>
      <c r="CA866" s="18"/>
      <c r="CB866" s="18"/>
      <c r="CC866" s="18"/>
      <c r="CD866" s="18"/>
      <c r="CE866" s="18"/>
      <c r="CF866" s="18"/>
      <c r="CG866" s="18"/>
      <c r="CH866" s="18"/>
      <c r="CI866" s="18"/>
      <c r="CJ866" s="18"/>
      <c r="CK866" s="18"/>
      <c r="CL866" s="18"/>
      <c r="CM866" s="18"/>
      <c r="CN866" s="18"/>
      <c r="CO866" s="18"/>
      <c r="CP866" s="18"/>
      <c r="CQ866" s="18"/>
      <c r="CR866" s="18"/>
      <c r="CS866" s="18"/>
      <c r="CT866" s="18"/>
      <c r="CU866" s="18"/>
    </row>
    <row r="867" spans="1:99">
      <c r="A867" s="19"/>
      <c r="B867" s="19"/>
      <c r="C867" s="19"/>
      <c r="D867" s="19"/>
      <c r="E867" s="19"/>
      <c r="F867" s="19"/>
      <c r="G867" s="19"/>
      <c r="H867" s="19"/>
      <c r="I867" s="19"/>
      <c r="J867" s="19"/>
      <c r="K867" s="18"/>
      <c r="L867" s="18"/>
      <c r="M867" s="18"/>
      <c r="N867" s="18"/>
      <c r="O867" s="18"/>
      <c r="P867" s="18"/>
      <c r="Q867" s="18"/>
      <c r="R867" s="18"/>
      <c r="S867" s="18"/>
      <c r="T867" s="18"/>
      <c r="U867" s="18"/>
      <c r="V867" s="18"/>
      <c r="W867" s="18"/>
      <c r="X867" s="18"/>
      <c r="Y867" s="18"/>
      <c r="Z867" s="18"/>
      <c r="AA867" s="18"/>
      <c r="AB867" s="18"/>
      <c r="AC867" s="18"/>
      <c r="AD867" s="18"/>
      <c r="AE867" s="18"/>
      <c r="AF867" s="18"/>
      <c r="AG867" s="18"/>
      <c r="AH867" s="18"/>
      <c r="AI867" s="18"/>
      <c r="AJ867" s="18"/>
      <c r="AK867" s="18"/>
      <c r="AL867" s="18"/>
      <c r="AM867" s="18"/>
      <c r="AN867" s="18"/>
      <c r="AO867" s="18"/>
      <c r="AP867" s="18"/>
      <c r="AQ867" s="18"/>
      <c r="AR867" s="18"/>
      <c r="AS867" s="18"/>
      <c r="AT867" s="18"/>
      <c r="AU867" s="18"/>
      <c r="AV867" s="18"/>
      <c r="AW867" s="18"/>
      <c r="AX867" s="18"/>
      <c r="AY867" s="18"/>
      <c r="AZ867" s="18"/>
      <c r="BA867" s="18"/>
      <c r="BB867" s="18"/>
      <c r="BC867" s="18"/>
      <c r="BD867" s="18"/>
      <c r="BE867" s="18"/>
      <c r="BF867" s="18"/>
      <c r="BG867" s="18"/>
      <c r="BH867" s="18"/>
      <c r="BI867" s="18"/>
      <c r="BJ867" s="18"/>
      <c r="BK867" s="18"/>
      <c r="BL867" s="18"/>
      <c r="BM867" s="18"/>
      <c r="BN867" s="18"/>
      <c r="BO867" s="18"/>
      <c r="BP867" s="18"/>
      <c r="BQ867" s="18"/>
      <c r="BR867" s="18"/>
      <c r="BS867" s="18"/>
      <c r="BT867" s="18"/>
      <c r="BU867" s="18"/>
      <c r="BV867" s="18"/>
      <c r="BW867" s="18"/>
      <c r="BX867" s="18"/>
      <c r="BY867" s="18"/>
      <c r="BZ867" s="18"/>
      <c r="CA867" s="18"/>
      <c r="CB867" s="18"/>
      <c r="CC867" s="18"/>
      <c r="CD867" s="18"/>
      <c r="CE867" s="18"/>
      <c r="CF867" s="18"/>
      <c r="CG867" s="18"/>
      <c r="CH867" s="18"/>
      <c r="CI867" s="18"/>
      <c r="CJ867" s="18"/>
      <c r="CK867" s="18"/>
      <c r="CL867" s="18"/>
      <c r="CM867" s="18"/>
      <c r="CN867" s="18"/>
      <c r="CO867" s="18"/>
      <c r="CP867" s="18"/>
      <c r="CQ867" s="18"/>
      <c r="CR867" s="18"/>
      <c r="CS867" s="18"/>
      <c r="CT867" s="18"/>
      <c r="CU867" s="18"/>
    </row>
    <row r="868" spans="1:99">
      <c r="A868" s="19"/>
      <c r="B868" s="19"/>
      <c r="C868" s="19"/>
      <c r="D868" s="19"/>
      <c r="E868" s="19"/>
      <c r="F868" s="19"/>
      <c r="G868" s="19"/>
      <c r="H868" s="19"/>
      <c r="I868" s="19"/>
      <c r="J868" s="19"/>
      <c r="K868" s="18"/>
      <c r="L868" s="18"/>
      <c r="M868" s="18"/>
      <c r="N868" s="18"/>
      <c r="O868" s="18"/>
      <c r="P868" s="18"/>
      <c r="Q868" s="18"/>
      <c r="R868" s="18"/>
      <c r="S868" s="18"/>
      <c r="T868" s="18"/>
      <c r="U868" s="18"/>
      <c r="V868" s="18"/>
      <c r="W868" s="18"/>
      <c r="X868" s="18"/>
      <c r="Y868" s="18"/>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c r="BC868" s="18"/>
      <c r="BD868" s="18"/>
      <c r="BE868" s="18"/>
      <c r="BF868" s="18"/>
      <c r="BG868" s="18"/>
      <c r="BH868" s="18"/>
      <c r="BI868" s="18"/>
      <c r="BJ868" s="18"/>
      <c r="BK868" s="18"/>
      <c r="BL868" s="18"/>
      <c r="BM868" s="18"/>
      <c r="BN868" s="18"/>
      <c r="BO868" s="18"/>
      <c r="BP868" s="18"/>
      <c r="BQ868" s="18"/>
      <c r="BR868" s="18"/>
      <c r="BS868" s="18"/>
      <c r="BT868" s="18"/>
      <c r="BU868" s="18"/>
      <c r="BV868" s="18"/>
      <c r="BW868" s="18"/>
      <c r="BX868" s="18"/>
      <c r="BY868" s="18"/>
      <c r="BZ868" s="18"/>
      <c r="CA868" s="18"/>
      <c r="CB868" s="18"/>
      <c r="CC868" s="18"/>
      <c r="CD868" s="18"/>
      <c r="CE868" s="18"/>
      <c r="CF868" s="18"/>
      <c r="CG868" s="18"/>
      <c r="CH868" s="18"/>
      <c r="CI868" s="18"/>
      <c r="CJ868" s="18"/>
      <c r="CK868" s="18"/>
      <c r="CL868" s="18"/>
      <c r="CM868" s="18"/>
      <c r="CN868" s="18"/>
      <c r="CO868" s="18"/>
      <c r="CP868" s="18"/>
      <c r="CQ868" s="18"/>
      <c r="CR868" s="18"/>
      <c r="CS868" s="18"/>
      <c r="CT868" s="18"/>
      <c r="CU868" s="18"/>
    </row>
    <row r="869" spans="1:99">
      <c r="A869" s="19"/>
      <c r="B869" s="19"/>
      <c r="C869" s="19"/>
      <c r="D869" s="19"/>
      <c r="E869" s="19"/>
      <c r="F869" s="19"/>
      <c r="G869" s="19"/>
      <c r="H869" s="19"/>
      <c r="I869" s="19"/>
      <c r="J869" s="19"/>
      <c r="K869" s="18"/>
      <c r="L869" s="18"/>
      <c r="M869" s="18"/>
      <c r="N869" s="18"/>
      <c r="O869" s="18"/>
      <c r="P869" s="18"/>
      <c r="Q869" s="18"/>
      <c r="R869" s="18"/>
      <c r="S869" s="18"/>
      <c r="T869" s="18"/>
      <c r="U869" s="18"/>
      <c r="V869" s="18"/>
      <c r="W869" s="18"/>
      <c r="X869" s="18"/>
      <c r="Y869" s="18"/>
      <c r="Z869" s="18"/>
      <c r="AA869" s="18"/>
      <c r="AB869" s="18"/>
      <c r="AC869" s="18"/>
      <c r="AD869" s="18"/>
      <c r="AE869" s="18"/>
      <c r="AF869" s="18"/>
      <c r="AG869" s="18"/>
      <c r="AH869" s="18"/>
      <c r="AI869" s="18"/>
      <c r="AJ869" s="18"/>
      <c r="AK869" s="18"/>
      <c r="AL869" s="18"/>
      <c r="AM869" s="18"/>
      <c r="AN869" s="18"/>
      <c r="AO869" s="18"/>
      <c r="AP869" s="18"/>
      <c r="AQ869" s="18"/>
      <c r="AR869" s="18"/>
      <c r="AS869" s="18"/>
      <c r="AT869" s="18"/>
      <c r="AU869" s="18"/>
      <c r="AV869" s="18"/>
      <c r="AW869" s="18"/>
      <c r="AX869" s="18"/>
      <c r="AY869" s="18"/>
      <c r="AZ869" s="18"/>
      <c r="BA869" s="18"/>
      <c r="BB869" s="18"/>
      <c r="BC869" s="18"/>
      <c r="BD869" s="18"/>
      <c r="BE869" s="18"/>
      <c r="BF869" s="18"/>
      <c r="BG869" s="18"/>
      <c r="BH869" s="18"/>
      <c r="BI869" s="18"/>
      <c r="BJ869" s="18"/>
      <c r="BK869" s="18"/>
      <c r="BL869" s="18"/>
      <c r="BM869" s="18"/>
      <c r="BN869" s="18"/>
      <c r="BO869" s="18"/>
      <c r="BP869" s="18"/>
      <c r="BQ869" s="18"/>
      <c r="BR869" s="18"/>
      <c r="BS869" s="18"/>
      <c r="BT869" s="18"/>
      <c r="BU869" s="18"/>
      <c r="BV869" s="18"/>
      <c r="BW869" s="18"/>
      <c r="BX869" s="18"/>
      <c r="BY869" s="18"/>
      <c r="BZ869" s="18"/>
      <c r="CA869" s="18"/>
      <c r="CB869" s="18"/>
      <c r="CC869" s="18"/>
      <c r="CD869" s="18"/>
      <c r="CE869" s="18"/>
      <c r="CF869" s="18"/>
      <c r="CG869" s="18"/>
      <c r="CH869" s="18"/>
      <c r="CI869" s="18"/>
      <c r="CJ869" s="18"/>
      <c r="CK869" s="18"/>
      <c r="CL869" s="18"/>
      <c r="CM869" s="18"/>
      <c r="CN869" s="18"/>
      <c r="CO869" s="18"/>
      <c r="CP869" s="18"/>
      <c r="CQ869" s="18"/>
      <c r="CR869" s="18"/>
      <c r="CS869" s="18"/>
      <c r="CT869" s="18"/>
      <c r="CU869" s="18"/>
    </row>
    <row r="870" spans="1:99">
      <c r="A870" s="19"/>
      <c r="B870" s="19"/>
      <c r="C870" s="19"/>
      <c r="D870" s="19"/>
      <c r="E870" s="19"/>
      <c r="F870" s="19"/>
      <c r="G870" s="19"/>
      <c r="H870" s="19"/>
      <c r="I870" s="19"/>
      <c r="J870" s="19"/>
      <c r="K870" s="18"/>
      <c r="L870" s="18"/>
      <c r="M870" s="18"/>
      <c r="N870" s="18"/>
      <c r="O870" s="18"/>
      <c r="P870" s="18"/>
      <c r="Q870" s="18"/>
      <c r="R870" s="18"/>
      <c r="S870" s="18"/>
      <c r="T870" s="18"/>
      <c r="U870" s="18"/>
      <c r="V870" s="18"/>
      <c r="W870" s="18"/>
      <c r="X870" s="18"/>
      <c r="Y870" s="18"/>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c r="BC870" s="18"/>
      <c r="BD870" s="18"/>
      <c r="BE870" s="18"/>
      <c r="BF870" s="18"/>
      <c r="BG870" s="18"/>
      <c r="BH870" s="18"/>
      <c r="BI870" s="18"/>
      <c r="BJ870" s="18"/>
      <c r="BK870" s="18"/>
      <c r="BL870" s="18"/>
      <c r="BM870" s="18"/>
      <c r="BN870" s="18"/>
      <c r="BO870" s="18"/>
      <c r="BP870" s="18"/>
      <c r="BQ870" s="18"/>
      <c r="BR870" s="18"/>
      <c r="BS870" s="18"/>
      <c r="BT870" s="18"/>
      <c r="BU870" s="18"/>
      <c r="BV870" s="18"/>
      <c r="BW870" s="18"/>
      <c r="BX870" s="18"/>
      <c r="BY870" s="18"/>
      <c r="BZ870" s="18"/>
      <c r="CA870" s="18"/>
      <c r="CB870" s="18"/>
      <c r="CC870" s="18"/>
      <c r="CD870" s="18"/>
      <c r="CE870" s="18"/>
      <c r="CF870" s="18"/>
      <c r="CG870" s="18"/>
      <c r="CH870" s="18"/>
      <c r="CI870" s="18"/>
      <c r="CJ870" s="18"/>
      <c r="CK870" s="18"/>
      <c r="CL870" s="18"/>
      <c r="CM870" s="18"/>
      <c r="CN870" s="18"/>
      <c r="CO870" s="18"/>
      <c r="CP870" s="18"/>
      <c r="CQ870" s="18"/>
      <c r="CR870" s="18"/>
      <c r="CS870" s="18"/>
      <c r="CT870" s="18"/>
      <c r="CU870" s="18"/>
    </row>
    <row r="871" spans="1:99">
      <c r="A871" s="19"/>
      <c r="B871" s="19"/>
      <c r="C871" s="19"/>
      <c r="D871" s="19"/>
      <c r="E871" s="19"/>
      <c r="F871" s="19"/>
      <c r="G871" s="19"/>
      <c r="H871" s="19"/>
      <c r="I871" s="19"/>
      <c r="J871" s="19"/>
      <c r="K871" s="18"/>
      <c r="L871" s="18"/>
      <c r="M871" s="18"/>
      <c r="N871" s="18"/>
      <c r="O871" s="18"/>
      <c r="P871" s="18"/>
      <c r="Q871" s="18"/>
      <c r="R871" s="18"/>
      <c r="S871" s="18"/>
      <c r="T871" s="18"/>
      <c r="U871" s="18"/>
      <c r="V871" s="18"/>
      <c r="W871" s="18"/>
      <c r="X871" s="18"/>
      <c r="Y871" s="18"/>
      <c r="Z871" s="18"/>
      <c r="AA871" s="18"/>
      <c r="AB871" s="18"/>
      <c r="AC871" s="18"/>
      <c r="AD871" s="18"/>
      <c r="AE871" s="18"/>
      <c r="AF871" s="18"/>
      <c r="AG871" s="18"/>
      <c r="AH871" s="18"/>
      <c r="AI871" s="18"/>
      <c r="AJ871" s="18"/>
      <c r="AK871" s="18"/>
      <c r="AL871" s="18"/>
      <c r="AM871" s="18"/>
      <c r="AN871" s="18"/>
      <c r="AO871" s="18"/>
      <c r="AP871" s="18"/>
      <c r="AQ871" s="18"/>
      <c r="AR871" s="18"/>
      <c r="AS871" s="18"/>
      <c r="AT871" s="18"/>
      <c r="AU871" s="18"/>
      <c r="AV871" s="18"/>
      <c r="AW871" s="18"/>
      <c r="AX871" s="18"/>
      <c r="AY871" s="18"/>
      <c r="AZ871" s="18"/>
      <c r="BA871" s="18"/>
      <c r="BB871" s="18"/>
      <c r="BC871" s="18"/>
      <c r="BD871" s="18"/>
      <c r="BE871" s="18"/>
      <c r="BF871" s="18"/>
      <c r="BG871" s="18"/>
      <c r="BH871" s="18"/>
      <c r="BI871" s="18"/>
      <c r="BJ871" s="18"/>
      <c r="BK871" s="18"/>
      <c r="BL871" s="18"/>
      <c r="BM871" s="18"/>
      <c r="BN871" s="18"/>
      <c r="BO871" s="18"/>
      <c r="BP871" s="18"/>
      <c r="BQ871" s="18"/>
      <c r="BR871" s="18"/>
      <c r="BS871" s="18"/>
      <c r="BT871" s="18"/>
      <c r="BU871" s="18"/>
      <c r="BV871" s="18"/>
      <c r="BW871" s="18"/>
      <c r="BX871" s="18"/>
      <c r="BY871" s="18"/>
      <c r="BZ871" s="18"/>
      <c r="CA871" s="18"/>
      <c r="CB871" s="18"/>
      <c r="CC871" s="18"/>
      <c r="CD871" s="18"/>
      <c r="CE871" s="18"/>
      <c r="CF871" s="18"/>
      <c r="CG871" s="18"/>
      <c r="CH871" s="18"/>
      <c r="CI871" s="18"/>
      <c r="CJ871" s="18"/>
      <c r="CK871" s="18"/>
      <c r="CL871" s="18"/>
      <c r="CM871" s="18"/>
      <c r="CN871" s="18"/>
      <c r="CO871" s="18"/>
      <c r="CP871" s="18"/>
      <c r="CQ871" s="18"/>
      <c r="CR871" s="18"/>
      <c r="CS871" s="18"/>
      <c r="CT871" s="18"/>
      <c r="CU871" s="18"/>
    </row>
    <row r="872" spans="1:99">
      <c r="A872" s="19"/>
      <c r="B872" s="19"/>
      <c r="C872" s="19"/>
      <c r="D872" s="19"/>
      <c r="E872" s="19"/>
      <c r="F872" s="19"/>
      <c r="G872" s="19"/>
      <c r="H872" s="19"/>
      <c r="I872" s="19"/>
      <c r="J872" s="19"/>
      <c r="K872" s="18"/>
      <c r="L872" s="18"/>
      <c r="M872" s="18"/>
      <c r="N872" s="18"/>
      <c r="O872" s="18"/>
      <c r="P872" s="18"/>
      <c r="Q872" s="18"/>
      <c r="R872" s="18"/>
      <c r="S872" s="18"/>
      <c r="T872" s="18"/>
      <c r="U872" s="18"/>
      <c r="V872" s="18"/>
      <c r="W872" s="18"/>
      <c r="X872" s="18"/>
      <c r="Y872" s="18"/>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c r="BC872" s="18"/>
      <c r="BD872" s="18"/>
      <c r="BE872" s="18"/>
      <c r="BF872" s="18"/>
      <c r="BG872" s="18"/>
      <c r="BH872" s="18"/>
      <c r="BI872" s="18"/>
      <c r="BJ872" s="18"/>
      <c r="BK872" s="18"/>
      <c r="BL872" s="18"/>
      <c r="BM872" s="18"/>
      <c r="BN872" s="18"/>
      <c r="BO872" s="18"/>
      <c r="BP872" s="18"/>
      <c r="BQ872" s="18"/>
      <c r="BR872" s="18"/>
      <c r="BS872" s="18"/>
      <c r="BT872" s="18"/>
      <c r="BU872" s="18"/>
      <c r="BV872" s="18"/>
      <c r="BW872" s="18"/>
      <c r="BX872" s="18"/>
      <c r="BY872" s="18"/>
      <c r="BZ872" s="18"/>
      <c r="CA872" s="18"/>
      <c r="CB872" s="18"/>
      <c r="CC872" s="18"/>
      <c r="CD872" s="18"/>
      <c r="CE872" s="18"/>
      <c r="CF872" s="18"/>
      <c r="CG872" s="18"/>
      <c r="CH872" s="18"/>
      <c r="CI872" s="18"/>
      <c r="CJ872" s="18"/>
      <c r="CK872" s="18"/>
      <c r="CL872" s="18"/>
      <c r="CM872" s="18"/>
      <c r="CN872" s="18"/>
      <c r="CO872" s="18"/>
      <c r="CP872" s="18"/>
      <c r="CQ872" s="18"/>
      <c r="CR872" s="18"/>
      <c r="CS872" s="18"/>
      <c r="CT872" s="18"/>
      <c r="CU872" s="18"/>
    </row>
    <row r="873" spans="1:99">
      <c r="A873" s="19"/>
      <c r="B873" s="19"/>
      <c r="C873" s="19"/>
      <c r="D873" s="19"/>
      <c r="E873" s="19"/>
      <c r="F873" s="19"/>
      <c r="G873" s="19"/>
      <c r="H873" s="19"/>
      <c r="I873" s="19"/>
      <c r="J873" s="19"/>
      <c r="K873" s="18"/>
      <c r="L873" s="18"/>
      <c r="M873" s="18"/>
      <c r="N873" s="18"/>
      <c r="O873" s="18"/>
      <c r="P873" s="18"/>
      <c r="Q873" s="18"/>
      <c r="R873" s="18"/>
      <c r="S873" s="18"/>
      <c r="T873" s="18"/>
      <c r="U873" s="18"/>
      <c r="V873" s="18"/>
      <c r="W873" s="18"/>
      <c r="X873" s="18"/>
      <c r="Y873" s="18"/>
      <c r="Z873" s="18"/>
      <c r="AA873" s="18"/>
      <c r="AB873" s="18"/>
      <c r="AC873" s="18"/>
      <c r="AD873" s="18"/>
      <c r="AE873" s="18"/>
      <c r="AF873" s="18"/>
      <c r="AG873" s="18"/>
      <c r="AH873" s="18"/>
      <c r="AI873" s="18"/>
      <c r="AJ873" s="18"/>
      <c r="AK873" s="18"/>
      <c r="AL873" s="18"/>
      <c r="AM873" s="18"/>
      <c r="AN873" s="18"/>
      <c r="AO873" s="18"/>
      <c r="AP873" s="18"/>
      <c r="AQ873" s="18"/>
      <c r="AR873" s="18"/>
      <c r="AS873" s="18"/>
      <c r="AT873" s="18"/>
      <c r="AU873" s="18"/>
      <c r="AV873" s="18"/>
      <c r="AW873" s="18"/>
      <c r="AX873" s="18"/>
      <c r="AY873" s="18"/>
      <c r="AZ873" s="18"/>
      <c r="BA873" s="18"/>
      <c r="BB873" s="18"/>
      <c r="BC873" s="18"/>
      <c r="BD873" s="18"/>
      <c r="BE873" s="18"/>
      <c r="BF873" s="18"/>
      <c r="BG873" s="18"/>
      <c r="BH873" s="18"/>
      <c r="BI873" s="18"/>
      <c r="BJ873" s="18"/>
      <c r="BK873" s="18"/>
      <c r="BL873" s="18"/>
      <c r="BM873" s="18"/>
      <c r="BN873" s="18"/>
      <c r="BO873" s="18"/>
      <c r="BP873" s="18"/>
      <c r="BQ873" s="18"/>
      <c r="BR873" s="18"/>
      <c r="BS873" s="18"/>
      <c r="BT873" s="18"/>
      <c r="BU873" s="18"/>
      <c r="BV873" s="18"/>
      <c r="BW873" s="18"/>
      <c r="BX873" s="18"/>
      <c r="BY873" s="18"/>
      <c r="BZ873" s="18"/>
      <c r="CA873" s="18"/>
      <c r="CB873" s="18"/>
      <c r="CC873" s="18"/>
      <c r="CD873" s="18"/>
      <c r="CE873" s="18"/>
      <c r="CF873" s="18"/>
      <c r="CG873" s="18"/>
      <c r="CH873" s="18"/>
      <c r="CI873" s="18"/>
      <c r="CJ873" s="18"/>
      <c r="CK873" s="18"/>
      <c r="CL873" s="18"/>
      <c r="CM873" s="18"/>
      <c r="CN873" s="18"/>
      <c r="CO873" s="18"/>
      <c r="CP873" s="18"/>
      <c r="CQ873" s="18"/>
      <c r="CR873" s="18"/>
      <c r="CS873" s="18"/>
      <c r="CT873" s="18"/>
      <c r="CU873" s="18"/>
    </row>
    <row r="874" spans="1:99">
      <c r="A874" s="19"/>
      <c r="B874" s="19"/>
      <c r="C874" s="19"/>
      <c r="D874" s="19"/>
      <c r="E874" s="19"/>
      <c r="F874" s="19"/>
      <c r="G874" s="19"/>
      <c r="H874" s="19"/>
      <c r="I874" s="19"/>
      <c r="J874" s="19"/>
      <c r="K874" s="18"/>
      <c r="L874" s="18"/>
      <c r="M874" s="18"/>
      <c r="N874" s="18"/>
      <c r="O874" s="18"/>
      <c r="P874" s="18"/>
      <c r="Q874" s="18"/>
      <c r="R874" s="18"/>
      <c r="S874" s="18"/>
      <c r="T874" s="18"/>
      <c r="U874" s="18"/>
      <c r="V874" s="18"/>
      <c r="W874" s="18"/>
      <c r="X874" s="18"/>
      <c r="Y874" s="18"/>
      <c r="Z874" s="18"/>
      <c r="AA874" s="18"/>
      <c r="AB874" s="18"/>
      <c r="AC874" s="18"/>
      <c r="AD874" s="18"/>
      <c r="AE874" s="18"/>
      <c r="AF874" s="18"/>
      <c r="AG874" s="18"/>
      <c r="AH874" s="18"/>
      <c r="AI874" s="18"/>
      <c r="AJ874" s="18"/>
      <c r="AK874" s="18"/>
      <c r="AL874" s="18"/>
      <c r="AM874" s="18"/>
      <c r="AN874" s="18"/>
      <c r="AO874" s="18"/>
      <c r="AP874" s="18"/>
      <c r="AQ874" s="18"/>
      <c r="AR874" s="18"/>
      <c r="AS874" s="18"/>
      <c r="AT874" s="18"/>
      <c r="AU874" s="18"/>
      <c r="AV874" s="18"/>
      <c r="AW874" s="18"/>
      <c r="AX874" s="18"/>
      <c r="AY874" s="18"/>
      <c r="AZ874" s="18"/>
      <c r="BA874" s="18"/>
      <c r="BB874" s="18"/>
      <c r="BC874" s="18"/>
      <c r="BD874" s="18"/>
      <c r="BE874" s="18"/>
      <c r="BF874" s="18"/>
      <c r="BG874" s="18"/>
      <c r="BH874" s="18"/>
      <c r="BI874" s="18"/>
      <c r="BJ874" s="18"/>
      <c r="BK874" s="18"/>
      <c r="BL874" s="18"/>
      <c r="BM874" s="18"/>
      <c r="BN874" s="18"/>
      <c r="BO874" s="18"/>
      <c r="BP874" s="18"/>
      <c r="BQ874" s="18"/>
      <c r="BR874" s="18"/>
      <c r="BS874" s="18"/>
      <c r="BT874" s="18"/>
      <c r="BU874" s="18"/>
      <c r="BV874" s="18"/>
      <c r="BW874" s="18"/>
      <c r="BX874" s="18"/>
      <c r="BY874" s="18"/>
      <c r="BZ874" s="18"/>
      <c r="CA874" s="18"/>
      <c r="CB874" s="18"/>
      <c r="CC874" s="18"/>
      <c r="CD874" s="18"/>
      <c r="CE874" s="18"/>
      <c r="CF874" s="18"/>
      <c r="CG874" s="18"/>
      <c r="CH874" s="18"/>
      <c r="CI874" s="18"/>
      <c r="CJ874" s="18"/>
      <c r="CK874" s="18"/>
      <c r="CL874" s="18"/>
      <c r="CM874" s="18"/>
      <c r="CN874" s="18"/>
      <c r="CO874" s="18"/>
      <c r="CP874" s="18"/>
      <c r="CQ874" s="18"/>
      <c r="CR874" s="18"/>
      <c r="CS874" s="18"/>
      <c r="CT874" s="18"/>
      <c r="CU874" s="18"/>
    </row>
    <row r="875" spans="1:99">
      <c r="A875" s="19"/>
      <c r="B875" s="19"/>
      <c r="C875" s="19"/>
      <c r="D875" s="19"/>
      <c r="E875" s="19"/>
      <c r="F875" s="19"/>
      <c r="G875" s="19"/>
      <c r="H875" s="19"/>
      <c r="I875" s="19"/>
      <c r="J875" s="19"/>
      <c r="K875" s="18"/>
      <c r="L875" s="18"/>
      <c r="M875" s="18"/>
      <c r="N875" s="18"/>
      <c r="O875" s="18"/>
      <c r="P875" s="18"/>
      <c r="Q875" s="18"/>
      <c r="R875" s="18"/>
      <c r="S875" s="18"/>
      <c r="T875" s="18"/>
      <c r="U875" s="18"/>
      <c r="V875" s="18"/>
      <c r="W875" s="18"/>
      <c r="X875" s="18"/>
      <c r="Y875" s="18"/>
      <c r="Z875" s="18"/>
      <c r="AA875" s="18"/>
      <c r="AB875" s="18"/>
      <c r="AC875" s="18"/>
      <c r="AD875" s="18"/>
      <c r="AE875" s="18"/>
      <c r="AF875" s="18"/>
      <c r="AG875" s="18"/>
      <c r="AH875" s="18"/>
      <c r="AI875" s="18"/>
      <c r="AJ875" s="18"/>
      <c r="AK875" s="18"/>
      <c r="AL875" s="18"/>
      <c r="AM875" s="18"/>
      <c r="AN875" s="18"/>
      <c r="AO875" s="18"/>
      <c r="AP875" s="18"/>
      <c r="AQ875" s="18"/>
      <c r="AR875" s="18"/>
      <c r="AS875" s="18"/>
      <c r="AT875" s="18"/>
      <c r="AU875" s="18"/>
      <c r="AV875" s="18"/>
      <c r="AW875" s="18"/>
      <c r="AX875" s="18"/>
      <c r="AY875" s="18"/>
      <c r="AZ875" s="18"/>
      <c r="BA875" s="18"/>
      <c r="BB875" s="18"/>
      <c r="BC875" s="18"/>
      <c r="BD875" s="18"/>
      <c r="BE875" s="18"/>
      <c r="BF875" s="18"/>
      <c r="BG875" s="18"/>
      <c r="BH875" s="18"/>
      <c r="BI875" s="18"/>
      <c r="BJ875" s="18"/>
      <c r="BK875" s="18"/>
      <c r="BL875" s="18"/>
      <c r="BM875" s="18"/>
      <c r="BN875" s="18"/>
      <c r="BO875" s="18"/>
      <c r="BP875" s="18"/>
      <c r="BQ875" s="18"/>
      <c r="BR875" s="18"/>
      <c r="BS875" s="18"/>
      <c r="BT875" s="18"/>
      <c r="BU875" s="18"/>
      <c r="BV875" s="18"/>
      <c r="BW875" s="18"/>
      <c r="BX875" s="18"/>
      <c r="BY875" s="18"/>
      <c r="BZ875" s="18"/>
      <c r="CA875" s="18"/>
      <c r="CB875" s="18"/>
      <c r="CC875" s="18"/>
      <c r="CD875" s="18"/>
      <c r="CE875" s="18"/>
      <c r="CF875" s="18"/>
      <c r="CG875" s="18"/>
      <c r="CH875" s="18"/>
      <c r="CI875" s="18"/>
      <c r="CJ875" s="18"/>
      <c r="CK875" s="18"/>
      <c r="CL875" s="18"/>
      <c r="CM875" s="18"/>
      <c r="CN875" s="18"/>
      <c r="CO875" s="18"/>
      <c r="CP875" s="18"/>
      <c r="CQ875" s="18"/>
      <c r="CR875" s="18"/>
      <c r="CS875" s="18"/>
      <c r="CT875" s="18"/>
      <c r="CU875" s="18"/>
    </row>
    <row r="876" spans="1:99">
      <c r="A876" s="19"/>
      <c r="B876" s="19"/>
      <c r="C876" s="19"/>
      <c r="D876" s="19"/>
      <c r="E876" s="19"/>
      <c r="F876" s="19"/>
      <c r="G876" s="19"/>
      <c r="H876" s="19"/>
      <c r="I876" s="19"/>
      <c r="J876" s="19"/>
      <c r="K876" s="18"/>
      <c r="L876" s="18"/>
      <c r="M876" s="18"/>
      <c r="N876" s="18"/>
      <c r="O876" s="18"/>
      <c r="P876" s="18"/>
      <c r="Q876" s="18"/>
      <c r="R876" s="18"/>
      <c r="S876" s="18"/>
      <c r="T876" s="18"/>
      <c r="U876" s="18"/>
      <c r="V876" s="18"/>
      <c r="W876" s="18"/>
      <c r="X876" s="18"/>
      <c r="Y876" s="18"/>
      <c r="Z876" s="18"/>
      <c r="AA876" s="18"/>
      <c r="AB876" s="18"/>
      <c r="AC876" s="18"/>
      <c r="AD876" s="18"/>
      <c r="AE876" s="18"/>
      <c r="AF876" s="18"/>
      <c r="AG876" s="18"/>
      <c r="AH876" s="18"/>
      <c r="AI876" s="18"/>
      <c r="AJ876" s="18"/>
      <c r="AK876" s="18"/>
      <c r="AL876" s="18"/>
      <c r="AM876" s="18"/>
      <c r="AN876" s="18"/>
      <c r="AO876" s="18"/>
      <c r="AP876" s="18"/>
      <c r="AQ876" s="18"/>
      <c r="AR876" s="18"/>
      <c r="AS876" s="18"/>
      <c r="AT876" s="18"/>
      <c r="AU876" s="18"/>
      <c r="AV876" s="18"/>
      <c r="AW876" s="18"/>
      <c r="AX876" s="18"/>
      <c r="AY876" s="18"/>
      <c r="AZ876" s="18"/>
      <c r="BA876" s="18"/>
      <c r="BB876" s="18"/>
      <c r="BC876" s="18"/>
      <c r="BD876" s="18"/>
      <c r="BE876" s="18"/>
      <c r="BF876" s="18"/>
      <c r="BG876" s="18"/>
      <c r="BH876" s="18"/>
      <c r="BI876" s="18"/>
      <c r="BJ876" s="18"/>
      <c r="BK876" s="18"/>
      <c r="BL876" s="18"/>
      <c r="BM876" s="18"/>
      <c r="BN876" s="18"/>
      <c r="BO876" s="18"/>
      <c r="BP876" s="18"/>
      <c r="BQ876" s="18"/>
      <c r="BR876" s="18"/>
      <c r="BS876" s="18"/>
      <c r="BT876" s="18"/>
      <c r="BU876" s="18"/>
      <c r="BV876" s="18"/>
      <c r="BW876" s="18"/>
      <c r="BX876" s="18"/>
      <c r="BY876" s="18"/>
      <c r="BZ876" s="18"/>
      <c r="CA876" s="18"/>
      <c r="CB876" s="18"/>
      <c r="CC876" s="18"/>
      <c r="CD876" s="18"/>
      <c r="CE876" s="18"/>
      <c r="CF876" s="18"/>
      <c r="CG876" s="18"/>
      <c r="CH876" s="18"/>
      <c r="CI876" s="18"/>
      <c r="CJ876" s="18"/>
      <c r="CK876" s="18"/>
      <c r="CL876" s="18"/>
      <c r="CM876" s="18"/>
      <c r="CN876" s="18"/>
      <c r="CO876" s="18"/>
      <c r="CP876" s="18"/>
      <c r="CQ876" s="18"/>
      <c r="CR876" s="18"/>
      <c r="CS876" s="18"/>
      <c r="CT876" s="18"/>
      <c r="CU876" s="18"/>
    </row>
    <row r="877" spans="1:99">
      <c r="A877" s="19"/>
      <c r="B877" s="19"/>
      <c r="C877" s="19"/>
      <c r="D877" s="19"/>
      <c r="E877" s="19"/>
      <c r="F877" s="19"/>
      <c r="G877" s="19"/>
      <c r="H877" s="19"/>
      <c r="I877" s="19"/>
      <c r="J877" s="19"/>
      <c r="K877" s="18"/>
      <c r="L877" s="18"/>
      <c r="M877" s="18"/>
      <c r="N877" s="18"/>
      <c r="O877" s="18"/>
      <c r="P877" s="18"/>
      <c r="Q877" s="18"/>
      <c r="R877" s="18"/>
      <c r="S877" s="18"/>
      <c r="T877" s="18"/>
      <c r="U877" s="18"/>
      <c r="V877" s="18"/>
      <c r="W877" s="18"/>
      <c r="X877" s="18"/>
      <c r="Y877" s="18"/>
      <c r="Z877" s="18"/>
      <c r="AA877" s="18"/>
      <c r="AB877" s="18"/>
      <c r="AC877" s="18"/>
      <c r="AD877" s="18"/>
      <c r="AE877" s="18"/>
      <c r="AF877" s="18"/>
      <c r="AG877" s="18"/>
      <c r="AH877" s="18"/>
      <c r="AI877" s="18"/>
      <c r="AJ877" s="18"/>
      <c r="AK877" s="18"/>
      <c r="AL877" s="18"/>
      <c r="AM877" s="18"/>
      <c r="AN877" s="18"/>
      <c r="AO877" s="18"/>
      <c r="AP877" s="18"/>
      <c r="AQ877" s="18"/>
      <c r="AR877" s="18"/>
      <c r="AS877" s="18"/>
      <c r="AT877" s="18"/>
      <c r="AU877" s="18"/>
      <c r="AV877" s="18"/>
      <c r="AW877" s="18"/>
      <c r="AX877" s="18"/>
      <c r="AY877" s="18"/>
      <c r="AZ877" s="18"/>
      <c r="BA877" s="18"/>
      <c r="BB877" s="18"/>
      <c r="BC877" s="18"/>
      <c r="BD877" s="18"/>
      <c r="BE877" s="18"/>
      <c r="BF877" s="18"/>
      <c r="BG877" s="18"/>
      <c r="BH877" s="18"/>
      <c r="BI877" s="18"/>
      <c r="BJ877" s="18"/>
      <c r="BK877" s="18"/>
      <c r="BL877" s="18"/>
      <c r="BM877" s="18"/>
      <c r="BN877" s="18"/>
      <c r="BO877" s="18"/>
      <c r="BP877" s="18"/>
      <c r="BQ877" s="18"/>
      <c r="BR877" s="18"/>
      <c r="BS877" s="18"/>
      <c r="BT877" s="18"/>
      <c r="BU877" s="18"/>
      <c r="BV877" s="18"/>
      <c r="BW877" s="18"/>
      <c r="BX877" s="18"/>
      <c r="BY877" s="18"/>
      <c r="BZ877" s="18"/>
      <c r="CA877" s="18"/>
      <c r="CB877" s="18"/>
      <c r="CC877" s="18"/>
      <c r="CD877" s="18"/>
      <c r="CE877" s="18"/>
      <c r="CF877" s="18"/>
      <c r="CG877" s="18"/>
      <c r="CH877" s="18"/>
      <c r="CI877" s="18"/>
      <c r="CJ877" s="18"/>
      <c r="CK877" s="18"/>
      <c r="CL877" s="18"/>
      <c r="CM877" s="18"/>
      <c r="CN877" s="18"/>
      <c r="CO877" s="18"/>
      <c r="CP877" s="18"/>
      <c r="CQ877" s="18"/>
      <c r="CR877" s="18"/>
      <c r="CS877" s="18"/>
      <c r="CT877" s="18"/>
      <c r="CU877" s="18"/>
    </row>
    <row r="878" spans="1:99">
      <c r="A878" s="19"/>
      <c r="B878" s="19"/>
      <c r="C878" s="19"/>
      <c r="D878" s="19"/>
      <c r="E878" s="19"/>
      <c r="F878" s="19"/>
      <c r="G878" s="19"/>
      <c r="H878" s="19"/>
      <c r="I878" s="19"/>
      <c r="J878" s="19"/>
      <c r="K878" s="18"/>
      <c r="L878" s="18"/>
      <c r="M878" s="18"/>
      <c r="N878" s="18"/>
      <c r="O878" s="18"/>
      <c r="P878" s="18"/>
      <c r="Q878" s="18"/>
      <c r="R878" s="18"/>
      <c r="S878" s="18"/>
      <c r="T878" s="18"/>
      <c r="U878" s="18"/>
      <c r="V878" s="18"/>
      <c r="W878" s="18"/>
      <c r="X878" s="18"/>
      <c r="Y878" s="18"/>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c r="BC878" s="18"/>
      <c r="BD878" s="18"/>
      <c r="BE878" s="18"/>
      <c r="BF878" s="18"/>
      <c r="BG878" s="18"/>
      <c r="BH878" s="18"/>
      <c r="BI878" s="18"/>
      <c r="BJ878" s="18"/>
      <c r="BK878" s="18"/>
      <c r="BL878" s="18"/>
      <c r="BM878" s="18"/>
      <c r="BN878" s="18"/>
      <c r="BO878" s="18"/>
      <c r="BP878" s="18"/>
      <c r="BQ878" s="18"/>
      <c r="BR878" s="18"/>
      <c r="BS878" s="18"/>
      <c r="BT878" s="18"/>
      <c r="BU878" s="18"/>
      <c r="BV878" s="18"/>
      <c r="BW878" s="18"/>
      <c r="BX878" s="18"/>
      <c r="BY878" s="18"/>
      <c r="BZ878" s="18"/>
      <c r="CA878" s="18"/>
      <c r="CB878" s="18"/>
      <c r="CC878" s="18"/>
      <c r="CD878" s="18"/>
      <c r="CE878" s="18"/>
      <c r="CF878" s="18"/>
      <c r="CG878" s="18"/>
      <c r="CH878" s="18"/>
      <c r="CI878" s="18"/>
      <c r="CJ878" s="18"/>
      <c r="CK878" s="18"/>
      <c r="CL878" s="18"/>
      <c r="CM878" s="18"/>
      <c r="CN878" s="18"/>
      <c r="CO878" s="18"/>
      <c r="CP878" s="18"/>
      <c r="CQ878" s="18"/>
      <c r="CR878" s="18"/>
      <c r="CS878" s="18"/>
      <c r="CT878" s="18"/>
      <c r="CU878" s="18"/>
    </row>
    <row r="879" spans="1:99">
      <c r="A879" s="19"/>
      <c r="B879" s="19"/>
      <c r="C879" s="19"/>
      <c r="D879" s="19"/>
      <c r="E879" s="19"/>
      <c r="F879" s="19"/>
      <c r="G879" s="19"/>
      <c r="H879" s="19"/>
      <c r="I879" s="19"/>
      <c r="J879" s="19"/>
      <c r="K879" s="18"/>
      <c r="L879" s="18"/>
      <c r="M879" s="18"/>
      <c r="N879" s="18"/>
      <c r="O879" s="18"/>
      <c r="P879" s="18"/>
      <c r="Q879" s="18"/>
      <c r="R879" s="18"/>
      <c r="S879" s="18"/>
      <c r="T879" s="18"/>
      <c r="U879" s="18"/>
      <c r="V879" s="18"/>
      <c r="W879" s="18"/>
      <c r="X879" s="18"/>
      <c r="Y879" s="18"/>
      <c r="Z879" s="18"/>
      <c r="AA879" s="18"/>
      <c r="AB879" s="18"/>
      <c r="AC879" s="18"/>
      <c r="AD879" s="18"/>
      <c r="AE879" s="18"/>
      <c r="AF879" s="18"/>
      <c r="AG879" s="18"/>
      <c r="AH879" s="18"/>
      <c r="AI879" s="18"/>
      <c r="AJ879" s="18"/>
      <c r="AK879" s="18"/>
      <c r="AL879" s="18"/>
      <c r="AM879" s="18"/>
      <c r="AN879" s="18"/>
      <c r="AO879" s="18"/>
      <c r="AP879" s="18"/>
      <c r="AQ879" s="18"/>
      <c r="AR879" s="18"/>
      <c r="AS879" s="18"/>
      <c r="AT879" s="18"/>
      <c r="AU879" s="18"/>
      <c r="AV879" s="18"/>
      <c r="AW879" s="18"/>
      <c r="AX879" s="18"/>
      <c r="AY879" s="18"/>
      <c r="AZ879" s="18"/>
      <c r="BA879" s="18"/>
      <c r="BB879" s="18"/>
      <c r="BC879" s="18"/>
      <c r="BD879" s="18"/>
      <c r="BE879" s="18"/>
      <c r="BF879" s="18"/>
      <c r="BG879" s="18"/>
      <c r="BH879" s="18"/>
      <c r="BI879" s="18"/>
      <c r="BJ879" s="18"/>
      <c r="BK879" s="18"/>
      <c r="BL879" s="18"/>
      <c r="BM879" s="18"/>
      <c r="BN879" s="18"/>
      <c r="BO879" s="18"/>
      <c r="BP879" s="18"/>
      <c r="BQ879" s="18"/>
      <c r="BR879" s="18"/>
      <c r="BS879" s="18"/>
      <c r="BT879" s="18"/>
      <c r="BU879" s="18"/>
      <c r="BV879" s="18"/>
      <c r="BW879" s="18"/>
      <c r="BX879" s="18"/>
      <c r="BY879" s="18"/>
      <c r="BZ879" s="18"/>
      <c r="CA879" s="18"/>
      <c r="CB879" s="18"/>
      <c r="CC879" s="18"/>
      <c r="CD879" s="18"/>
      <c r="CE879" s="18"/>
      <c r="CF879" s="18"/>
      <c r="CG879" s="18"/>
      <c r="CH879" s="18"/>
      <c r="CI879" s="18"/>
      <c r="CJ879" s="18"/>
      <c r="CK879" s="18"/>
      <c r="CL879" s="18"/>
      <c r="CM879" s="18"/>
      <c r="CN879" s="18"/>
      <c r="CO879" s="18"/>
      <c r="CP879" s="18"/>
      <c r="CQ879" s="18"/>
      <c r="CR879" s="18"/>
      <c r="CS879" s="18"/>
      <c r="CT879" s="18"/>
      <c r="CU879" s="18"/>
    </row>
    <row r="880" spans="1:99">
      <c r="A880" s="19"/>
      <c r="B880" s="19"/>
      <c r="C880" s="19"/>
      <c r="D880" s="19"/>
      <c r="E880" s="19"/>
      <c r="F880" s="19"/>
      <c r="G880" s="19"/>
      <c r="H880" s="19"/>
      <c r="I880" s="19"/>
      <c r="J880" s="19"/>
      <c r="K880" s="18"/>
      <c r="L880" s="18"/>
      <c r="M880" s="18"/>
      <c r="N880" s="18"/>
      <c r="O880" s="18"/>
      <c r="P880" s="18"/>
      <c r="Q880" s="18"/>
      <c r="R880" s="18"/>
      <c r="S880" s="18"/>
      <c r="T880" s="18"/>
      <c r="U880" s="18"/>
      <c r="V880" s="18"/>
      <c r="W880" s="18"/>
      <c r="X880" s="18"/>
      <c r="Y880" s="18"/>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c r="BC880" s="18"/>
      <c r="BD880" s="18"/>
      <c r="BE880" s="18"/>
      <c r="BF880" s="18"/>
      <c r="BG880" s="18"/>
      <c r="BH880" s="18"/>
      <c r="BI880" s="18"/>
      <c r="BJ880" s="18"/>
      <c r="BK880" s="18"/>
      <c r="BL880" s="18"/>
      <c r="BM880" s="18"/>
      <c r="BN880" s="18"/>
      <c r="BO880" s="18"/>
      <c r="BP880" s="18"/>
      <c r="BQ880" s="18"/>
      <c r="BR880" s="18"/>
      <c r="BS880" s="18"/>
      <c r="BT880" s="18"/>
      <c r="BU880" s="18"/>
      <c r="BV880" s="18"/>
      <c r="BW880" s="18"/>
      <c r="BX880" s="18"/>
      <c r="BY880" s="18"/>
      <c r="BZ880" s="18"/>
      <c r="CA880" s="18"/>
      <c r="CB880" s="18"/>
      <c r="CC880" s="18"/>
      <c r="CD880" s="18"/>
      <c r="CE880" s="18"/>
      <c r="CF880" s="18"/>
      <c r="CG880" s="18"/>
      <c r="CH880" s="18"/>
      <c r="CI880" s="18"/>
      <c r="CJ880" s="18"/>
      <c r="CK880" s="18"/>
      <c r="CL880" s="18"/>
      <c r="CM880" s="18"/>
      <c r="CN880" s="18"/>
      <c r="CO880" s="18"/>
      <c r="CP880" s="18"/>
      <c r="CQ880" s="18"/>
      <c r="CR880" s="18"/>
      <c r="CS880" s="18"/>
      <c r="CT880" s="18"/>
      <c r="CU880" s="18"/>
    </row>
    <row r="881" spans="1:99">
      <c r="A881" s="19"/>
      <c r="B881" s="19"/>
      <c r="C881" s="19"/>
      <c r="D881" s="19"/>
      <c r="E881" s="19"/>
      <c r="F881" s="19"/>
      <c r="G881" s="19"/>
      <c r="H881" s="19"/>
      <c r="I881" s="19"/>
      <c r="J881" s="19"/>
      <c r="K881" s="18"/>
      <c r="L881" s="18"/>
      <c r="M881" s="18"/>
      <c r="N881" s="18"/>
      <c r="O881" s="18"/>
      <c r="P881" s="18"/>
      <c r="Q881" s="18"/>
      <c r="R881" s="18"/>
      <c r="S881" s="18"/>
      <c r="T881" s="18"/>
      <c r="U881" s="18"/>
      <c r="V881" s="18"/>
      <c r="W881" s="18"/>
      <c r="X881" s="18"/>
      <c r="Y881" s="18"/>
      <c r="Z881" s="18"/>
      <c r="AA881" s="18"/>
      <c r="AB881" s="18"/>
      <c r="AC881" s="18"/>
      <c r="AD881" s="18"/>
      <c r="AE881" s="18"/>
      <c r="AF881" s="18"/>
      <c r="AG881" s="18"/>
      <c r="AH881" s="18"/>
      <c r="AI881" s="18"/>
      <c r="AJ881" s="18"/>
      <c r="AK881" s="18"/>
      <c r="AL881" s="18"/>
      <c r="AM881" s="18"/>
      <c r="AN881" s="18"/>
      <c r="AO881" s="18"/>
      <c r="AP881" s="18"/>
      <c r="AQ881" s="18"/>
      <c r="AR881" s="18"/>
      <c r="AS881" s="18"/>
      <c r="AT881" s="18"/>
      <c r="AU881" s="18"/>
      <c r="AV881" s="18"/>
      <c r="AW881" s="18"/>
      <c r="AX881" s="18"/>
      <c r="AY881" s="18"/>
      <c r="AZ881" s="18"/>
      <c r="BA881" s="18"/>
      <c r="BB881" s="18"/>
      <c r="BC881" s="18"/>
      <c r="BD881" s="18"/>
      <c r="BE881" s="18"/>
      <c r="BF881" s="18"/>
      <c r="BG881" s="18"/>
      <c r="BH881" s="18"/>
      <c r="BI881" s="18"/>
      <c r="BJ881" s="18"/>
      <c r="BK881" s="18"/>
      <c r="BL881" s="18"/>
      <c r="BM881" s="18"/>
      <c r="BN881" s="18"/>
      <c r="BO881" s="18"/>
      <c r="BP881" s="18"/>
      <c r="BQ881" s="18"/>
      <c r="BR881" s="18"/>
      <c r="BS881" s="18"/>
      <c r="BT881" s="18"/>
      <c r="BU881" s="18"/>
      <c r="BV881" s="18"/>
      <c r="BW881" s="18"/>
      <c r="BX881" s="18"/>
      <c r="BY881" s="18"/>
      <c r="BZ881" s="18"/>
      <c r="CA881" s="18"/>
      <c r="CB881" s="18"/>
      <c r="CC881" s="18"/>
      <c r="CD881" s="18"/>
      <c r="CE881" s="18"/>
      <c r="CF881" s="18"/>
      <c r="CG881" s="18"/>
      <c r="CH881" s="18"/>
      <c r="CI881" s="18"/>
      <c r="CJ881" s="18"/>
      <c r="CK881" s="18"/>
      <c r="CL881" s="18"/>
      <c r="CM881" s="18"/>
      <c r="CN881" s="18"/>
      <c r="CO881" s="18"/>
      <c r="CP881" s="18"/>
      <c r="CQ881" s="18"/>
      <c r="CR881" s="18"/>
      <c r="CS881" s="18"/>
      <c r="CT881" s="18"/>
      <c r="CU881" s="18"/>
    </row>
    <row r="882" spans="1:99">
      <c r="A882" s="19"/>
      <c r="B882" s="19"/>
      <c r="C882" s="19"/>
      <c r="D882" s="19"/>
      <c r="E882" s="19"/>
      <c r="F882" s="19"/>
      <c r="G882" s="19"/>
      <c r="H882" s="19"/>
      <c r="I882" s="19"/>
      <c r="J882" s="19"/>
      <c r="K882" s="18"/>
      <c r="L882" s="18"/>
      <c r="M882" s="18"/>
      <c r="N882" s="18"/>
      <c r="O882" s="18"/>
      <c r="P882" s="18"/>
      <c r="Q882" s="18"/>
      <c r="R882" s="18"/>
      <c r="S882" s="18"/>
      <c r="T882" s="18"/>
      <c r="U882" s="18"/>
      <c r="V882" s="18"/>
      <c r="W882" s="18"/>
      <c r="X882" s="18"/>
      <c r="Y882" s="18"/>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c r="BC882" s="18"/>
      <c r="BD882" s="18"/>
      <c r="BE882" s="18"/>
      <c r="BF882" s="18"/>
      <c r="BG882" s="18"/>
      <c r="BH882" s="18"/>
      <c r="BI882" s="18"/>
      <c r="BJ882" s="18"/>
      <c r="BK882" s="18"/>
      <c r="BL882" s="18"/>
      <c r="BM882" s="18"/>
      <c r="BN882" s="18"/>
      <c r="BO882" s="18"/>
      <c r="BP882" s="18"/>
      <c r="BQ882" s="18"/>
      <c r="BR882" s="18"/>
      <c r="BS882" s="18"/>
      <c r="BT882" s="18"/>
      <c r="BU882" s="18"/>
      <c r="BV882" s="18"/>
      <c r="BW882" s="18"/>
      <c r="BX882" s="18"/>
      <c r="BY882" s="18"/>
      <c r="BZ882" s="18"/>
      <c r="CA882" s="18"/>
      <c r="CB882" s="18"/>
      <c r="CC882" s="18"/>
      <c r="CD882" s="18"/>
      <c r="CE882" s="18"/>
      <c r="CF882" s="18"/>
      <c r="CG882" s="18"/>
      <c r="CH882" s="18"/>
      <c r="CI882" s="18"/>
      <c r="CJ882" s="18"/>
      <c r="CK882" s="18"/>
      <c r="CL882" s="18"/>
      <c r="CM882" s="18"/>
      <c r="CN882" s="18"/>
      <c r="CO882" s="18"/>
      <c r="CP882" s="18"/>
      <c r="CQ882" s="18"/>
      <c r="CR882" s="18"/>
      <c r="CS882" s="18"/>
      <c r="CT882" s="18"/>
      <c r="CU882" s="18"/>
    </row>
    <row r="883" spans="1:99">
      <c r="A883" s="19"/>
      <c r="B883" s="19"/>
      <c r="C883" s="19"/>
      <c r="D883" s="19"/>
      <c r="E883" s="19"/>
      <c r="F883" s="19"/>
      <c r="G883" s="19"/>
      <c r="H883" s="19"/>
      <c r="I883" s="19"/>
      <c r="J883" s="19"/>
      <c r="K883" s="18"/>
      <c r="L883" s="18"/>
      <c r="M883" s="18"/>
      <c r="N883" s="18"/>
      <c r="O883" s="18"/>
      <c r="P883" s="18"/>
      <c r="Q883" s="18"/>
      <c r="R883" s="18"/>
      <c r="S883" s="18"/>
      <c r="T883" s="18"/>
      <c r="U883" s="18"/>
      <c r="V883" s="18"/>
      <c r="W883" s="18"/>
      <c r="X883" s="18"/>
      <c r="Y883" s="18"/>
      <c r="Z883" s="18"/>
      <c r="AA883" s="18"/>
      <c r="AB883" s="18"/>
      <c r="AC883" s="18"/>
      <c r="AD883" s="18"/>
      <c r="AE883" s="18"/>
      <c r="AF883" s="18"/>
      <c r="AG883" s="18"/>
      <c r="AH883" s="18"/>
      <c r="AI883" s="18"/>
      <c r="AJ883" s="18"/>
      <c r="AK883" s="18"/>
      <c r="AL883" s="18"/>
      <c r="AM883" s="18"/>
      <c r="AN883" s="18"/>
      <c r="AO883" s="18"/>
      <c r="AP883" s="18"/>
      <c r="AQ883" s="18"/>
      <c r="AR883" s="18"/>
      <c r="AS883" s="18"/>
      <c r="AT883" s="18"/>
      <c r="AU883" s="18"/>
      <c r="AV883" s="18"/>
      <c r="AW883" s="18"/>
      <c r="AX883" s="18"/>
      <c r="AY883" s="18"/>
      <c r="AZ883" s="18"/>
      <c r="BA883" s="18"/>
      <c r="BB883" s="18"/>
      <c r="BC883" s="18"/>
      <c r="BD883" s="18"/>
      <c r="BE883" s="18"/>
      <c r="BF883" s="18"/>
      <c r="BG883" s="18"/>
      <c r="BH883" s="18"/>
      <c r="BI883" s="18"/>
      <c r="BJ883" s="18"/>
      <c r="BK883" s="18"/>
      <c r="BL883" s="18"/>
      <c r="BM883" s="18"/>
      <c r="BN883" s="18"/>
      <c r="BO883" s="18"/>
      <c r="BP883" s="18"/>
      <c r="BQ883" s="18"/>
      <c r="BR883" s="18"/>
      <c r="BS883" s="18"/>
      <c r="BT883" s="18"/>
      <c r="BU883" s="18"/>
      <c r="BV883" s="18"/>
      <c r="BW883" s="18"/>
      <c r="BX883" s="18"/>
      <c r="BY883" s="18"/>
      <c r="BZ883" s="18"/>
      <c r="CA883" s="18"/>
      <c r="CB883" s="18"/>
      <c r="CC883" s="18"/>
      <c r="CD883" s="18"/>
      <c r="CE883" s="18"/>
      <c r="CF883" s="18"/>
      <c r="CG883" s="18"/>
      <c r="CH883" s="18"/>
      <c r="CI883" s="18"/>
      <c r="CJ883" s="18"/>
      <c r="CK883" s="18"/>
      <c r="CL883" s="18"/>
      <c r="CM883" s="18"/>
      <c r="CN883" s="18"/>
      <c r="CO883" s="18"/>
      <c r="CP883" s="18"/>
      <c r="CQ883" s="18"/>
      <c r="CR883" s="18"/>
      <c r="CS883" s="18"/>
      <c r="CT883" s="18"/>
      <c r="CU883" s="18"/>
    </row>
    <row r="884" spans="1:99">
      <c r="A884" s="19"/>
      <c r="B884" s="19"/>
      <c r="C884" s="19"/>
      <c r="D884" s="19"/>
      <c r="E884" s="19"/>
      <c r="F884" s="19"/>
      <c r="G884" s="19"/>
      <c r="H884" s="19"/>
      <c r="I884" s="19"/>
      <c r="J884" s="19"/>
      <c r="K884" s="18"/>
      <c r="L884" s="18"/>
      <c r="M884" s="18"/>
      <c r="N884" s="18"/>
      <c r="O884" s="18"/>
      <c r="P884" s="18"/>
      <c r="Q884" s="18"/>
      <c r="R884" s="18"/>
      <c r="S884" s="18"/>
      <c r="T884" s="18"/>
      <c r="U884" s="18"/>
      <c r="V884" s="18"/>
      <c r="W884" s="18"/>
      <c r="X884" s="18"/>
      <c r="Y884" s="18"/>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c r="BC884" s="18"/>
      <c r="BD884" s="18"/>
      <c r="BE884" s="18"/>
      <c r="BF884" s="18"/>
      <c r="BG884" s="18"/>
      <c r="BH884" s="18"/>
      <c r="BI884" s="18"/>
      <c r="BJ884" s="18"/>
      <c r="BK884" s="18"/>
      <c r="BL884" s="18"/>
      <c r="BM884" s="18"/>
      <c r="BN884" s="18"/>
      <c r="BO884" s="18"/>
      <c r="BP884" s="18"/>
      <c r="BQ884" s="18"/>
      <c r="BR884" s="18"/>
      <c r="BS884" s="18"/>
      <c r="BT884" s="18"/>
      <c r="BU884" s="18"/>
      <c r="BV884" s="18"/>
      <c r="BW884" s="18"/>
      <c r="BX884" s="18"/>
      <c r="BY884" s="18"/>
      <c r="BZ884" s="18"/>
      <c r="CA884" s="18"/>
      <c r="CB884" s="18"/>
      <c r="CC884" s="18"/>
      <c r="CD884" s="18"/>
      <c r="CE884" s="18"/>
      <c r="CF884" s="18"/>
      <c r="CG884" s="18"/>
      <c r="CH884" s="18"/>
      <c r="CI884" s="18"/>
      <c r="CJ884" s="18"/>
      <c r="CK884" s="18"/>
      <c r="CL884" s="18"/>
      <c r="CM884" s="18"/>
      <c r="CN884" s="18"/>
      <c r="CO884" s="18"/>
      <c r="CP884" s="18"/>
      <c r="CQ884" s="18"/>
      <c r="CR884" s="18"/>
      <c r="CS884" s="18"/>
      <c r="CT884" s="18"/>
      <c r="CU884" s="18"/>
    </row>
    <row r="885" spans="1:99">
      <c r="A885" s="19"/>
      <c r="B885" s="19"/>
      <c r="C885" s="19"/>
      <c r="D885" s="19"/>
      <c r="E885" s="19"/>
      <c r="F885" s="19"/>
      <c r="G885" s="19"/>
      <c r="H885" s="19"/>
      <c r="I885" s="19"/>
      <c r="J885" s="19"/>
      <c r="K885" s="18"/>
      <c r="L885" s="18"/>
      <c r="M885" s="18"/>
      <c r="N885" s="18"/>
      <c r="O885" s="18"/>
      <c r="P885" s="18"/>
      <c r="Q885" s="18"/>
      <c r="R885" s="18"/>
      <c r="S885" s="18"/>
      <c r="T885" s="18"/>
      <c r="U885" s="18"/>
      <c r="V885" s="18"/>
      <c r="W885" s="18"/>
      <c r="X885" s="18"/>
      <c r="Y885" s="18"/>
      <c r="Z885" s="18"/>
      <c r="AA885" s="18"/>
      <c r="AB885" s="18"/>
      <c r="AC885" s="18"/>
      <c r="AD885" s="18"/>
      <c r="AE885" s="18"/>
      <c r="AF885" s="18"/>
      <c r="AG885" s="18"/>
      <c r="AH885" s="18"/>
      <c r="AI885" s="18"/>
      <c r="AJ885" s="18"/>
      <c r="AK885" s="18"/>
      <c r="AL885" s="18"/>
      <c r="AM885" s="18"/>
      <c r="AN885" s="18"/>
      <c r="AO885" s="18"/>
      <c r="AP885" s="18"/>
      <c r="AQ885" s="18"/>
      <c r="AR885" s="18"/>
      <c r="AS885" s="18"/>
      <c r="AT885" s="18"/>
      <c r="AU885" s="18"/>
      <c r="AV885" s="18"/>
      <c r="AW885" s="18"/>
      <c r="AX885" s="18"/>
      <c r="AY885" s="18"/>
      <c r="AZ885" s="18"/>
      <c r="BA885" s="18"/>
      <c r="BB885" s="18"/>
      <c r="BC885" s="18"/>
      <c r="BD885" s="18"/>
      <c r="BE885" s="18"/>
      <c r="BF885" s="18"/>
      <c r="BG885" s="18"/>
      <c r="BH885" s="18"/>
      <c r="BI885" s="18"/>
      <c r="BJ885" s="18"/>
      <c r="BK885" s="18"/>
      <c r="BL885" s="18"/>
      <c r="BM885" s="18"/>
      <c r="BN885" s="18"/>
      <c r="BO885" s="18"/>
      <c r="BP885" s="18"/>
      <c r="BQ885" s="18"/>
      <c r="BR885" s="18"/>
      <c r="BS885" s="18"/>
      <c r="BT885" s="18"/>
      <c r="BU885" s="18"/>
      <c r="BV885" s="18"/>
      <c r="BW885" s="18"/>
      <c r="BX885" s="18"/>
      <c r="BY885" s="18"/>
      <c r="BZ885" s="18"/>
      <c r="CA885" s="18"/>
      <c r="CB885" s="18"/>
      <c r="CC885" s="18"/>
      <c r="CD885" s="18"/>
      <c r="CE885" s="18"/>
      <c r="CF885" s="18"/>
      <c r="CG885" s="18"/>
      <c r="CH885" s="18"/>
      <c r="CI885" s="18"/>
      <c r="CJ885" s="18"/>
      <c r="CK885" s="18"/>
      <c r="CL885" s="18"/>
      <c r="CM885" s="18"/>
      <c r="CN885" s="18"/>
      <c r="CO885" s="18"/>
      <c r="CP885" s="18"/>
      <c r="CQ885" s="18"/>
      <c r="CR885" s="18"/>
      <c r="CS885" s="18"/>
      <c r="CT885" s="18"/>
      <c r="CU885" s="18"/>
    </row>
    <row r="886" spans="1:99">
      <c r="A886" s="19"/>
      <c r="B886" s="19"/>
      <c r="C886" s="19"/>
      <c r="D886" s="19"/>
      <c r="E886" s="19"/>
      <c r="F886" s="19"/>
      <c r="G886" s="19"/>
      <c r="H886" s="19"/>
      <c r="I886" s="19"/>
      <c r="J886" s="19"/>
      <c r="K886" s="18"/>
      <c r="L886" s="18"/>
      <c r="M886" s="18"/>
      <c r="N886" s="18"/>
      <c r="O886" s="18"/>
      <c r="P886" s="18"/>
      <c r="Q886" s="18"/>
      <c r="R886" s="18"/>
      <c r="S886" s="18"/>
      <c r="T886" s="18"/>
      <c r="U886" s="18"/>
      <c r="V886" s="18"/>
      <c r="W886" s="18"/>
      <c r="X886" s="18"/>
      <c r="Y886" s="18"/>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c r="BC886" s="18"/>
      <c r="BD886" s="18"/>
      <c r="BE886" s="18"/>
      <c r="BF886" s="18"/>
      <c r="BG886" s="18"/>
      <c r="BH886" s="18"/>
      <c r="BI886" s="18"/>
      <c r="BJ886" s="18"/>
      <c r="BK886" s="18"/>
      <c r="BL886" s="18"/>
      <c r="BM886" s="18"/>
      <c r="BN886" s="18"/>
      <c r="BO886" s="18"/>
      <c r="BP886" s="18"/>
      <c r="BQ886" s="18"/>
      <c r="BR886" s="18"/>
      <c r="BS886" s="18"/>
      <c r="BT886" s="18"/>
      <c r="BU886" s="18"/>
      <c r="BV886" s="18"/>
      <c r="BW886" s="18"/>
      <c r="BX886" s="18"/>
      <c r="BY886" s="18"/>
      <c r="BZ886" s="18"/>
      <c r="CA886" s="18"/>
      <c r="CB886" s="18"/>
      <c r="CC886" s="18"/>
      <c r="CD886" s="18"/>
      <c r="CE886" s="18"/>
      <c r="CF886" s="18"/>
      <c r="CG886" s="18"/>
      <c r="CH886" s="18"/>
      <c r="CI886" s="18"/>
      <c r="CJ886" s="18"/>
      <c r="CK886" s="18"/>
      <c r="CL886" s="18"/>
      <c r="CM886" s="18"/>
      <c r="CN886" s="18"/>
      <c r="CO886" s="18"/>
      <c r="CP886" s="18"/>
      <c r="CQ886" s="18"/>
      <c r="CR886" s="18"/>
      <c r="CS886" s="18"/>
      <c r="CT886" s="18"/>
      <c r="CU886" s="18"/>
    </row>
    <row r="887" spans="1:99">
      <c r="A887" s="19"/>
      <c r="B887" s="19"/>
      <c r="C887" s="19"/>
      <c r="D887" s="19"/>
      <c r="E887" s="19"/>
      <c r="F887" s="19"/>
      <c r="G887" s="19"/>
      <c r="H887" s="19"/>
      <c r="I887" s="19"/>
      <c r="J887" s="19"/>
      <c r="K887" s="18"/>
      <c r="L887" s="18"/>
      <c r="M887" s="18"/>
      <c r="N887" s="18"/>
      <c r="O887" s="18"/>
      <c r="P887" s="18"/>
      <c r="Q887" s="18"/>
      <c r="R887" s="18"/>
      <c r="S887" s="18"/>
      <c r="T887" s="18"/>
      <c r="U887" s="18"/>
      <c r="V887" s="18"/>
      <c r="W887" s="18"/>
      <c r="X887" s="18"/>
      <c r="Y887" s="18"/>
      <c r="Z887" s="18"/>
      <c r="AA887" s="18"/>
      <c r="AB887" s="18"/>
      <c r="AC887" s="18"/>
      <c r="AD887" s="18"/>
      <c r="AE887" s="18"/>
      <c r="AF887" s="18"/>
      <c r="AG887" s="18"/>
      <c r="AH887" s="18"/>
      <c r="AI887" s="18"/>
      <c r="AJ887" s="18"/>
      <c r="AK887" s="18"/>
      <c r="AL887" s="18"/>
      <c r="AM887" s="18"/>
      <c r="AN887" s="18"/>
      <c r="AO887" s="18"/>
      <c r="AP887" s="18"/>
      <c r="AQ887" s="18"/>
      <c r="AR887" s="18"/>
      <c r="AS887" s="18"/>
      <c r="AT887" s="18"/>
      <c r="AU887" s="18"/>
      <c r="AV887" s="18"/>
      <c r="AW887" s="18"/>
      <c r="AX887" s="18"/>
      <c r="AY887" s="18"/>
      <c r="AZ887" s="18"/>
      <c r="BA887" s="18"/>
      <c r="BB887" s="18"/>
      <c r="BC887" s="18"/>
      <c r="BD887" s="18"/>
      <c r="BE887" s="18"/>
      <c r="BF887" s="18"/>
      <c r="BG887" s="18"/>
      <c r="BH887" s="18"/>
      <c r="BI887" s="18"/>
      <c r="BJ887" s="18"/>
      <c r="BK887" s="18"/>
      <c r="BL887" s="18"/>
      <c r="BM887" s="18"/>
      <c r="BN887" s="18"/>
      <c r="BO887" s="18"/>
      <c r="BP887" s="18"/>
      <c r="BQ887" s="18"/>
      <c r="BR887" s="18"/>
      <c r="BS887" s="18"/>
      <c r="BT887" s="18"/>
      <c r="BU887" s="18"/>
      <c r="BV887" s="18"/>
      <c r="BW887" s="18"/>
      <c r="BX887" s="18"/>
      <c r="BY887" s="18"/>
      <c r="BZ887" s="18"/>
      <c r="CA887" s="18"/>
      <c r="CB887" s="18"/>
      <c r="CC887" s="18"/>
      <c r="CD887" s="18"/>
      <c r="CE887" s="18"/>
      <c r="CF887" s="18"/>
      <c r="CG887" s="18"/>
      <c r="CH887" s="18"/>
      <c r="CI887" s="18"/>
      <c r="CJ887" s="18"/>
      <c r="CK887" s="18"/>
      <c r="CL887" s="18"/>
      <c r="CM887" s="18"/>
      <c r="CN887" s="18"/>
      <c r="CO887" s="18"/>
      <c r="CP887" s="18"/>
      <c r="CQ887" s="18"/>
      <c r="CR887" s="18"/>
      <c r="CS887" s="18"/>
      <c r="CT887" s="18"/>
      <c r="CU887" s="18"/>
    </row>
    <row r="888" spans="1:99">
      <c r="A888" s="19"/>
      <c r="B888" s="19"/>
      <c r="C888" s="19"/>
      <c r="D888" s="19"/>
      <c r="E888" s="19"/>
      <c r="F888" s="19"/>
      <c r="G888" s="19"/>
      <c r="H888" s="19"/>
      <c r="I888" s="19"/>
      <c r="J888" s="19"/>
      <c r="K888" s="18"/>
      <c r="L888" s="18"/>
      <c r="M888" s="18"/>
      <c r="N888" s="18"/>
      <c r="O888" s="18"/>
      <c r="P888" s="18"/>
      <c r="Q888" s="18"/>
      <c r="R888" s="18"/>
      <c r="S888" s="18"/>
      <c r="T888" s="18"/>
      <c r="U888" s="18"/>
      <c r="V888" s="18"/>
      <c r="W888" s="18"/>
      <c r="X888" s="18"/>
      <c r="Y888" s="18"/>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c r="BC888" s="18"/>
      <c r="BD888" s="18"/>
      <c r="BE888" s="18"/>
      <c r="BF888" s="18"/>
      <c r="BG888" s="18"/>
      <c r="BH888" s="18"/>
      <c r="BI888" s="18"/>
      <c r="BJ888" s="18"/>
      <c r="BK888" s="18"/>
      <c r="BL888" s="18"/>
      <c r="BM888" s="18"/>
      <c r="BN888" s="18"/>
      <c r="BO888" s="18"/>
      <c r="BP888" s="18"/>
      <c r="BQ888" s="18"/>
      <c r="BR888" s="18"/>
      <c r="BS888" s="18"/>
      <c r="BT888" s="18"/>
      <c r="BU888" s="18"/>
      <c r="BV888" s="18"/>
      <c r="BW888" s="18"/>
      <c r="BX888" s="18"/>
      <c r="BY888" s="18"/>
      <c r="BZ888" s="18"/>
      <c r="CA888" s="18"/>
      <c r="CB888" s="18"/>
      <c r="CC888" s="18"/>
      <c r="CD888" s="18"/>
      <c r="CE888" s="18"/>
      <c r="CF888" s="18"/>
      <c r="CG888" s="18"/>
      <c r="CH888" s="18"/>
      <c r="CI888" s="18"/>
      <c r="CJ888" s="18"/>
      <c r="CK888" s="18"/>
      <c r="CL888" s="18"/>
      <c r="CM888" s="18"/>
      <c r="CN888" s="18"/>
      <c r="CO888" s="18"/>
      <c r="CP888" s="18"/>
      <c r="CQ888" s="18"/>
      <c r="CR888" s="18"/>
      <c r="CS888" s="18"/>
      <c r="CT888" s="18"/>
      <c r="CU888" s="18"/>
    </row>
    <row r="889" spans="1:99">
      <c r="A889" s="19"/>
      <c r="B889" s="19"/>
      <c r="C889" s="19"/>
      <c r="D889" s="19"/>
      <c r="E889" s="19"/>
      <c r="F889" s="19"/>
      <c r="G889" s="19"/>
      <c r="H889" s="19"/>
      <c r="I889" s="19"/>
      <c r="J889" s="19"/>
      <c r="K889" s="18"/>
      <c r="L889" s="18"/>
      <c r="M889" s="18"/>
      <c r="N889" s="18"/>
      <c r="O889" s="18"/>
      <c r="P889" s="18"/>
      <c r="Q889" s="18"/>
      <c r="R889" s="18"/>
      <c r="S889" s="18"/>
      <c r="T889" s="18"/>
      <c r="U889" s="18"/>
      <c r="V889" s="18"/>
      <c r="W889" s="18"/>
      <c r="X889" s="18"/>
      <c r="Y889" s="18"/>
      <c r="Z889" s="18"/>
      <c r="AA889" s="18"/>
      <c r="AB889" s="18"/>
      <c r="AC889" s="18"/>
      <c r="AD889" s="18"/>
      <c r="AE889" s="18"/>
      <c r="AF889" s="18"/>
      <c r="AG889" s="18"/>
      <c r="AH889" s="18"/>
      <c r="AI889" s="18"/>
      <c r="AJ889" s="18"/>
      <c r="AK889" s="18"/>
      <c r="AL889" s="18"/>
      <c r="AM889" s="18"/>
      <c r="AN889" s="18"/>
      <c r="AO889" s="18"/>
      <c r="AP889" s="18"/>
      <c r="AQ889" s="18"/>
      <c r="AR889" s="18"/>
      <c r="AS889" s="18"/>
      <c r="AT889" s="18"/>
      <c r="AU889" s="18"/>
      <c r="AV889" s="18"/>
      <c r="AW889" s="18"/>
      <c r="AX889" s="18"/>
      <c r="AY889" s="18"/>
      <c r="AZ889" s="18"/>
      <c r="BA889" s="18"/>
      <c r="BB889" s="18"/>
      <c r="BC889" s="18"/>
      <c r="BD889" s="18"/>
      <c r="BE889" s="18"/>
      <c r="BF889" s="18"/>
      <c r="BG889" s="18"/>
      <c r="BH889" s="18"/>
      <c r="BI889" s="18"/>
      <c r="BJ889" s="18"/>
      <c r="BK889" s="18"/>
      <c r="BL889" s="18"/>
      <c r="BM889" s="18"/>
      <c r="BN889" s="18"/>
      <c r="BO889" s="18"/>
      <c r="BP889" s="18"/>
      <c r="BQ889" s="18"/>
      <c r="BR889" s="18"/>
      <c r="BS889" s="18"/>
      <c r="BT889" s="18"/>
      <c r="BU889" s="18"/>
      <c r="BV889" s="18"/>
      <c r="BW889" s="18"/>
      <c r="BX889" s="18"/>
      <c r="BY889" s="18"/>
      <c r="BZ889" s="18"/>
      <c r="CA889" s="18"/>
      <c r="CB889" s="18"/>
      <c r="CC889" s="18"/>
      <c r="CD889" s="18"/>
      <c r="CE889" s="18"/>
      <c r="CF889" s="18"/>
      <c r="CG889" s="18"/>
      <c r="CH889" s="18"/>
      <c r="CI889" s="18"/>
      <c r="CJ889" s="18"/>
      <c r="CK889" s="18"/>
      <c r="CL889" s="18"/>
      <c r="CM889" s="18"/>
      <c r="CN889" s="18"/>
      <c r="CO889" s="18"/>
      <c r="CP889" s="18"/>
      <c r="CQ889" s="18"/>
      <c r="CR889" s="18"/>
      <c r="CS889" s="18"/>
      <c r="CT889" s="18"/>
      <c r="CU889" s="18"/>
    </row>
    <row r="890" spans="1:99">
      <c r="A890" s="19"/>
      <c r="B890" s="19"/>
      <c r="C890" s="19"/>
      <c r="D890" s="19"/>
      <c r="E890" s="19"/>
      <c r="F890" s="19"/>
      <c r="G890" s="19"/>
      <c r="H890" s="19"/>
      <c r="I890" s="19"/>
      <c r="J890" s="19"/>
      <c r="K890" s="18"/>
      <c r="L890" s="18"/>
      <c r="M890" s="18"/>
      <c r="N890" s="18"/>
      <c r="O890" s="18"/>
      <c r="P890" s="18"/>
      <c r="Q890" s="18"/>
      <c r="R890" s="18"/>
      <c r="S890" s="18"/>
      <c r="T890" s="18"/>
      <c r="U890" s="18"/>
      <c r="V890" s="18"/>
      <c r="W890" s="18"/>
      <c r="X890" s="18"/>
      <c r="Y890" s="18"/>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c r="BC890" s="18"/>
      <c r="BD890" s="18"/>
      <c r="BE890" s="18"/>
      <c r="BF890" s="18"/>
      <c r="BG890" s="18"/>
      <c r="BH890" s="18"/>
      <c r="BI890" s="18"/>
      <c r="BJ890" s="18"/>
      <c r="BK890" s="18"/>
      <c r="BL890" s="18"/>
      <c r="BM890" s="18"/>
      <c r="BN890" s="18"/>
      <c r="BO890" s="18"/>
      <c r="BP890" s="18"/>
      <c r="BQ890" s="18"/>
      <c r="BR890" s="18"/>
      <c r="BS890" s="18"/>
      <c r="BT890" s="18"/>
      <c r="BU890" s="18"/>
      <c r="BV890" s="18"/>
      <c r="BW890" s="18"/>
      <c r="BX890" s="18"/>
      <c r="BY890" s="18"/>
      <c r="BZ890" s="18"/>
      <c r="CA890" s="18"/>
      <c r="CB890" s="18"/>
      <c r="CC890" s="18"/>
      <c r="CD890" s="18"/>
      <c r="CE890" s="18"/>
      <c r="CF890" s="18"/>
      <c r="CG890" s="18"/>
      <c r="CH890" s="18"/>
      <c r="CI890" s="18"/>
      <c r="CJ890" s="18"/>
      <c r="CK890" s="18"/>
      <c r="CL890" s="18"/>
      <c r="CM890" s="18"/>
      <c r="CN890" s="18"/>
      <c r="CO890" s="18"/>
      <c r="CP890" s="18"/>
      <c r="CQ890" s="18"/>
      <c r="CR890" s="18"/>
      <c r="CS890" s="18"/>
      <c r="CT890" s="18"/>
      <c r="CU890" s="18"/>
    </row>
    <row r="891" spans="1:99">
      <c r="A891" s="19"/>
      <c r="B891" s="19"/>
      <c r="C891" s="19"/>
      <c r="D891" s="19"/>
      <c r="E891" s="19"/>
      <c r="F891" s="19"/>
      <c r="G891" s="19"/>
      <c r="H891" s="19"/>
      <c r="I891" s="19"/>
      <c r="J891" s="19"/>
      <c r="K891" s="18"/>
      <c r="L891" s="18"/>
      <c r="M891" s="18"/>
      <c r="N891" s="18"/>
      <c r="O891" s="18"/>
      <c r="P891" s="18"/>
      <c r="Q891" s="18"/>
      <c r="R891" s="18"/>
      <c r="S891" s="18"/>
      <c r="T891" s="18"/>
      <c r="U891" s="18"/>
      <c r="V891" s="18"/>
      <c r="W891" s="18"/>
      <c r="X891" s="18"/>
      <c r="Y891" s="18"/>
      <c r="Z891" s="18"/>
      <c r="AA891" s="18"/>
      <c r="AB891" s="18"/>
      <c r="AC891" s="18"/>
      <c r="AD891" s="18"/>
      <c r="AE891" s="18"/>
      <c r="AF891" s="18"/>
      <c r="AG891" s="18"/>
      <c r="AH891" s="18"/>
      <c r="AI891" s="18"/>
      <c r="AJ891" s="18"/>
      <c r="AK891" s="18"/>
      <c r="AL891" s="18"/>
      <c r="AM891" s="18"/>
      <c r="AN891" s="18"/>
      <c r="AO891" s="18"/>
      <c r="AP891" s="18"/>
      <c r="AQ891" s="18"/>
      <c r="AR891" s="18"/>
      <c r="AS891" s="18"/>
      <c r="AT891" s="18"/>
      <c r="AU891" s="18"/>
      <c r="AV891" s="18"/>
      <c r="AW891" s="18"/>
      <c r="AX891" s="18"/>
      <c r="AY891" s="18"/>
      <c r="AZ891" s="18"/>
      <c r="BA891" s="18"/>
      <c r="BB891" s="18"/>
      <c r="BC891" s="18"/>
      <c r="BD891" s="18"/>
      <c r="BE891" s="18"/>
      <c r="BF891" s="18"/>
      <c r="BG891" s="18"/>
      <c r="BH891" s="18"/>
      <c r="BI891" s="18"/>
      <c r="BJ891" s="18"/>
      <c r="BK891" s="18"/>
      <c r="BL891" s="18"/>
      <c r="BM891" s="18"/>
      <c r="BN891" s="18"/>
      <c r="BO891" s="18"/>
      <c r="BP891" s="18"/>
      <c r="BQ891" s="18"/>
      <c r="BR891" s="18"/>
      <c r="BS891" s="18"/>
      <c r="BT891" s="18"/>
      <c r="BU891" s="18"/>
      <c r="BV891" s="18"/>
      <c r="BW891" s="18"/>
      <c r="BX891" s="18"/>
      <c r="BY891" s="18"/>
      <c r="BZ891" s="18"/>
      <c r="CA891" s="18"/>
      <c r="CB891" s="18"/>
      <c r="CC891" s="18"/>
      <c r="CD891" s="18"/>
      <c r="CE891" s="18"/>
      <c r="CF891" s="18"/>
      <c r="CG891" s="18"/>
      <c r="CH891" s="18"/>
      <c r="CI891" s="18"/>
      <c r="CJ891" s="18"/>
      <c r="CK891" s="18"/>
      <c r="CL891" s="18"/>
      <c r="CM891" s="18"/>
      <c r="CN891" s="18"/>
      <c r="CO891" s="18"/>
      <c r="CP891" s="18"/>
      <c r="CQ891" s="18"/>
      <c r="CR891" s="18"/>
      <c r="CS891" s="18"/>
      <c r="CT891" s="18"/>
      <c r="CU891" s="18"/>
    </row>
    <row r="892" spans="1:99">
      <c r="A892" s="19"/>
      <c r="B892" s="19"/>
      <c r="C892" s="19"/>
      <c r="D892" s="19"/>
      <c r="E892" s="19"/>
      <c r="F892" s="19"/>
      <c r="G892" s="19"/>
      <c r="H892" s="19"/>
      <c r="I892" s="19"/>
      <c r="J892" s="19"/>
      <c r="K892" s="18"/>
      <c r="L892" s="18"/>
      <c r="M892" s="18"/>
      <c r="N892" s="18"/>
      <c r="O892" s="18"/>
      <c r="P892" s="18"/>
      <c r="Q892" s="18"/>
      <c r="R892" s="18"/>
      <c r="S892" s="18"/>
      <c r="T892" s="18"/>
      <c r="U892" s="18"/>
      <c r="V892" s="18"/>
      <c r="W892" s="18"/>
      <c r="X892" s="18"/>
      <c r="Y892" s="18"/>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c r="BC892" s="18"/>
      <c r="BD892" s="18"/>
      <c r="BE892" s="18"/>
      <c r="BF892" s="18"/>
      <c r="BG892" s="18"/>
      <c r="BH892" s="18"/>
      <c r="BI892" s="18"/>
      <c r="BJ892" s="18"/>
      <c r="BK892" s="18"/>
      <c r="BL892" s="18"/>
      <c r="BM892" s="18"/>
      <c r="BN892" s="18"/>
      <c r="BO892" s="18"/>
      <c r="BP892" s="18"/>
      <c r="BQ892" s="18"/>
      <c r="BR892" s="18"/>
      <c r="BS892" s="18"/>
      <c r="BT892" s="18"/>
      <c r="BU892" s="18"/>
      <c r="BV892" s="18"/>
      <c r="BW892" s="18"/>
      <c r="BX892" s="18"/>
      <c r="BY892" s="18"/>
      <c r="BZ892" s="18"/>
      <c r="CA892" s="18"/>
      <c r="CB892" s="18"/>
      <c r="CC892" s="18"/>
      <c r="CD892" s="18"/>
      <c r="CE892" s="18"/>
      <c r="CF892" s="18"/>
      <c r="CG892" s="18"/>
      <c r="CH892" s="18"/>
      <c r="CI892" s="18"/>
      <c r="CJ892" s="18"/>
      <c r="CK892" s="18"/>
      <c r="CL892" s="18"/>
      <c r="CM892" s="18"/>
      <c r="CN892" s="18"/>
      <c r="CO892" s="18"/>
      <c r="CP892" s="18"/>
      <c r="CQ892" s="18"/>
      <c r="CR892" s="18"/>
      <c r="CS892" s="18"/>
      <c r="CT892" s="18"/>
      <c r="CU892" s="18"/>
    </row>
    <row r="893" spans="1:99">
      <c r="A893" s="19"/>
      <c r="B893" s="19"/>
      <c r="C893" s="19"/>
      <c r="D893" s="19"/>
      <c r="E893" s="19"/>
      <c r="F893" s="19"/>
      <c r="G893" s="19"/>
      <c r="H893" s="19"/>
      <c r="I893" s="19"/>
      <c r="J893" s="19"/>
      <c r="K893" s="18"/>
      <c r="L893" s="18"/>
      <c r="M893" s="18"/>
      <c r="N893" s="18"/>
      <c r="O893" s="18"/>
      <c r="P893" s="18"/>
      <c r="Q893" s="18"/>
      <c r="R893" s="18"/>
      <c r="S893" s="18"/>
      <c r="T893" s="18"/>
      <c r="U893" s="18"/>
      <c r="V893" s="18"/>
      <c r="W893" s="18"/>
      <c r="X893" s="18"/>
      <c r="Y893" s="18"/>
      <c r="Z893" s="18"/>
      <c r="AA893" s="18"/>
      <c r="AB893" s="18"/>
      <c r="AC893" s="18"/>
      <c r="AD893" s="18"/>
      <c r="AE893" s="18"/>
      <c r="AF893" s="18"/>
      <c r="AG893" s="18"/>
      <c r="AH893" s="18"/>
      <c r="AI893" s="18"/>
      <c r="AJ893" s="18"/>
      <c r="AK893" s="18"/>
      <c r="AL893" s="18"/>
      <c r="AM893" s="18"/>
      <c r="AN893" s="18"/>
      <c r="AO893" s="18"/>
      <c r="AP893" s="18"/>
      <c r="AQ893" s="18"/>
      <c r="AR893" s="18"/>
      <c r="AS893" s="18"/>
      <c r="AT893" s="18"/>
      <c r="AU893" s="18"/>
      <c r="AV893" s="18"/>
      <c r="AW893" s="18"/>
      <c r="AX893" s="18"/>
      <c r="AY893" s="18"/>
      <c r="AZ893" s="18"/>
      <c r="BA893" s="18"/>
      <c r="BB893" s="18"/>
      <c r="BC893" s="18"/>
      <c r="BD893" s="18"/>
      <c r="BE893" s="18"/>
      <c r="BF893" s="18"/>
      <c r="BG893" s="18"/>
      <c r="BH893" s="18"/>
      <c r="BI893" s="18"/>
      <c r="BJ893" s="18"/>
      <c r="BK893" s="18"/>
      <c r="BL893" s="18"/>
      <c r="BM893" s="18"/>
      <c r="BN893" s="18"/>
      <c r="BO893" s="18"/>
      <c r="BP893" s="18"/>
      <c r="BQ893" s="18"/>
      <c r="BR893" s="18"/>
      <c r="BS893" s="18"/>
      <c r="BT893" s="18"/>
      <c r="BU893" s="18"/>
      <c r="BV893" s="18"/>
      <c r="BW893" s="18"/>
      <c r="BX893" s="18"/>
      <c r="BY893" s="18"/>
      <c r="BZ893" s="18"/>
      <c r="CA893" s="18"/>
      <c r="CB893" s="18"/>
      <c r="CC893" s="18"/>
      <c r="CD893" s="18"/>
      <c r="CE893" s="18"/>
      <c r="CF893" s="18"/>
      <c r="CG893" s="18"/>
      <c r="CH893" s="18"/>
      <c r="CI893" s="18"/>
      <c r="CJ893" s="18"/>
      <c r="CK893" s="18"/>
      <c r="CL893" s="18"/>
      <c r="CM893" s="18"/>
      <c r="CN893" s="18"/>
      <c r="CO893" s="18"/>
      <c r="CP893" s="18"/>
      <c r="CQ893" s="18"/>
      <c r="CR893" s="18"/>
      <c r="CS893" s="18"/>
      <c r="CT893" s="18"/>
      <c r="CU893" s="18"/>
    </row>
    <row r="894" spans="1:99">
      <c r="A894" s="19"/>
      <c r="B894" s="19"/>
      <c r="C894" s="19"/>
      <c r="D894" s="19"/>
      <c r="E894" s="19"/>
      <c r="F894" s="19"/>
      <c r="G894" s="19"/>
      <c r="H894" s="19"/>
      <c r="I894" s="19"/>
      <c r="J894" s="19"/>
      <c r="K894" s="18"/>
      <c r="L894" s="18"/>
      <c r="M894" s="18"/>
      <c r="N894" s="18"/>
      <c r="O894" s="18"/>
      <c r="P894" s="18"/>
      <c r="Q894" s="18"/>
      <c r="R894" s="18"/>
      <c r="S894" s="18"/>
      <c r="T894" s="18"/>
      <c r="U894" s="18"/>
      <c r="V894" s="18"/>
      <c r="W894" s="18"/>
      <c r="X894" s="18"/>
      <c r="Y894" s="18"/>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c r="BC894" s="18"/>
      <c r="BD894" s="18"/>
      <c r="BE894" s="18"/>
      <c r="BF894" s="18"/>
      <c r="BG894" s="18"/>
      <c r="BH894" s="18"/>
      <c r="BI894" s="18"/>
      <c r="BJ894" s="18"/>
      <c r="BK894" s="18"/>
      <c r="BL894" s="18"/>
      <c r="BM894" s="18"/>
      <c r="BN894" s="18"/>
      <c r="BO894" s="18"/>
      <c r="BP894" s="18"/>
      <c r="BQ894" s="18"/>
      <c r="BR894" s="18"/>
      <c r="BS894" s="18"/>
      <c r="BT894" s="18"/>
      <c r="BU894" s="18"/>
      <c r="BV894" s="18"/>
      <c r="BW894" s="18"/>
      <c r="BX894" s="18"/>
      <c r="BY894" s="18"/>
      <c r="BZ894" s="18"/>
      <c r="CA894" s="18"/>
      <c r="CB894" s="18"/>
      <c r="CC894" s="18"/>
      <c r="CD894" s="18"/>
      <c r="CE894" s="18"/>
      <c r="CF894" s="18"/>
      <c r="CG894" s="18"/>
      <c r="CH894" s="18"/>
      <c r="CI894" s="18"/>
      <c r="CJ894" s="18"/>
      <c r="CK894" s="18"/>
      <c r="CL894" s="18"/>
      <c r="CM894" s="18"/>
      <c r="CN894" s="18"/>
      <c r="CO894" s="18"/>
      <c r="CP894" s="18"/>
      <c r="CQ894" s="18"/>
      <c r="CR894" s="18"/>
      <c r="CS894" s="18"/>
      <c r="CT894" s="18"/>
      <c r="CU894" s="18"/>
    </row>
    <row r="895" spans="1:99">
      <c r="A895" s="19"/>
      <c r="B895" s="19"/>
      <c r="C895" s="19"/>
      <c r="D895" s="19"/>
      <c r="E895" s="19"/>
      <c r="F895" s="19"/>
      <c r="G895" s="19"/>
      <c r="H895" s="19"/>
      <c r="I895" s="19"/>
      <c r="J895" s="19"/>
      <c r="K895" s="18"/>
      <c r="L895" s="18"/>
      <c r="M895" s="18"/>
      <c r="N895" s="18"/>
      <c r="O895" s="18"/>
      <c r="P895" s="18"/>
      <c r="Q895" s="18"/>
      <c r="R895" s="18"/>
      <c r="S895" s="18"/>
      <c r="T895" s="18"/>
      <c r="U895" s="18"/>
      <c r="V895" s="18"/>
      <c r="W895" s="18"/>
      <c r="X895" s="18"/>
      <c r="Y895" s="18"/>
      <c r="Z895" s="18"/>
      <c r="AA895" s="18"/>
      <c r="AB895" s="18"/>
      <c r="AC895" s="18"/>
      <c r="AD895" s="18"/>
      <c r="AE895" s="18"/>
      <c r="AF895" s="18"/>
      <c r="AG895" s="18"/>
      <c r="AH895" s="18"/>
      <c r="AI895" s="18"/>
      <c r="AJ895" s="18"/>
      <c r="AK895" s="18"/>
      <c r="AL895" s="18"/>
      <c r="AM895" s="18"/>
      <c r="AN895" s="18"/>
      <c r="AO895" s="18"/>
      <c r="AP895" s="18"/>
      <c r="AQ895" s="18"/>
      <c r="AR895" s="18"/>
      <c r="AS895" s="18"/>
      <c r="AT895" s="18"/>
      <c r="AU895" s="18"/>
      <c r="AV895" s="18"/>
      <c r="AW895" s="18"/>
      <c r="AX895" s="18"/>
      <c r="AY895" s="18"/>
      <c r="AZ895" s="18"/>
      <c r="BA895" s="18"/>
      <c r="BB895" s="18"/>
      <c r="BC895" s="18"/>
      <c r="BD895" s="18"/>
      <c r="BE895" s="18"/>
      <c r="BF895" s="18"/>
      <c r="BG895" s="18"/>
      <c r="BH895" s="18"/>
      <c r="BI895" s="18"/>
      <c r="BJ895" s="18"/>
      <c r="BK895" s="18"/>
      <c r="BL895" s="18"/>
      <c r="BM895" s="18"/>
      <c r="BN895" s="18"/>
      <c r="BO895" s="18"/>
      <c r="BP895" s="18"/>
      <c r="BQ895" s="18"/>
      <c r="BR895" s="18"/>
      <c r="BS895" s="18"/>
      <c r="BT895" s="18"/>
      <c r="BU895" s="18"/>
      <c r="BV895" s="18"/>
      <c r="BW895" s="18"/>
      <c r="BX895" s="18"/>
      <c r="BY895" s="18"/>
      <c r="BZ895" s="18"/>
      <c r="CA895" s="18"/>
      <c r="CB895" s="18"/>
      <c r="CC895" s="18"/>
      <c r="CD895" s="18"/>
      <c r="CE895" s="18"/>
      <c r="CF895" s="18"/>
      <c r="CG895" s="18"/>
      <c r="CH895" s="18"/>
      <c r="CI895" s="18"/>
      <c r="CJ895" s="18"/>
      <c r="CK895" s="18"/>
      <c r="CL895" s="18"/>
      <c r="CM895" s="18"/>
      <c r="CN895" s="18"/>
      <c r="CO895" s="18"/>
      <c r="CP895" s="18"/>
      <c r="CQ895" s="18"/>
      <c r="CR895" s="18"/>
      <c r="CS895" s="18"/>
      <c r="CT895" s="18"/>
      <c r="CU895" s="18"/>
    </row>
    <row r="896" spans="1:99">
      <c r="A896" s="19"/>
      <c r="B896" s="19"/>
      <c r="C896" s="19"/>
      <c r="D896" s="19"/>
      <c r="E896" s="19"/>
      <c r="F896" s="19"/>
      <c r="G896" s="19"/>
      <c r="H896" s="19"/>
      <c r="I896" s="19"/>
      <c r="J896" s="19"/>
      <c r="K896" s="18"/>
      <c r="L896" s="18"/>
      <c r="M896" s="18"/>
      <c r="N896" s="18"/>
      <c r="O896" s="18"/>
      <c r="P896" s="18"/>
      <c r="Q896" s="18"/>
      <c r="R896" s="18"/>
      <c r="S896" s="18"/>
      <c r="T896" s="18"/>
      <c r="U896" s="18"/>
      <c r="V896" s="18"/>
      <c r="W896" s="18"/>
      <c r="X896" s="18"/>
      <c r="Y896" s="18"/>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c r="BC896" s="18"/>
      <c r="BD896" s="18"/>
      <c r="BE896" s="18"/>
      <c r="BF896" s="18"/>
      <c r="BG896" s="18"/>
      <c r="BH896" s="18"/>
      <c r="BI896" s="18"/>
      <c r="BJ896" s="18"/>
      <c r="BK896" s="18"/>
      <c r="BL896" s="18"/>
      <c r="BM896" s="18"/>
      <c r="BN896" s="18"/>
      <c r="BO896" s="18"/>
      <c r="BP896" s="18"/>
      <c r="BQ896" s="18"/>
      <c r="BR896" s="18"/>
      <c r="BS896" s="18"/>
      <c r="BT896" s="18"/>
      <c r="BU896" s="18"/>
      <c r="BV896" s="18"/>
      <c r="BW896" s="18"/>
      <c r="BX896" s="18"/>
      <c r="BY896" s="18"/>
      <c r="BZ896" s="18"/>
      <c r="CA896" s="18"/>
      <c r="CB896" s="18"/>
      <c r="CC896" s="18"/>
      <c r="CD896" s="18"/>
      <c r="CE896" s="18"/>
      <c r="CF896" s="18"/>
      <c r="CG896" s="18"/>
      <c r="CH896" s="18"/>
      <c r="CI896" s="18"/>
      <c r="CJ896" s="18"/>
      <c r="CK896" s="18"/>
      <c r="CL896" s="18"/>
      <c r="CM896" s="18"/>
      <c r="CN896" s="18"/>
      <c r="CO896" s="18"/>
      <c r="CP896" s="18"/>
      <c r="CQ896" s="18"/>
      <c r="CR896" s="18"/>
      <c r="CS896" s="18"/>
      <c r="CT896" s="18"/>
      <c r="CU896" s="18"/>
    </row>
    <row r="897" spans="1:99">
      <c r="A897" s="19"/>
      <c r="B897" s="19"/>
      <c r="C897" s="19"/>
      <c r="D897" s="19"/>
      <c r="E897" s="19"/>
      <c r="F897" s="19"/>
      <c r="G897" s="19"/>
      <c r="H897" s="19"/>
      <c r="I897" s="19"/>
      <c r="J897" s="19"/>
      <c r="K897" s="18"/>
      <c r="L897" s="18"/>
      <c r="M897" s="18"/>
      <c r="N897" s="18"/>
      <c r="O897" s="18"/>
      <c r="P897" s="18"/>
      <c r="Q897" s="18"/>
      <c r="R897" s="18"/>
      <c r="S897" s="18"/>
      <c r="T897" s="18"/>
      <c r="U897" s="18"/>
      <c r="V897" s="18"/>
      <c r="W897" s="18"/>
      <c r="X897" s="18"/>
      <c r="Y897" s="18"/>
      <c r="Z897" s="18"/>
      <c r="AA897" s="18"/>
      <c r="AB897" s="18"/>
      <c r="AC897" s="18"/>
      <c r="AD897" s="18"/>
      <c r="AE897" s="18"/>
      <c r="AF897" s="18"/>
      <c r="AG897" s="18"/>
      <c r="AH897" s="18"/>
      <c r="AI897" s="18"/>
      <c r="AJ897" s="18"/>
      <c r="AK897" s="18"/>
      <c r="AL897" s="18"/>
      <c r="AM897" s="18"/>
      <c r="AN897" s="18"/>
      <c r="AO897" s="18"/>
      <c r="AP897" s="18"/>
      <c r="AQ897" s="18"/>
      <c r="AR897" s="18"/>
      <c r="AS897" s="18"/>
      <c r="AT897" s="18"/>
      <c r="AU897" s="18"/>
      <c r="AV897" s="18"/>
      <c r="AW897" s="18"/>
      <c r="AX897" s="18"/>
      <c r="AY897" s="18"/>
      <c r="AZ897" s="18"/>
      <c r="BA897" s="18"/>
      <c r="BB897" s="18"/>
      <c r="BC897" s="18"/>
      <c r="BD897" s="18"/>
      <c r="BE897" s="18"/>
      <c r="BF897" s="18"/>
      <c r="BG897" s="18"/>
      <c r="BH897" s="18"/>
      <c r="BI897" s="18"/>
      <c r="BJ897" s="18"/>
      <c r="BK897" s="18"/>
      <c r="BL897" s="18"/>
      <c r="BM897" s="18"/>
      <c r="BN897" s="18"/>
      <c r="BO897" s="18"/>
      <c r="BP897" s="18"/>
      <c r="BQ897" s="18"/>
      <c r="BR897" s="18"/>
      <c r="BS897" s="18"/>
      <c r="BT897" s="18"/>
      <c r="BU897" s="18"/>
      <c r="BV897" s="18"/>
      <c r="BW897" s="18"/>
      <c r="BX897" s="18"/>
      <c r="BY897" s="18"/>
      <c r="BZ897" s="18"/>
      <c r="CA897" s="18"/>
      <c r="CB897" s="18"/>
      <c r="CC897" s="18"/>
      <c r="CD897" s="18"/>
      <c r="CE897" s="18"/>
      <c r="CF897" s="18"/>
      <c r="CG897" s="18"/>
      <c r="CH897" s="18"/>
      <c r="CI897" s="18"/>
      <c r="CJ897" s="18"/>
      <c r="CK897" s="18"/>
      <c r="CL897" s="18"/>
      <c r="CM897" s="18"/>
      <c r="CN897" s="18"/>
      <c r="CO897" s="18"/>
      <c r="CP897" s="18"/>
      <c r="CQ897" s="18"/>
      <c r="CR897" s="18"/>
      <c r="CS897" s="18"/>
      <c r="CT897" s="18"/>
      <c r="CU897" s="18"/>
    </row>
    <row r="898" spans="1:99">
      <c r="A898" s="19"/>
      <c r="B898" s="19"/>
      <c r="C898" s="19"/>
      <c r="D898" s="19"/>
      <c r="E898" s="19"/>
      <c r="F898" s="19"/>
      <c r="G898" s="19"/>
      <c r="H898" s="19"/>
      <c r="I898" s="19"/>
      <c r="J898" s="19"/>
      <c r="K898" s="18"/>
      <c r="L898" s="18"/>
      <c r="M898" s="18"/>
      <c r="N898" s="18"/>
      <c r="O898" s="18"/>
      <c r="P898" s="18"/>
      <c r="Q898" s="18"/>
      <c r="R898" s="18"/>
      <c r="S898" s="18"/>
      <c r="T898" s="18"/>
      <c r="U898" s="18"/>
      <c r="V898" s="18"/>
      <c r="W898" s="18"/>
      <c r="X898" s="18"/>
      <c r="Y898" s="18"/>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c r="BC898" s="18"/>
      <c r="BD898" s="18"/>
      <c r="BE898" s="18"/>
      <c r="BF898" s="18"/>
      <c r="BG898" s="18"/>
      <c r="BH898" s="18"/>
      <c r="BI898" s="18"/>
      <c r="BJ898" s="18"/>
      <c r="BK898" s="18"/>
      <c r="BL898" s="18"/>
      <c r="BM898" s="18"/>
      <c r="BN898" s="18"/>
      <c r="BO898" s="18"/>
      <c r="BP898" s="18"/>
      <c r="BQ898" s="18"/>
      <c r="BR898" s="18"/>
      <c r="BS898" s="18"/>
      <c r="BT898" s="18"/>
      <c r="BU898" s="18"/>
      <c r="BV898" s="18"/>
      <c r="BW898" s="18"/>
      <c r="BX898" s="18"/>
      <c r="BY898" s="18"/>
      <c r="BZ898" s="18"/>
      <c r="CA898" s="18"/>
      <c r="CB898" s="18"/>
      <c r="CC898" s="18"/>
      <c r="CD898" s="18"/>
      <c r="CE898" s="18"/>
      <c r="CF898" s="18"/>
      <c r="CG898" s="18"/>
      <c r="CH898" s="18"/>
      <c r="CI898" s="18"/>
      <c r="CJ898" s="18"/>
      <c r="CK898" s="18"/>
      <c r="CL898" s="18"/>
      <c r="CM898" s="18"/>
      <c r="CN898" s="18"/>
      <c r="CO898" s="18"/>
      <c r="CP898" s="18"/>
      <c r="CQ898" s="18"/>
      <c r="CR898" s="18"/>
      <c r="CS898" s="18"/>
      <c r="CT898" s="18"/>
      <c r="CU898" s="18"/>
    </row>
    <row r="899" spans="1:99">
      <c r="A899" s="19"/>
      <c r="B899" s="19"/>
      <c r="C899" s="19"/>
      <c r="D899" s="19"/>
      <c r="E899" s="19"/>
      <c r="F899" s="19"/>
      <c r="G899" s="19"/>
      <c r="H899" s="19"/>
      <c r="I899" s="19"/>
      <c r="J899" s="19"/>
      <c r="K899" s="18"/>
      <c r="L899" s="18"/>
      <c r="M899" s="18"/>
      <c r="N899" s="18"/>
      <c r="O899" s="18"/>
      <c r="P899" s="18"/>
      <c r="Q899" s="18"/>
      <c r="R899" s="18"/>
      <c r="S899" s="18"/>
      <c r="T899" s="18"/>
      <c r="U899" s="18"/>
      <c r="V899" s="18"/>
      <c r="W899" s="18"/>
      <c r="X899" s="18"/>
      <c r="Y899" s="18"/>
      <c r="Z899" s="18"/>
      <c r="AA899" s="18"/>
      <c r="AB899" s="18"/>
      <c r="AC899" s="18"/>
      <c r="AD899" s="18"/>
      <c r="AE899" s="18"/>
      <c r="AF899" s="18"/>
      <c r="AG899" s="18"/>
      <c r="AH899" s="18"/>
      <c r="AI899" s="18"/>
      <c r="AJ899" s="18"/>
      <c r="AK899" s="18"/>
      <c r="AL899" s="18"/>
      <c r="AM899" s="18"/>
      <c r="AN899" s="18"/>
      <c r="AO899" s="18"/>
      <c r="AP899" s="18"/>
      <c r="AQ899" s="18"/>
      <c r="AR899" s="18"/>
      <c r="AS899" s="18"/>
      <c r="AT899" s="18"/>
      <c r="AU899" s="18"/>
      <c r="AV899" s="18"/>
      <c r="AW899" s="18"/>
      <c r="AX899" s="18"/>
      <c r="AY899" s="18"/>
      <c r="AZ899" s="18"/>
      <c r="BA899" s="18"/>
      <c r="BB899" s="18"/>
      <c r="BC899" s="18"/>
      <c r="BD899" s="18"/>
      <c r="BE899" s="18"/>
      <c r="BF899" s="18"/>
      <c r="BG899" s="18"/>
      <c r="BH899" s="18"/>
      <c r="BI899" s="18"/>
      <c r="BJ899" s="18"/>
      <c r="BK899" s="18"/>
      <c r="BL899" s="18"/>
      <c r="BM899" s="18"/>
      <c r="BN899" s="18"/>
      <c r="BO899" s="18"/>
      <c r="BP899" s="18"/>
      <c r="BQ899" s="18"/>
      <c r="BR899" s="18"/>
      <c r="BS899" s="18"/>
      <c r="BT899" s="18"/>
      <c r="BU899" s="18"/>
      <c r="BV899" s="18"/>
      <c r="BW899" s="18"/>
      <c r="BX899" s="18"/>
      <c r="BY899" s="18"/>
      <c r="BZ899" s="18"/>
      <c r="CA899" s="18"/>
      <c r="CB899" s="18"/>
      <c r="CC899" s="18"/>
      <c r="CD899" s="18"/>
      <c r="CE899" s="18"/>
      <c r="CF899" s="18"/>
      <c r="CG899" s="18"/>
      <c r="CH899" s="18"/>
      <c r="CI899" s="18"/>
      <c r="CJ899" s="18"/>
      <c r="CK899" s="18"/>
      <c r="CL899" s="18"/>
      <c r="CM899" s="18"/>
      <c r="CN899" s="18"/>
      <c r="CO899" s="18"/>
      <c r="CP899" s="18"/>
      <c r="CQ899" s="18"/>
      <c r="CR899" s="18"/>
      <c r="CS899" s="18"/>
      <c r="CT899" s="18"/>
      <c r="CU899" s="18"/>
    </row>
    <row r="900" spans="1:99">
      <c r="A900" s="19"/>
      <c r="B900" s="19"/>
      <c r="C900" s="19"/>
      <c r="D900" s="19"/>
      <c r="E900" s="19"/>
      <c r="F900" s="19"/>
      <c r="G900" s="19"/>
      <c r="H900" s="19"/>
      <c r="I900" s="19"/>
      <c r="J900" s="19"/>
      <c r="K900" s="18"/>
      <c r="L900" s="18"/>
      <c r="M900" s="18"/>
      <c r="N900" s="18"/>
      <c r="O900" s="18"/>
      <c r="P900" s="18"/>
      <c r="Q900" s="18"/>
      <c r="R900" s="18"/>
      <c r="S900" s="18"/>
      <c r="T900" s="18"/>
      <c r="U900" s="18"/>
      <c r="V900" s="18"/>
      <c r="W900" s="18"/>
      <c r="X900" s="18"/>
      <c r="Y900" s="18"/>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c r="BC900" s="18"/>
      <c r="BD900" s="18"/>
      <c r="BE900" s="18"/>
      <c r="BF900" s="18"/>
      <c r="BG900" s="18"/>
      <c r="BH900" s="18"/>
      <c r="BI900" s="18"/>
      <c r="BJ900" s="18"/>
      <c r="BK900" s="18"/>
      <c r="BL900" s="18"/>
      <c r="BM900" s="18"/>
      <c r="BN900" s="18"/>
      <c r="BO900" s="18"/>
      <c r="BP900" s="18"/>
      <c r="BQ900" s="18"/>
      <c r="BR900" s="18"/>
      <c r="BS900" s="18"/>
      <c r="BT900" s="18"/>
      <c r="BU900" s="18"/>
      <c r="BV900" s="18"/>
      <c r="BW900" s="18"/>
      <c r="BX900" s="18"/>
      <c r="BY900" s="18"/>
      <c r="BZ900" s="18"/>
      <c r="CA900" s="18"/>
      <c r="CB900" s="18"/>
      <c r="CC900" s="18"/>
      <c r="CD900" s="18"/>
      <c r="CE900" s="18"/>
      <c r="CF900" s="18"/>
      <c r="CG900" s="18"/>
      <c r="CH900" s="18"/>
      <c r="CI900" s="18"/>
      <c r="CJ900" s="18"/>
      <c r="CK900" s="18"/>
      <c r="CL900" s="18"/>
      <c r="CM900" s="18"/>
      <c r="CN900" s="18"/>
      <c r="CO900" s="18"/>
      <c r="CP900" s="18"/>
      <c r="CQ900" s="18"/>
      <c r="CR900" s="18"/>
      <c r="CS900" s="18"/>
      <c r="CT900" s="18"/>
      <c r="CU900" s="18"/>
    </row>
    <row r="901" spans="1:99">
      <c r="A901" s="19"/>
      <c r="B901" s="19"/>
      <c r="C901" s="19"/>
      <c r="D901" s="19"/>
      <c r="E901" s="19"/>
      <c r="F901" s="19"/>
      <c r="G901" s="19"/>
      <c r="H901" s="19"/>
      <c r="I901" s="19"/>
      <c r="J901" s="19"/>
      <c r="K901" s="18"/>
      <c r="L901" s="18"/>
      <c r="M901" s="18"/>
      <c r="N901" s="18"/>
      <c r="O901" s="18"/>
      <c r="P901" s="18"/>
      <c r="Q901" s="18"/>
      <c r="R901" s="18"/>
      <c r="S901" s="18"/>
      <c r="T901" s="18"/>
      <c r="U901" s="18"/>
      <c r="V901" s="18"/>
      <c r="W901" s="18"/>
      <c r="X901" s="18"/>
      <c r="Y901" s="18"/>
      <c r="Z901" s="18"/>
      <c r="AA901" s="18"/>
      <c r="AB901" s="18"/>
      <c r="AC901" s="18"/>
      <c r="AD901" s="18"/>
      <c r="AE901" s="18"/>
      <c r="AF901" s="18"/>
      <c r="AG901" s="18"/>
      <c r="AH901" s="18"/>
      <c r="AI901" s="18"/>
      <c r="AJ901" s="18"/>
      <c r="AK901" s="18"/>
      <c r="AL901" s="18"/>
      <c r="AM901" s="18"/>
      <c r="AN901" s="18"/>
      <c r="AO901" s="18"/>
      <c r="AP901" s="18"/>
      <c r="AQ901" s="18"/>
      <c r="AR901" s="18"/>
      <c r="AS901" s="18"/>
      <c r="AT901" s="18"/>
      <c r="AU901" s="18"/>
      <c r="AV901" s="18"/>
      <c r="AW901" s="18"/>
      <c r="AX901" s="18"/>
      <c r="AY901" s="18"/>
      <c r="AZ901" s="18"/>
      <c r="BA901" s="18"/>
      <c r="BB901" s="18"/>
      <c r="BC901" s="18"/>
      <c r="BD901" s="18"/>
      <c r="BE901" s="18"/>
      <c r="BF901" s="18"/>
      <c r="BG901" s="18"/>
      <c r="BH901" s="18"/>
      <c r="BI901" s="18"/>
      <c r="BJ901" s="18"/>
      <c r="BK901" s="18"/>
      <c r="BL901" s="18"/>
      <c r="BM901" s="18"/>
      <c r="BN901" s="18"/>
      <c r="BO901" s="18"/>
      <c r="BP901" s="18"/>
      <c r="BQ901" s="18"/>
      <c r="BR901" s="18"/>
      <c r="BS901" s="18"/>
      <c r="BT901" s="18"/>
      <c r="BU901" s="18"/>
      <c r="BV901" s="18"/>
      <c r="BW901" s="18"/>
      <c r="BX901" s="18"/>
      <c r="BY901" s="18"/>
      <c r="BZ901" s="18"/>
      <c r="CA901" s="18"/>
      <c r="CB901" s="18"/>
      <c r="CC901" s="18"/>
      <c r="CD901" s="18"/>
      <c r="CE901" s="18"/>
      <c r="CF901" s="18"/>
      <c r="CG901" s="18"/>
      <c r="CH901" s="18"/>
      <c r="CI901" s="18"/>
      <c r="CJ901" s="18"/>
      <c r="CK901" s="18"/>
      <c r="CL901" s="18"/>
      <c r="CM901" s="18"/>
      <c r="CN901" s="18"/>
      <c r="CO901" s="18"/>
      <c r="CP901" s="18"/>
      <c r="CQ901" s="18"/>
      <c r="CR901" s="18"/>
      <c r="CS901" s="18"/>
      <c r="CT901" s="18"/>
      <c r="CU901" s="18"/>
    </row>
    <row r="902" spans="1:99">
      <c r="A902" s="19"/>
      <c r="B902" s="19"/>
      <c r="C902" s="19"/>
      <c r="D902" s="19"/>
      <c r="E902" s="19"/>
      <c r="F902" s="19"/>
      <c r="G902" s="19"/>
      <c r="H902" s="19"/>
      <c r="I902" s="19"/>
      <c r="J902" s="19"/>
      <c r="K902" s="18"/>
      <c r="L902" s="18"/>
      <c r="M902" s="18"/>
      <c r="N902" s="18"/>
      <c r="O902" s="18"/>
      <c r="P902" s="18"/>
      <c r="Q902" s="18"/>
      <c r="R902" s="18"/>
      <c r="S902" s="18"/>
      <c r="T902" s="18"/>
      <c r="U902" s="18"/>
      <c r="V902" s="18"/>
      <c r="W902" s="18"/>
      <c r="X902" s="18"/>
      <c r="Y902" s="18"/>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c r="BC902" s="18"/>
      <c r="BD902" s="18"/>
      <c r="BE902" s="18"/>
      <c r="BF902" s="18"/>
      <c r="BG902" s="18"/>
      <c r="BH902" s="18"/>
      <c r="BI902" s="18"/>
      <c r="BJ902" s="18"/>
      <c r="BK902" s="18"/>
      <c r="BL902" s="18"/>
      <c r="BM902" s="18"/>
      <c r="BN902" s="18"/>
      <c r="BO902" s="18"/>
      <c r="BP902" s="18"/>
      <c r="BQ902" s="18"/>
      <c r="BR902" s="18"/>
      <c r="BS902" s="18"/>
      <c r="BT902" s="18"/>
      <c r="BU902" s="18"/>
      <c r="BV902" s="18"/>
      <c r="BW902" s="18"/>
      <c r="BX902" s="18"/>
      <c r="BY902" s="18"/>
      <c r="BZ902" s="18"/>
      <c r="CA902" s="18"/>
      <c r="CB902" s="18"/>
      <c r="CC902" s="18"/>
      <c r="CD902" s="18"/>
      <c r="CE902" s="18"/>
      <c r="CF902" s="18"/>
      <c r="CG902" s="18"/>
      <c r="CH902" s="18"/>
      <c r="CI902" s="18"/>
      <c r="CJ902" s="18"/>
      <c r="CK902" s="18"/>
      <c r="CL902" s="18"/>
      <c r="CM902" s="18"/>
      <c r="CN902" s="18"/>
      <c r="CO902" s="18"/>
      <c r="CP902" s="18"/>
      <c r="CQ902" s="18"/>
      <c r="CR902" s="18"/>
      <c r="CS902" s="18"/>
      <c r="CT902" s="18"/>
      <c r="CU902" s="18"/>
    </row>
    <row r="903" spans="1:99">
      <c r="A903" s="19"/>
      <c r="B903" s="19"/>
      <c r="C903" s="19"/>
      <c r="D903" s="19"/>
      <c r="E903" s="19"/>
      <c r="F903" s="19"/>
      <c r="G903" s="19"/>
      <c r="H903" s="19"/>
      <c r="I903" s="19"/>
      <c r="J903" s="19"/>
      <c r="K903" s="18"/>
      <c r="L903" s="18"/>
      <c r="M903" s="18"/>
      <c r="N903" s="18"/>
      <c r="O903" s="18"/>
      <c r="P903" s="18"/>
      <c r="Q903" s="18"/>
      <c r="R903" s="18"/>
      <c r="S903" s="18"/>
      <c r="T903" s="18"/>
      <c r="U903" s="18"/>
      <c r="V903" s="18"/>
      <c r="W903" s="18"/>
      <c r="X903" s="18"/>
      <c r="Y903" s="18"/>
      <c r="Z903" s="18"/>
      <c r="AA903" s="18"/>
      <c r="AB903" s="18"/>
      <c r="AC903" s="18"/>
      <c r="AD903" s="18"/>
      <c r="AE903" s="18"/>
      <c r="AF903" s="18"/>
      <c r="AG903" s="18"/>
      <c r="AH903" s="18"/>
      <c r="AI903" s="18"/>
      <c r="AJ903" s="18"/>
      <c r="AK903" s="18"/>
      <c r="AL903" s="18"/>
      <c r="AM903" s="18"/>
      <c r="AN903" s="18"/>
      <c r="AO903" s="18"/>
      <c r="AP903" s="18"/>
      <c r="AQ903" s="18"/>
      <c r="AR903" s="18"/>
      <c r="AS903" s="18"/>
      <c r="AT903" s="18"/>
      <c r="AU903" s="18"/>
      <c r="AV903" s="18"/>
      <c r="AW903" s="18"/>
      <c r="AX903" s="18"/>
      <c r="AY903" s="18"/>
      <c r="AZ903" s="18"/>
      <c r="BA903" s="18"/>
      <c r="BB903" s="18"/>
      <c r="BC903" s="18"/>
      <c r="BD903" s="18"/>
      <c r="BE903" s="18"/>
      <c r="BF903" s="18"/>
      <c r="BG903" s="18"/>
      <c r="BH903" s="18"/>
      <c r="BI903" s="18"/>
      <c r="BJ903" s="18"/>
      <c r="BK903" s="18"/>
      <c r="BL903" s="18"/>
      <c r="BM903" s="18"/>
      <c r="BN903" s="18"/>
      <c r="BO903" s="18"/>
      <c r="BP903" s="18"/>
      <c r="BQ903" s="18"/>
      <c r="BR903" s="18"/>
      <c r="BS903" s="18"/>
      <c r="BT903" s="18"/>
      <c r="BU903" s="18"/>
      <c r="BV903" s="18"/>
      <c r="BW903" s="18"/>
      <c r="BX903" s="18"/>
      <c r="BY903" s="18"/>
      <c r="BZ903" s="18"/>
      <c r="CA903" s="18"/>
      <c r="CB903" s="18"/>
      <c r="CC903" s="18"/>
      <c r="CD903" s="18"/>
      <c r="CE903" s="18"/>
      <c r="CF903" s="18"/>
      <c r="CG903" s="18"/>
      <c r="CH903" s="18"/>
      <c r="CI903" s="18"/>
      <c r="CJ903" s="18"/>
      <c r="CK903" s="18"/>
      <c r="CL903" s="18"/>
      <c r="CM903" s="18"/>
      <c r="CN903" s="18"/>
      <c r="CO903" s="18"/>
      <c r="CP903" s="18"/>
      <c r="CQ903" s="18"/>
      <c r="CR903" s="18"/>
      <c r="CS903" s="18"/>
      <c r="CT903" s="18"/>
      <c r="CU903" s="18"/>
    </row>
    <row r="904" spans="1:99">
      <c r="A904" s="19"/>
      <c r="B904" s="19"/>
      <c r="C904" s="19"/>
      <c r="D904" s="19"/>
      <c r="E904" s="19"/>
      <c r="F904" s="19"/>
      <c r="G904" s="19"/>
      <c r="H904" s="19"/>
      <c r="I904" s="19"/>
      <c r="J904" s="19"/>
      <c r="K904" s="18"/>
      <c r="L904" s="18"/>
      <c r="M904" s="18"/>
      <c r="N904" s="18"/>
      <c r="O904" s="18"/>
      <c r="P904" s="18"/>
      <c r="Q904" s="18"/>
      <c r="R904" s="18"/>
      <c r="S904" s="18"/>
      <c r="T904" s="18"/>
      <c r="U904" s="18"/>
      <c r="V904" s="18"/>
      <c r="W904" s="18"/>
      <c r="X904" s="18"/>
      <c r="Y904" s="18"/>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c r="BC904" s="18"/>
      <c r="BD904" s="18"/>
      <c r="BE904" s="18"/>
      <c r="BF904" s="18"/>
      <c r="BG904" s="18"/>
      <c r="BH904" s="18"/>
      <c r="BI904" s="18"/>
      <c r="BJ904" s="18"/>
      <c r="BK904" s="18"/>
      <c r="BL904" s="18"/>
      <c r="BM904" s="18"/>
      <c r="BN904" s="18"/>
      <c r="BO904" s="18"/>
      <c r="BP904" s="18"/>
      <c r="BQ904" s="18"/>
      <c r="BR904" s="18"/>
      <c r="BS904" s="18"/>
      <c r="BT904" s="18"/>
      <c r="BU904" s="18"/>
      <c r="BV904" s="18"/>
      <c r="BW904" s="18"/>
      <c r="BX904" s="18"/>
      <c r="BY904" s="18"/>
      <c r="BZ904" s="18"/>
      <c r="CA904" s="18"/>
      <c r="CB904" s="18"/>
      <c r="CC904" s="18"/>
      <c r="CD904" s="18"/>
      <c r="CE904" s="18"/>
      <c r="CF904" s="18"/>
      <c r="CG904" s="18"/>
      <c r="CH904" s="18"/>
      <c r="CI904" s="18"/>
      <c r="CJ904" s="18"/>
      <c r="CK904" s="18"/>
      <c r="CL904" s="18"/>
      <c r="CM904" s="18"/>
      <c r="CN904" s="18"/>
      <c r="CO904" s="18"/>
      <c r="CP904" s="18"/>
      <c r="CQ904" s="18"/>
      <c r="CR904" s="18"/>
      <c r="CS904" s="18"/>
      <c r="CT904" s="18"/>
      <c r="CU904" s="18"/>
    </row>
    <row r="905" spans="1:99">
      <c r="A905" s="19"/>
      <c r="B905" s="19"/>
      <c r="C905" s="19"/>
      <c r="D905" s="19"/>
      <c r="E905" s="19"/>
      <c r="F905" s="19"/>
      <c r="G905" s="19"/>
      <c r="H905" s="19"/>
      <c r="I905" s="19"/>
      <c r="J905" s="19"/>
      <c r="K905" s="18"/>
      <c r="L905" s="18"/>
      <c r="M905" s="18"/>
      <c r="N905" s="18"/>
      <c r="O905" s="18"/>
      <c r="P905" s="18"/>
      <c r="Q905" s="18"/>
      <c r="R905" s="18"/>
      <c r="S905" s="18"/>
      <c r="T905" s="18"/>
      <c r="U905" s="18"/>
      <c r="V905" s="18"/>
      <c r="W905" s="18"/>
      <c r="X905" s="18"/>
      <c r="Y905" s="18"/>
      <c r="Z905" s="18"/>
      <c r="AA905" s="18"/>
      <c r="AB905" s="18"/>
      <c r="AC905" s="18"/>
      <c r="AD905" s="18"/>
      <c r="AE905" s="18"/>
      <c r="AF905" s="18"/>
      <c r="AG905" s="18"/>
      <c r="AH905" s="18"/>
      <c r="AI905" s="18"/>
      <c r="AJ905" s="18"/>
      <c r="AK905" s="18"/>
      <c r="AL905" s="18"/>
      <c r="AM905" s="18"/>
      <c r="AN905" s="18"/>
      <c r="AO905" s="18"/>
      <c r="AP905" s="18"/>
      <c r="AQ905" s="18"/>
      <c r="AR905" s="18"/>
      <c r="AS905" s="18"/>
      <c r="AT905" s="18"/>
      <c r="AU905" s="18"/>
      <c r="AV905" s="18"/>
      <c r="AW905" s="18"/>
      <c r="AX905" s="18"/>
      <c r="AY905" s="18"/>
      <c r="AZ905" s="18"/>
      <c r="BA905" s="18"/>
      <c r="BB905" s="18"/>
      <c r="BC905" s="18"/>
      <c r="BD905" s="18"/>
      <c r="BE905" s="18"/>
      <c r="BF905" s="18"/>
      <c r="BG905" s="18"/>
      <c r="BH905" s="18"/>
      <c r="BI905" s="18"/>
      <c r="BJ905" s="18"/>
      <c r="BK905" s="18"/>
      <c r="BL905" s="18"/>
      <c r="BM905" s="18"/>
      <c r="BN905" s="18"/>
      <c r="BO905" s="18"/>
      <c r="BP905" s="18"/>
      <c r="BQ905" s="18"/>
      <c r="BR905" s="18"/>
      <c r="BS905" s="18"/>
      <c r="BT905" s="18"/>
      <c r="BU905" s="18"/>
      <c r="BV905" s="18"/>
      <c r="BW905" s="18"/>
      <c r="BX905" s="18"/>
      <c r="BY905" s="18"/>
      <c r="BZ905" s="18"/>
      <c r="CA905" s="18"/>
      <c r="CB905" s="18"/>
      <c r="CC905" s="18"/>
      <c r="CD905" s="18"/>
      <c r="CE905" s="18"/>
      <c r="CF905" s="18"/>
      <c r="CG905" s="18"/>
      <c r="CH905" s="18"/>
      <c r="CI905" s="18"/>
      <c r="CJ905" s="18"/>
      <c r="CK905" s="18"/>
      <c r="CL905" s="18"/>
      <c r="CM905" s="18"/>
      <c r="CN905" s="18"/>
      <c r="CO905" s="18"/>
      <c r="CP905" s="18"/>
      <c r="CQ905" s="18"/>
      <c r="CR905" s="18"/>
      <c r="CS905" s="18"/>
      <c r="CT905" s="18"/>
      <c r="CU905" s="18"/>
    </row>
    <row r="906" spans="1:99">
      <c r="A906" s="19"/>
      <c r="B906" s="19"/>
      <c r="C906" s="19"/>
      <c r="D906" s="19"/>
      <c r="E906" s="19"/>
      <c r="F906" s="19"/>
      <c r="G906" s="19"/>
      <c r="H906" s="19"/>
      <c r="I906" s="19"/>
      <c r="J906" s="19"/>
      <c r="K906" s="18"/>
      <c r="L906" s="18"/>
      <c r="M906" s="18"/>
      <c r="N906" s="18"/>
      <c r="O906" s="18"/>
      <c r="P906" s="18"/>
      <c r="Q906" s="18"/>
      <c r="R906" s="18"/>
      <c r="S906" s="18"/>
      <c r="T906" s="18"/>
      <c r="U906" s="18"/>
      <c r="V906" s="18"/>
      <c r="W906" s="18"/>
      <c r="X906" s="18"/>
      <c r="Y906" s="18"/>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c r="BC906" s="18"/>
      <c r="BD906" s="18"/>
      <c r="BE906" s="18"/>
      <c r="BF906" s="18"/>
      <c r="BG906" s="18"/>
      <c r="BH906" s="18"/>
      <c r="BI906" s="18"/>
      <c r="BJ906" s="18"/>
      <c r="BK906" s="18"/>
      <c r="BL906" s="18"/>
      <c r="BM906" s="18"/>
      <c r="BN906" s="18"/>
      <c r="BO906" s="18"/>
      <c r="BP906" s="18"/>
      <c r="BQ906" s="18"/>
      <c r="BR906" s="18"/>
      <c r="BS906" s="18"/>
      <c r="BT906" s="18"/>
      <c r="BU906" s="18"/>
      <c r="BV906" s="18"/>
      <c r="BW906" s="18"/>
      <c r="BX906" s="18"/>
      <c r="BY906" s="18"/>
      <c r="BZ906" s="18"/>
      <c r="CA906" s="18"/>
      <c r="CB906" s="18"/>
      <c r="CC906" s="18"/>
      <c r="CD906" s="18"/>
      <c r="CE906" s="18"/>
      <c r="CF906" s="18"/>
      <c r="CG906" s="18"/>
      <c r="CH906" s="18"/>
      <c r="CI906" s="18"/>
      <c r="CJ906" s="18"/>
      <c r="CK906" s="18"/>
      <c r="CL906" s="18"/>
      <c r="CM906" s="18"/>
      <c r="CN906" s="18"/>
      <c r="CO906" s="18"/>
      <c r="CP906" s="18"/>
      <c r="CQ906" s="18"/>
      <c r="CR906" s="18"/>
      <c r="CS906" s="18"/>
      <c r="CT906" s="18"/>
      <c r="CU906" s="18"/>
    </row>
    <row r="907" spans="1:99">
      <c r="A907" s="19"/>
      <c r="B907" s="19"/>
      <c r="C907" s="19"/>
      <c r="D907" s="19"/>
      <c r="E907" s="19"/>
      <c r="F907" s="19"/>
      <c r="G907" s="19"/>
      <c r="H907" s="19"/>
      <c r="I907" s="19"/>
      <c r="J907" s="19"/>
      <c r="K907" s="18"/>
      <c r="L907" s="18"/>
      <c r="M907" s="18"/>
      <c r="N907" s="18"/>
      <c r="O907" s="18"/>
      <c r="P907" s="18"/>
      <c r="Q907" s="18"/>
      <c r="R907" s="18"/>
      <c r="S907" s="18"/>
      <c r="T907" s="18"/>
      <c r="U907" s="18"/>
      <c r="V907" s="18"/>
      <c r="W907" s="18"/>
      <c r="X907" s="18"/>
      <c r="Y907" s="18"/>
      <c r="Z907" s="18"/>
      <c r="AA907" s="18"/>
      <c r="AB907" s="18"/>
      <c r="AC907" s="18"/>
      <c r="AD907" s="18"/>
      <c r="AE907" s="18"/>
      <c r="AF907" s="18"/>
      <c r="AG907" s="18"/>
      <c r="AH907" s="18"/>
      <c r="AI907" s="18"/>
      <c r="AJ907" s="18"/>
      <c r="AK907" s="18"/>
      <c r="AL907" s="18"/>
      <c r="AM907" s="18"/>
      <c r="AN907" s="18"/>
      <c r="AO907" s="18"/>
      <c r="AP907" s="18"/>
      <c r="AQ907" s="18"/>
      <c r="AR907" s="18"/>
      <c r="AS907" s="18"/>
      <c r="AT907" s="18"/>
      <c r="AU907" s="18"/>
      <c r="AV907" s="18"/>
      <c r="AW907" s="18"/>
      <c r="AX907" s="18"/>
      <c r="AY907" s="18"/>
      <c r="AZ907" s="18"/>
      <c r="BA907" s="18"/>
      <c r="BB907" s="18"/>
      <c r="BC907" s="18"/>
      <c r="BD907" s="18"/>
      <c r="BE907" s="18"/>
      <c r="BF907" s="18"/>
      <c r="BG907" s="18"/>
      <c r="BH907" s="18"/>
      <c r="BI907" s="18"/>
      <c r="BJ907" s="18"/>
      <c r="BK907" s="18"/>
      <c r="BL907" s="18"/>
      <c r="BM907" s="18"/>
      <c r="BN907" s="18"/>
      <c r="BO907" s="18"/>
      <c r="BP907" s="18"/>
      <c r="BQ907" s="18"/>
      <c r="BR907" s="18"/>
      <c r="BS907" s="18"/>
      <c r="BT907" s="18"/>
      <c r="BU907" s="18"/>
      <c r="BV907" s="18"/>
      <c r="BW907" s="18"/>
      <c r="BX907" s="18"/>
      <c r="BY907" s="18"/>
      <c r="BZ907" s="18"/>
      <c r="CA907" s="18"/>
      <c r="CB907" s="18"/>
      <c r="CC907" s="18"/>
      <c r="CD907" s="18"/>
      <c r="CE907" s="18"/>
      <c r="CF907" s="18"/>
      <c r="CG907" s="18"/>
      <c r="CH907" s="18"/>
      <c r="CI907" s="18"/>
      <c r="CJ907" s="18"/>
      <c r="CK907" s="18"/>
      <c r="CL907" s="18"/>
      <c r="CM907" s="18"/>
      <c r="CN907" s="18"/>
      <c r="CO907" s="18"/>
      <c r="CP907" s="18"/>
      <c r="CQ907" s="18"/>
      <c r="CR907" s="18"/>
      <c r="CS907" s="18"/>
      <c r="CT907" s="18"/>
      <c r="CU907" s="18"/>
    </row>
    <row r="908" spans="1:99">
      <c r="A908" s="19"/>
      <c r="B908" s="19"/>
      <c r="C908" s="19"/>
      <c r="D908" s="19"/>
      <c r="E908" s="19"/>
      <c r="F908" s="19"/>
      <c r="G908" s="19"/>
      <c r="H908" s="19"/>
      <c r="I908" s="19"/>
      <c r="J908" s="19"/>
      <c r="K908" s="18"/>
      <c r="L908" s="18"/>
      <c r="M908" s="18"/>
      <c r="N908" s="18"/>
      <c r="O908" s="18"/>
      <c r="P908" s="18"/>
      <c r="Q908" s="18"/>
      <c r="R908" s="18"/>
      <c r="S908" s="18"/>
      <c r="T908" s="18"/>
      <c r="U908" s="18"/>
      <c r="V908" s="18"/>
      <c r="W908" s="18"/>
      <c r="X908" s="18"/>
      <c r="Y908" s="18"/>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c r="BC908" s="18"/>
      <c r="BD908" s="18"/>
      <c r="BE908" s="18"/>
      <c r="BF908" s="18"/>
      <c r="BG908" s="18"/>
      <c r="BH908" s="18"/>
      <c r="BI908" s="18"/>
      <c r="BJ908" s="18"/>
      <c r="BK908" s="18"/>
      <c r="BL908" s="18"/>
      <c r="BM908" s="18"/>
      <c r="BN908" s="18"/>
      <c r="BO908" s="18"/>
      <c r="BP908" s="18"/>
      <c r="BQ908" s="18"/>
      <c r="BR908" s="18"/>
      <c r="BS908" s="18"/>
      <c r="BT908" s="18"/>
      <c r="BU908" s="18"/>
      <c r="BV908" s="18"/>
      <c r="BW908" s="18"/>
      <c r="BX908" s="18"/>
      <c r="BY908" s="18"/>
      <c r="BZ908" s="18"/>
      <c r="CA908" s="18"/>
      <c r="CB908" s="18"/>
      <c r="CC908" s="18"/>
      <c r="CD908" s="18"/>
      <c r="CE908" s="18"/>
      <c r="CF908" s="18"/>
      <c r="CG908" s="18"/>
      <c r="CH908" s="18"/>
      <c r="CI908" s="18"/>
      <c r="CJ908" s="18"/>
      <c r="CK908" s="18"/>
      <c r="CL908" s="18"/>
      <c r="CM908" s="18"/>
      <c r="CN908" s="18"/>
      <c r="CO908" s="18"/>
      <c r="CP908" s="18"/>
      <c r="CQ908" s="18"/>
      <c r="CR908" s="18"/>
      <c r="CS908" s="18"/>
      <c r="CT908" s="18"/>
      <c r="CU908" s="18"/>
    </row>
    <row r="909" spans="1:99">
      <c r="A909" s="19"/>
      <c r="B909" s="19"/>
      <c r="C909" s="19"/>
      <c r="D909" s="19"/>
      <c r="E909" s="19"/>
      <c r="F909" s="19"/>
      <c r="G909" s="19"/>
      <c r="H909" s="19"/>
      <c r="I909" s="19"/>
      <c r="J909" s="19"/>
      <c r="K909" s="18"/>
      <c r="L909" s="18"/>
      <c r="M909" s="18"/>
      <c r="N909" s="18"/>
      <c r="O909" s="18"/>
      <c r="P909" s="18"/>
      <c r="Q909" s="18"/>
      <c r="R909" s="18"/>
      <c r="S909" s="18"/>
      <c r="T909" s="18"/>
      <c r="U909" s="18"/>
      <c r="V909" s="18"/>
      <c r="W909" s="18"/>
      <c r="X909" s="18"/>
      <c r="Y909" s="18"/>
      <c r="Z909" s="18"/>
      <c r="AA909" s="18"/>
      <c r="AB909" s="18"/>
      <c r="AC909" s="18"/>
      <c r="AD909" s="18"/>
      <c r="AE909" s="18"/>
      <c r="AF909" s="18"/>
      <c r="AG909" s="18"/>
      <c r="AH909" s="18"/>
      <c r="AI909" s="18"/>
      <c r="AJ909" s="18"/>
      <c r="AK909" s="18"/>
      <c r="AL909" s="18"/>
      <c r="AM909" s="18"/>
      <c r="AN909" s="18"/>
      <c r="AO909" s="18"/>
      <c r="AP909" s="18"/>
      <c r="AQ909" s="18"/>
      <c r="AR909" s="18"/>
      <c r="AS909" s="18"/>
      <c r="AT909" s="18"/>
      <c r="AU909" s="18"/>
      <c r="AV909" s="18"/>
      <c r="AW909" s="18"/>
      <c r="AX909" s="18"/>
      <c r="AY909" s="18"/>
      <c r="AZ909" s="18"/>
      <c r="BA909" s="18"/>
      <c r="BB909" s="18"/>
      <c r="BC909" s="18"/>
      <c r="BD909" s="18"/>
      <c r="BE909" s="18"/>
      <c r="BF909" s="18"/>
      <c r="BG909" s="18"/>
      <c r="BH909" s="18"/>
      <c r="BI909" s="18"/>
      <c r="BJ909" s="18"/>
      <c r="BK909" s="18"/>
      <c r="BL909" s="18"/>
      <c r="BM909" s="18"/>
      <c r="BN909" s="18"/>
      <c r="BO909" s="18"/>
      <c r="BP909" s="18"/>
      <c r="BQ909" s="18"/>
      <c r="BR909" s="18"/>
      <c r="BS909" s="18"/>
      <c r="BT909" s="18"/>
      <c r="BU909" s="18"/>
      <c r="BV909" s="18"/>
      <c r="BW909" s="18"/>
      <c r="BX909" s="18"/>
      <c r="BY909" s="18"/>
      <c r="BZ909" s="18"/>
      <c r="CA909" s="18"/>
      <c r="CB909" s="18"/>
      <c r="CC909" s="18"/>
      <c r="CD909" s="18"/>
      <c r="CE909" s="18"/>
      <c r="CF909" s="18"/>
      <c r="CG909" s="18"/>
      <c r="CH909" s="18"/>
      <c r="CI909" s="18"/>
      <c r="CJ909" s="18"/>
      <c r="CK909" s="18"/>
      <c r="CL909" s="18"/>
      <c r="CM909" s="18"/>
      <c r="CN909" s="18"/>
      <c r="CO909" s="18"/>
      <c r="CP909" s="18"/>
      <c r="CQ909" s="18"/>
      <c r="CR909" s="18"/>
      <c r="CS909" s="18"/>
      <c r="CT909" s="18"/>
      <c r="CU909" s="18"/>
    </row>
    <row r="910" spans="1:99">
      <c r="A910" s="19"/>
      <c r="B910" s="19"/>
      <c r="C910" s="19"/>
      <c r="D910" s="19"/>
      <c r="E910" s="19"/>
      <c r="F910" s="19"/>
      <c r="G910" s="19"/>
      <c r="H910" s="19"/>
      <c r="I910" s="19"/>
      <c r="J910" s="19"/>
      <c r="K910" s="18"/>
      <c r="L910" s="18"/>
      <c r="M910" s="18"/>
      <c r="N910" s="18"/>
      <c r="O910" s="18"/>
      <c r="P910" s="18"/>
      <c r="Q910" s="18"/>
      <c r="R910" s="18"/>
      <c r="S910" s="18"/>
      <c r="T910" s="18"/>
      <c r="U910" s="18"/>
      <c r="V910" s="18"/>
      <c r="W910" s="18"/>
      <c r="X910" s="18"/>
      <c r="Y910" s="18"/>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c r="BC910" s="18"/>
      <c r="BD910" s="18"/>
      <c r="BE910" s="18"/>
      <c r="BF910" s="18"/>
      <c r="BG910" s="18"/>
      <c r="BH910" s="18"/>
      <c r="BI910" s="18"/>
      <c r="BJ910" s="18"/>
      <c r="BK910" s="18"/>
      <c r="BL910" s="18"/>
      <c r="BM910" s="18"/>
      <c r="BN910" s="18"/>
      <c r="BO910" s="18"/>
      <c r="BP910" s="18"/>
      <c r="BQ910" s="18"/>
      <c r="BR910" s="18"/>
      <c r="BS910" s="18"/>
      <c r="BT910" s="18"/>
      <c r="BU910" s="18"/>
      <c r="BV910" s="18"/>
      <c r="BW910" s="18"/>
      <c r="BX910" s="18"/>
      <c r="BY910" s="18"/>
      <c r="BZ910" s="18"/>
      <c r="CA910" s="18"/>
      <c r="CB910" s="18"/>
      <c r="CC910" s="18"/>
      <c r="CD910" s="18"/>
      <c r="CE910" s="18"/>
      <c r="CF910" s="18"/>
      <c r="CG910" s="18"/>
      <c r="CH910" s="18"/>
      <c r="CI910" s="18"/>
      <c r="CJ910" s="18"/>
      <c r="CK910" s="18"/>
      <c r="CL910" s="18"/>
      <c r="CM910" s="18"/>
      <c r="CN910" s="18"/>
      <c r="CO910" s="18"/>
      <c r="CP910" s="18"/>
      <c r="CQ910" s="18"/>
      <c r="CR910" s="18"/>
      <c r="CS910" s="18"/>
      <c r="CT910" s="18"/>
      <c r="CU910" s="18"/>
    </row>
    <row r="911" spans="1:99">
      <c r="A911" s="19"/>
      <c r="B911" s="19"/>
      <c r="C911" s="19"/>
      <c r="D911" s="19"/>
      <c r="E911" s="19"/>
      <c r="F911" s="19"/>
      <c r="G911" s="19"/>
      <c r="H911" s="19"/>
      <c r="I911" s="19"/>
      <c r="J911" s="19"/>
      <c r="K911" s="18"/>
      <c r="L911" s="18"/>
      <c r="M911" s="18"/>
      <c r="N911" s="18"/>
      <c r="O911" s="18"/>
      <c r="P911" s="18"/>
      <c r="Q911" s="18"/>
      <c r="R911" s="18"/>
      <c r="S911" s="18"/>
      <c r="T911" s="18"/>
      <c r="U911" s="18"/>
      <c r="V911" s="18"/>
      <c r="W911" s="18"/>
      <c r="X911" s="18"/>
      <c r="Y911" s="18"/>
      <c r="Z911" s="18"/>
      <c r="AA911" s="18"/>
      <c r="AB911" s="18"/>
      <c r="AC911" s="18"/>
      <c r="AD911" s="18"/>
      <c r="AE911" s="18"/>
      <c r="AF911" s="18"/>
      <c r="AG911" s="18"/>
      <c r="AH911" s="18"/>
      <c r="AI911" s="18"/>
      <c r="AJ911" s="18"/>
      <c r="AK911" s="18"/>
      <c r="AL911" s="18"/>
      <c r="AM911" s="18"/>
      <c r="AN911" s="18"/>
      <c r="AO911" s="18"/>
      <c r="AP911" s="18"/>
      <c r="AQ911" s="18"/>
      <c r="AR911" s="18"/>
      <c r="AS911" s="18"/>
      <c r="AT911" s="18"/>
      <c r="AU911" s="18"/>
      <c r="AV911" s="18"/>
      <c r="AW911" s="18"/>
      <c r="AX911" s="18"/>
      <c r="AY911" s="18"/>
      <c r="AZ911" s="18"/>
      <c r="BA911" s="18"/>
      <c r="BB911" s="18"/>
      <c r="BC911" s="18"/>
      <c r="BD911" s="18"/>
      <c r="BE911" s="18"/>
      <c r="BF911" s="18"/>
      <c r="BG911" s="18"/>
      <c r="BH911" s="18"/>
      <c r="BI911" s="18"/>
      <c r="BJ911" s="18"/>
      <c r="BK911" s="18"/>
      <c r="BL911" s="18"/>
      <c r="BM911" s="18"/>
      <c r="BN911" s="18"/>
      <c r="BO911" s="18"/>
      <c r="BP911" s="18"/>
      <c r="BQ911" s="18"/>
      <c r="BR911" s="18"/>
      <c r="BS911" s="18"/>
      <c r="BT911" s="18"/>
      <c r="BU911" s="18"/>
      <c r="BV911" s="18"/>
      <c r="BW911" s="18"/>
      <c r="BX911" s="18"/>
      <c r="BY911" s="18"/>
      <c r="BZ911" s="18"/>
      <c r="CA911" s="18"/>
      <c r="CB911" s="18"/>
      <c r="CC911" s="18"/>
      <c r="CD911" s="18"/>
      <c r="CE911" s="18"/>
      <c r="CF911" s="18"/>
      <c r="CG911" s="18"/>
      <c r="CH911" s="18"/>
      <c r="CI911" s="18"/>
      <c r="CJ911" s="18"/>
      <c r="CK911" s="18"/>
      <c r="CL911" s="18"/>
      <c r="CM911" s="18"/>
      <c r="CN911" s="18"/>
      <c r="CO911" s="18"/>
      <c r="CP911" s="18"/>
      <c r="CQ911" s="18"/>
      <c r="CR911" s="18"/>
      <c r="CS911" s="18"/>
      <c r="CT911" s="18"/>
      <c r="CU911" s="18"/>
    </row>
    <row r="912" spans="1:99">
      <c r="A912" s="19"/>
      <c r="B912" s="19"/>
      <c r="C912" s="19"/>
      <c r="D912" s="19"/>
      <c r="E912" s="19"/>
      <c r="F912" s="19"/>
      <c r="G912" s="19"/>
      <c r="H912" s="19"/>
      <c r="I912" s="19"/>
      <c r="J912" s="19"/>
      <c r="K912" s="18"/>
      <c r="L912" s="18"/>
      <c r="M912" s="18"/>
      <c r="N912" s="18"/>
      <c r="O912" s="18"/>
      <c r="P912" s="18"/>
      <c r="Q912" s="18"/>
      <c r="R912" s="18"/>
      <c r="S912" s="18"/>
      <c r="T912" s="18"/>
      <c r="U912" s="18"/>
      <c r="V912" s="18"/>
      <c r="W912" s="18"/>
      <c r="X912" s="18"/>
      <c r="Y912" s="18"/>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c r="BC912" s="18"/>
      <c r="BD912" s="18"/>
      <c r="BE912" s="18"/>
      <c r="BF912" s="18"/>
      <c r="BG912" s="18"/>
      <c r="BH912" s="18"/>
      <c r="BI912" s="18"/>
      <c r="BJ912" s="18"/>
      <c r="BK912" s="18"/>
      <c r="BL912" s="18"/>
      <c r="BM912" s="18"/>
      <c r="BN912" s="18"/>
      <c r="BO912" s="18"/>
      <c r="BP912" s="18"/>
      <c r="BQ912" s="18"/>
      <c r="BR912" s="18"/>
      <c r="BS912" s="18"/>
      <c r="BT912" s="18"/>
      <c r="BU912" s="18"/>
      <c r="BV912" s="18"/>
      <c r="BW912" s="18"/>
      <c r="BX912" s="18"/>
      <c r="BY912" s="18"/>
      <c r="BZ912" s="18"/>
      <c r="CA912" s="18"/>
      <c r="CB912" s="18"/>
      <c r="CC912" s="18"/>
      <c r="CD912" s="18"/>
      <c r="CE912" s="18"/>
      <c r="CF912" s="18"/>
      <c r="CG912" s="18"/>
      <c r="CH912" s="18"/>
      <c r="CI912" s="18"/>
      <c r="CJ912" s="18"/>
      <c r="CK912" s="18"/>
      <c r="CL912" s="18"/>
      <c r="CM912" s="18"/>
      <c r="CN912" s="18"/>
      <c r="CO912" s="18"/>
      <c r="CP912" s="18"/>
      <c r="CQ912" s="18"/>
      <c r="CR912" s="18"/>
      <c r="CS912" s="18"/>
      <c r="CT912" s="18"/>
      <c r="CU912" s="18"/>
    </row>
    <row r="913" spans="1:99">
      <c r="A913" s="19"/>
      <c r="B913" s="19"/>
      <c r="C913" s="19"/>
      <c r="D913" s="19"/>
      <c r="E913" s="19"/>
      <c r="F913" s="19"/>
      <c r="G913" s="19"/>
      <c r="H913" s="19"/>
      <c r="I913" s="19"/>
      <c r="J913" s="19"/>
      <c r="K913" s="18"/>
      <c r="L913" s="18"/>
      <c r="M913" s="18"/>
      <c r="N913" s="18"/>
      <c r="O913" s="18"/>
      <c r="P913" s="18"/>
      <c r="Q913" s="18"/>
      <c r="R913" s="18"/>
      <c r="S913" s="18"/>
      <c r="T913" s="18"/>
      <c r="U913" s="18"/>
      <c r="V913" s="18"/>
      <c r="W913" s="18"/>
      <c r="X913" s="18"/>
      <c r="Y913" s="18"/>
      <c r="Z913" s="18"/>
      <c r="AA913" s="18"/>
      <c r="AB913" s="18"/>
      <c r="AC913" s="18"/>
      <c r="AD913" s="18"/>
      <c r="AE913" s="18"/>
      <c r="AF913" s="18"/>
      <c r="AG913" s="18"/>
      <c r="AH913" s="18"/>
      <c r="AI913" s="18"/>
      <c r="AJ913" s="18"/>
      <c r="AK913" s="18"/>
      <c r="AL913" s="18"/>
      <c r="AM913" s="18"/>
      <c r="AN913" s="18"/>
      <c r="AO913" s="18"/>
      <c r="AP913" s="18"/>
      <c r="AQ913" s="18"/>
      <c r="AR913" s="18"/>
      <c r="AS913" s="18"/>
      <c r="AT913" s="18"/>
      <c r="AU913" s="18"/>
      <c r="AV913" s="18"/>
      <c r="AW913" s="18"/>
      <c r="AX913" s="18"/>
      <c r="AY913" s="18"/>
      <c r="AZ913" s="18"/>
      <c r="BA913" s="18"/>
      <c r="BB913" s="18"/>
      <c r="BC913" s="18"/>
      <c r="BD913" s="18"/>
      <c r="BE913" s="18"/>
      <c r="BF913" s="18"/>
      <c r="BG913" s="18"/>
      <c r="BH913" s="18"/>
      <c r="BI913" s="18"/>
      <c r="BJ913" s="18"/>
      <c r="BK913" s="18"/>
      <c r="BL913" s="18"/>
      <c r="BM913" s="18"/>
      <c r="BN913" s="18"/>
      <c r="BO913" s="18"/>
      <c r="BP913" s="18"/>
      <c r="BQ913" s="18"/>
      <c r="BR913" s="18"/>
      <c r="BS913" s="18"/>
      <c r="BT913" s="18"/>
      <c r="BU913" s="18"/>
      <c r="BV913" s="18"/>
      <c r="BW913" s="18"/>
      <c r="BX913" s="18"/>
      <c r="BY913" s="18"/>
      <c r="BZ913" s="18"/>
      <c r="CA913" s="18"/>
      <c r="CB913" s="18"/>
      <c r="CC913" s="18"/>
      <c r="CD913" s="18"/>
      <c r="CE913" s="18"/>
      <c r="CF913" s="18"/>
      <c r="CG913" s="18"/>
      <c r="CH913" s="18"/>
      <c r="CI913" s="18"/>
      <c r="CJ913" s="18"/>
      <c r="CK913" s="18"/>
      <c r="CL913" s="18"/>
      <c r="CM913" s="18"/>
      <c r="CN913" s="18"/>
      <c r="CO913" s="18"/>
      <c r="CP913" s="18"/>
      <c r="CQ913" s="18"/>
      <c r="CR913" s="18"/>
      <c r="CS913" s="18"/>
      <c r="CT913" s="18"/>
      <c r="CU913" s="18"/>
    </row>
    <row r="914" spans="1:99">
      <c r="A914" s="19"/>
      <c r="B914" s="19"/>
      <c r="C914" s="19"/>
      <c r="D914" s="19"/>
      <c r="E914" s="19"/>
      <c r="F914" s="19"/>
      <c r="G914" s="19"/>
      <c r="H914" s="19"/>
      <c r="I914" s="19"/>
      <c r="J914" s="19"/>
      <c r="K914" s="18"/>
      <c r="L914" s="18"/>
      <c r="M914" s="18"/>
      <c r="N914" s="18"/>
      <c r="O914" s="18"/>
      <c r="P914" s="18"/>
      <c r="Q914" s="18"/>
      <c r="R914" s="18"/>
      <c r="S914" s="18"/>
      <c r="T914" s="18"/>
      <c r="U914" s="18"/>
      <c r="V914" s="18"/>
      <c r="W914" s="18"/>
      <c r="X914" s="18"/>
      <c r="Y914" s="18"/>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c r="BC914" s="18"/>
      <c r="BD914" s="18"/>
      <c r="BE914" s="18"/>
      <c r="BF914" s="18"/>
      <c r="BG914" s="18"/>
      <c r="BH914" s="18"/>
      <c r="BI914" s="18"/>
      <c r="BJ914" s="18"/>
      <c r="BK914" s="18"/>
      <c r="BL914" s="18"/>
      <c r="BM914" s="18"/>
      <c r="BN914" s="18"/>
      <c r="BO914" s="18"/>
      <c r="BP914" s="18"/>
      <c r="BQ914" s="18"/>
      <c r="BR914" s="18"/>
      <c r="BS914" s="18"/>
      <c r="BT914" s="18"/>
      <c r="BU914" s="18"/>
      <c r="BV914" s="18"/>
      <c r="BW914" s="18"/>
      <c r="BX914" s="18"/>
      <c r="BY914" s="18"/>
      <c r="BZ914" s="18"/>
      <c r="CA914" s="18"/>
      <c r="CB914" s="18"/>
      <c r="CC914" s="18"/>
      <c r="CD914" s="18"/>
      <c r="CE914" s="18"/>
      <c r="CF914" s="18"/>
      <c r="CG914" s="18"/>
      <c r="CH914" s="18"/>
      <c r="CI914" s="18"/>
      <c r="CJ914" s="18"/>
      <c r="CK914" s="18"/>
      <c r="CL914" s="18"/>
      <c r="CM914" s="18"/>
      <c r="CN914" s="18"/>
      <c r="CO914" s="18"/>
      <c r="CP914" s="18"/>
      <c r="CQ914" s="18"/>
      <c r="CR914" s="18"/>
      <c r="CS914" s="18"/>
      <c r="CT914" s="18"/>
      <c r="CU914" s="18"/>
    </row>
    <row r="915" spans="1:99">
      <c r="A915" s="19"/>
      <c r="B915" s="19"/>
      <c r="C915" s="19"/>
      <c r="D915" s="19"/>
      <c r="E915" s="19"/>
      <c r="F915" s="19"/>
      <c r="G915" s="19"/>
      <c r="H915" s="19"/>
      <c r="I915" s="19"/>
      <c r="J915" s="19"/>
      <c r="K915" s="18"/>
      <c r="L915" s="18"/>
      <c r="M915" s="18"/>
      <c r="N915" s="18"/>
      <c r="O915" s="18"/>
      <c r="P915" s="18"/>
      <c r="Q915" s="18"/>
      <c r="R915" s="18"/>
      <c r="S915" s="18"/>
      <c r="T915" s="18"/>
      <c r="U915" s="18"/>
      <c r="V915" s="18"/>
      <c r="W915" s="18"/>
      <c r="X915" s="18"/>
      <c r="Y915" s="18"/>
      <c r="Z915" s="18"/>
      <c r="AA915" s="18"/>
      <c r="AB915" s="18"/>
      <c r="AC915" s="18"/>
      <c r="AD915" s="18"/>
      <c r="AE915" s="18"/>
      <c r="AF915" s="18"/>
      <c r="AG915" s="18"/>
      <c r="AH915" s="18"/>
      <c r="AI915" s="18"/>
      <c r="AJ915" s="18"/>
      <c r="AK915" s="18"/>
      <c r="AL915" s="18"/>
      <c r="AM915" s="18"/>
      <c r="AN915" s="18"/>
      <c r="AO915" s="18"/>
      <c r="AP915" s="18"/>
      <c r="AQ915" s="18"/>
      <c r="AR915" s="18"/>
      <c r="AS915" s="18"/>
      <c r="AT915" s="18"/>
      <c r="AU915" s="18"/>
      <c r="AV915" s="18"/>
      <c r="AW915" s="18"/>
      <c r="AX915" s="18"/>
      <c r="AY915" s="18"/>
      <c r="AZ915" s="18"/>
      <c r="BA915" s="18"/>
      <c r="BB915" s="18"/>
      <c r="BC915" s="18"/>
      <c r="BD915" s="18"/>
      <c r="BE915" s="18"/>
      <c r="BF915" s="18"/>
      <c r="BG915" s="18"/>
      <c r="BH915" s="18"/>
      <c r="BI915" s="18"/>
      <c r="BJ915" s="18"/>
      <c r="BK915" s="18"/>
      <c r="BL915" s="18"/>
      <c r="BM915" s="18"/>
      <c r="BN915" s="18"/>
      <c r="BO915" s="18"/>
      <c r="BP915" s="18"/>
      <c r="BQ915" s="18"/>
      <c r="BR915" s="18"/>
      <c r="BS915" s="18"/>
      <c r="BT915" s="18"/>
      <c r="BU915" s="18"/>
      <c r="BV915" s="18"/>
      <c r="BW915" s="18"/>
      <c r="BX915" s="18"/>
      <c r="BY915" s="18"/>
      <c r="BZ915" s="18"/>
      <c r="CA915" s="18"/>
      <c r="CB915" s="18"/>
      <c r="CC915" s="18"/>
      <c r="CD915" s="18"/>
      <c r="CE915" s="18"/>
      <c r="CF915" s="18"/>
      <c r="CG915" s="18"/>
      <c r="CH915" s="18"/>
      <c r="CI915" s="18"/>
      <c r="CJ915" s="18"/>
      <c r="CK915" s="18"/>
      <c r="CL915" s="18"/>
      <c r="CM915" s="18"/>
      <c r="CN915" s="18"/>
      <c r="CO915" s="18"/>
      <c r="CP915" s="18"/>
      <c r="CQ915" s="18"/>
      <c r="CR915" s="18"/>
      <c r="CS915" s="18"/>
      <c r="CT915" s="18"/>
      <c r="CU915" s="18"/>
    </row>
    <row r="916" spans="1:99">
      <c r="A916" s="19"/>
      <c r="B916" s="19"/>
      <c r="C916" s="19"/>
      <c r="D916" s="19"/>
      <c r="E916" s="19"/>
      <c r="F916" s="19"/>
      <c r="G916" s="19"/>
      <c r="H916" s="19"/>
      <c r="I916" s="19"/>
      <c r="J916" s="19"/>
      <c r="K916" s="18"/>
      <c r="L916" s="18"/>
      <c r="M916" s="18"/>
      <c r="N916" s="18"/>
      <c r="O916" s="18"/>
      <c r="P916" s="18"/>
      <c r="Q916" s="18"/>
      <c r="R916" s="18"/>
      <c r="S916" s="18"/>
      <c r="T916" s="18"/>
      <c r="U916" s="18"/>
      <c r="V916" s="18"/>
      <c r="W916" s="18"/>
      <c r="X916" s="18"/>
      <c r="Y916" s="18"/>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c r="BC916" s="18"/>
      <c r="BD916" s="18"/>
      <c r="BE916" s="18"/>
      <c r="BF916" s="18"/>
      <c r="BG916" s="18"/>
      <c r="BH916" s="18"/>
      <c r="BI916" s="18"/>
      <c r="BJ916" s="18"/>
      <c r="BK916" s="18"/>
      <c r="BL916" s="18"/>
      <c r="BM916" s="18"/>
      <c r="BN916" s="18"/>
      <c r="BO916" s="18"/>
      <c r="BP916" s="18"/>
      <c r="BQ916" s="18"/>
      <c r="BR916" s="18"/>
      <c r="BS916" s="18"/>
      <c r="BT916" s="18"/>
      <c r="BU916" s="18"/>
      <c r="BV916" s="18"/>
      <c r="BW916" s="18"/>
      <c r="BX916" s="18"/>
      <c r="BY916" s="18"/>
      <c r="BZ916" s="18"/>
      <c r="CA916" s="18"/>
      <c r="CB916" s="18"/>
      <c r="CC916" s="18"/>
      <c r="CD916" s="18"/>
      <c r="CE916" s="18"/>
      <c r="CF916" s="18"/>
      <c r="CG916" s="18"/>
      <c r="CH916" s="18"/>
      <c r="CI916" s="18"/>
      <c r="CJ916" s="18"/>
      <c r="CK916" s="18"/>
      <c r="CL916" s="18"/>
      <c r="CM916" s="18"/>
      <c r="CN916" s="18"/>
      <c r="CO916" s="18"/>
      <c r="CP916" s="18"/>
      <c r="CQ916" s="18"/>
      <c r="CR916" s="18"/>
      <c r="CS916" s="18"/>
      <c r="CT916" s="18"/>
      <c r="CU916" s="18"/>
    </row>
    <row r="917" spans="1:99">
      <c r="A917" s="19"/>
      <c r="B917" s="19"/>
      <c r="C917" s="19"/>
      <c r="D917" s="19"/>
      <c r="E917" s="19"/>
      <c r="F917" s="19"/>
      <c r="G917" s="19"/>
      <c r="H917" s="19"/>
      <c r="I917" s="19"/>
      <c r="J917" s="19"/>
      <c r="K917" s="18"/>
      <c r="L917" s="18"/>
      <c r="M917" s="18"/>
      <c r="N917" s="18"/>
      <c r="O917" s="18"/>
      <c r="P917" s="18"/>
      <c r="Q917" s="18"/>
      <c r="R917" s="18"/>
      <c r="S917" s="18"/>
      <c r="T917" s="18"/>
      <c r="U917" s="18"/>
      <c r="V917" s="18"/>
      <c r="W917" s="18"/>
      <c r="X917" s="18"/>
      <c r="Y917" s="18"/>
      <c r="Z917" s="18"/>
      <c r="AA917" s="18"/>
      <c r="AB917" s="18"/>
      <c r="AC917" s="18"/>
      <c r="AD917" s="18"/>
      <c r="AE917" s="18"/>
      <c r="AF917" s="18"/>
      <c r="AG917" s="18"/>
      <c r="AH917" s="18"/>
      <c r="AI917" s="18"/>
      <c r="AJ917" s="18"/>
      <c r="AK917" s="18"/>
      <c r="AL917" s="18"/>
      <c r="AM917" s="18"/>
      <c r="AN917" s="18"/>
      <c r="AO917" s="18"/>
      <c r="AP917" s="18"/>
      <c r="AQ917" s="18"/>
      <c r="AR917" s="18"/>
      <c r="AS917" s="18"/>
      <c r="AT917" s="18"/>
      <c r="AU917" s="18"/>
      <c r="AV917" s="18"/>
      <c r="AW917" s="18"/>
      <c r="AX917" s="18"/>
      <c r="AY917" s="18"/>
      <c r="AZ917" s="18"/>
      <c r="BA917" s="18"/>
      <c r="BB917" s="18"/>
      <c r="BC917" s="18"/>
      <c r="BD917" s="18"/>
      <c r="BE917" s="18"/>
      <c r="BF917" s="18"/>
      <c r="BG917" s="18"/>
      <c r="BH917" s="18"/>
      <c r="BI917" s="18"/>
      <c r="BJ917" s="18"/>
      <c r="BK917" s="18"/>
      <c r="BL917" s="18"/>
      <c r="BM917" s="18"/>
      <c r="BN917" s="18"/>
      <c r="BO917" s="18"/>
      <c r="BP917" s="18"/>
      <c r="BQ917" s="18"/>
      <c r="BR917" s="18"/>
      <c r="BS917" s="18"/>
      <c r="BT917" s="18"/>
      <c r="BU917" s="18"/>
      <c r="BV917" s="18"/>
      <c r="BW917" s="18"/>
      <c r="BX917" s="18"/>
      <c r="BY917" s="18"/>
      <c r="BZ917" s="18"/>
      <c r="CA917" s="18"/>
      <c r="CB917" s="18"/>
      <c r="CC917" s="18"/>
      <c r="CD917" s="18"/>
      <c r="CE917" s="18"/>
      <c r="CF917" s="18"/>
      <c r="CG917" s="18"/>
      <c r="CH917" s="18"/>
      <c r="CI917" s="18"/>
      <c r="CJ917" s="18"/>
      <c r="CK917" s="18"/>
      <c r="CL917" s="18"/>
      <c r="CM917" s="18"/>
      <c r="CN917" s="18"/>
      <c r="CO917" s="18"/>
      <c r="CP917" s="18"/>
      <c r="CQ917" s="18"/>
      <c r="CR917" s="18"/>
      <c r="CS917" s="18"/>
      <c r="CT917" s="18"/>
      <c r="CU917" s="18"/>
    </row>
    <row r="918" spans="1:99">
      <c r="A918" s="19"/>
      <c r="B918" s="19"/>
      <c r="C918" s="19"/>
      <c r="D918" s="19"/>
      <c r="E918" s="19"/>
      <c r="F918" s="19"/>
      <c r="G918" s="19"/>
      <c r="H918" s="19"/>
      <c r="I918" s="19"/>
      <c r="J918" s="19"/>
      <c r="K918" s="18"/>
      <c r="L918" s="18"/>
      <c r="M918" s="18"/>
      <c r="N918" s="18"/>
      <c r="O918" s="18"/>
      <c r="P918" s="18"/>
      <c r="Q918" s="18"/>
      <c r="R918" s="18"/>
      <c r="S918" s="18"/>
      <c r="T918" s="18"/>
      <c r="U918" s="18"/>
      <c r="V918" s="18"/>
      <c r="W918" s="18"/>
      <c r="X918" s="18"/>
      <c r="Y918" s="18"/>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c r="BC918" s="18"/>
      <c r="BD918" s="18"/>
      <c r="BE918" s="18"/>
      <c r="BF918" s="18"/>
      <c r="BG918" s="18"/>
      <c r="BH918" s="18"/>
      <c r="BI918" s="18"/>
      <c r="BJ918" s="18"/>
      <c r="BK918" s="18"/>
      <c r="BL918" s="18"/>
      <c r="BM918" s="18"/>
      <c r="BN918" s="18"/>
      <c r="BO918" s="18"/>
      <c r="BP918" s="18"/>
      <c r="BQ918" s="18"/>
      <c r="BR918" s="18"/>
      <c r="BS918" s="18"/>
      <c r="BT918" s="18"/>
      <c r="BU918" s="18"/>
      <c r="BV918" s="18"/>
      <c r="BW918" s="18"/>
      <c r="BX918" s="18"/>
      <c r="BY918" s="18"/>
      <c r="BZ918" s="18"/>
      <c r="CA918" s="18"/>
      <c r="CB918" s="18"/>
      <c r="CC918" s="18"/>
      <c r="CD918" s="18"/>
      <c r="CE918" s="18"/>
      <c r="CF918" s="18"/>
      <c r="CG918" s="18"/>
      <c r="CH918" s="18"/>
      <c r="CI918" s="18"/>
      <c r="CJ918" s="18"/>
      <c r="CK918" s="18"/>
      <c r="CL918" s="18"/>
      <c r="CM918" s="18"/>
      <c r="CN918" s="18"/>
      <c r="CO918" s="18"/>
      <c r="CP918" s="18"/>
      <c r="CQ918" s="18"/>
      <c r="CR918" s="18"/>
      <c r="CS918" s="18"/>
      <c r="CT918" s="18"/>
      <c r="CU918" s="18"/>
    </row>
    <row r="919" spans="1:99">
      <c r="A919" s="19"/>
      <c r="B919" s="19"/>
      <c r="C919" s="19"/>
      <c r="D919" s="19"/>
      <c r="E919" s="19"/>
      <c r="F919" s="19"/>
      <c r="G919" s="19"/>
      <c r="H919" s="19"/>
      <c r="I919" s="19"/>
      <c r="J919" s="19"/>
      <c r="K919" s="18"/>
      <c r="L919" s="18"/>
      <c r="M919" s="18"/>
      <c r="N919" s="18"/>
      <c r="O919" s="18"/>
      <c r="P919" s="18"/>
      <c r="Q919" s="18"/>
      <c r="R919" s="18"/>
      <c r="S919" s="18"/>
      <c r="T919" s="18"/>
      <c r="U919" s="18"/>
      <c r="V919" s="18"/>
      <c r="W919" s="18"/>
      <c r="X919" s="18"/>
      <c r="Y919" s="18"/>
      <c r="Z919" s="18"/>
      <c r="AA919" s="18"/>
      <c r="AB919" s="18"/>
      <c r="AC919" s="18"/>
      <c r="AD919" s="18"/>
      <c r="AE919" s="18"/>
      <c r="AF919" s="18"/>
      <c r="AG919" s="18"/>
      <c r="AH919" s="18"/>
      <c r="AI919" s="18"/>
      <c r="AJ919" s="18"/>
      <c r="AK919" s="18"/>
      <c r="AL919" s="18"/>
      <c r="AM919" s="18"/>
      <c r="AN919" s="18"/>
      <c r="AO919" s="18"/>
      <c r="AP919" s="18"/>
      <c r="AQ919" s="18"/>
      <c r="AR919" s="18"/>
      <c r="AS919" s="18"/>
      <c r="AT919" s="18"/>
      <c r="AU919" s="18"/>
      <c r="AV919" s="18"/>
      <c r="AW919" s="18"/>
      <c r="AX919" s="18"/>
      <c r="AY919" s="18"/>
      <c r="AZ919" s="18"/>
      <c r="BA919" s="18"/>
      <c r="BB919" s="18"/>
      <c r="BC919" s="18"/>
      <c r="BD919" s="18"/>
      <c r="BE919" s="18"/>
      <c r="BF919" s="18"/>
      <c r="BG919" s="18"/>
      <c r="BH919" s="18"/>
      <c r="BI919" s="18"/>
      <c r="BJ919" s="18"/>
      <c r="BK919" s="18"/>
      <c r="BL919" s="18"/>
      <c r="BM919" s="18"/>
      <c r="BN919" s="18"/>
      <c r="BO919" s="18"/>
      <c r="BP919" s="18"/>
      <c r="BQ919" s="18"/>
      <c r="BR919" s="18"/>
      <c r="BS919" s="18"/>
      <c r="BT919" s="18"/>
      <c r="BU919" s="18"/>
      <c r="BV919" s="18"/>
      <c r="BW919" s="18"/>
      <c r="BX919" s="18"/>
      <c r="BY919" s="18"/>
      <c r="BZ919" s="18"/>
      <c r="CA919" s="18"/>
      <c r="CB919" s="18"/>
      <c r="CC919" s="18"/>
      <c r="CD919" s="18"/>
      <c r="CE919" s="18"/>
      <c r="CF919" s="18"/>
      <c r="CG919" s="18"/>
      <c r="CH919" s="18"/>
      <c r="CI919" s="18"/>
      <c r="CJ919" s="18"/>
      <c r="CK919" s="18"/>
      <c r="CL919" s="18"/>
      <c r="CM919" s="18"/>
      <c r="CN919" s="18"/>
      <c r="CO919" s="18"/>
      <c r="CP919" s="18"/>
      <c r="CQ919" s="18"/>
      <c r="CR919" s="18"/>
      <c r="CS919" s="18"/>
      <c r="CT919" s="18"/>
      <c r="CU919" s="18"/>
    </row>
    <row r="920" spans="1:99">
      <c r="A920" s="19"/>
      <c r="B920" s="19"/>
      <c r="C920" s="19"/>
      <c r="D920" s="19"/>
      <c r="E920" s="19"/>
      <c r="F920" s="19"/>
      <c r="G920" s="19"/>
      <c r="H920" s="19"/>
      <c r="I920" s="19"/>
      <c r="J920" s="19"/>
      <c r="K920" s="18"/>
      <c r="L920" s="18"/>
      <c r="M920" s="18"/>
      <c r="N920" s="18"/>
      <c r="O920" s="18"/>
      <c r="P920" s="18"/>
      <c r="Q920" s="18"/>
      <c r="R920" s="18"/>
      <c r="S920" s="18"/>
      <c r="T920" s="18"/>
      <c r="U920" s="18"/>
      <c r="V920" s="18"/>
      <c r="W920" s="18"/>
      <c r="X920" s="18"/>
      <c r="Y920" s="18"/>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c r="BC920" s="18"/>
      <c r="BD920" s="18"/>
      <c r="BE920" s="18"/>
      <c r="BF920" s="18"/>
      <c r="BG920" s="18"/>
      <c r="BH920" s="18"/>
      <c r="BI920" s="18"/>
      <c r="BJ920" s="18"/>
      <c r="BK920" s="18"/>
      <c r="BL920" s="18"/>
      <c r="BM920" s="18"/>
      <c r="BN920" s="18"/>
      <c r="BO920" s="18"/>
      <c r="BP920" s="18"/>
      <c r="BQ920" s="18"/>
      <c r="BR920" s="18"/>
      <c r="BS920" s="18"/>
      <c r="BT920" s="18"/>
      <c r="BU920" s="18"/>
      <c r="BV920" s="18"/>
      <c r="BW920" s="18"/>
      <c r="BX920" s="18"/>
      <c r="BY920" s="18"/>
      <c r="BZ920" s="18"/>
      <c r="CA920" s="18"/>
      <c r="CB920" s="18"/>
      <c r="CC920" s="18"/>
      <c r="CD920" s="18"/>
      <c r="CE920" s="18"/>
      <c r="CF920" s="18"/>
      <c r="CG920" s="18"/>
      <c r="CH920" s="18"/>
      <c r="CI920" s="18"/>
      <c r="CJ920" s="18"/>
      <c r="CK920" s="18"/>
      <c r="CL920" s="18"/>
      <c r="CM920" s="18"/>
      <c r="CN920" s="18"/>
      <c r="CO920" s="18"/>
      <c r="CP920" s="18"/>
      <c r="CQ920" s="18"/>
      <c r="CR920" s="18"/>
      <c r="CS920" s="18"/>
      <c r="CT920" s="18"/>
      <c r="CU920" s="18"/>
    </row>
    <row r="921" spans="1:99">
      <c r="A921" s="19"/>
      <c r="B921" s="19"/>
      <c r="C921" s="19"/>
      <c r="D921" s="19"/>
      <c r="E921" s="19"/>
      <c r="F921" s="19"/>
      <c r="G921" s="19"/>
      <c r="H921" s="19"/>
      <c r="I921" s="19"/>
      <c r="J921" s="19"/>
      <c r="K921" s="18"/>
      <c r="L921" s="18"/>
      <c r="M921" s="18"/>
      <c r="N921" s="18"/>
      <c r="O921" s="18"/>
      <c r="P921" s="18"/>
      <c r="Q921" s="18"/>
      <c r="R921" s="18"/>
      <c r="S921" s="18"/>
      <c r="T921" s="18"/>
      <c r="U921" s="18"/>
      <c r="V921" s="18"/>
      <c r="W921" s="18"/>
      <c r="X921" s="18"/>
      <c r="Y921" s="18"/>
      <c r="Z921" s="18"/>
      <c r="AA921" s="18"/>
      <c r="AB921" s="18"/>
      <c r="AC921" s="18"/>
      <c r="AD921" s="18"/>
      <c r="AE921" s="18"/>
      <c r="AF921" s="18"/>
      <c r="AG921" s="18"/>
      <c r="AH921" s="18"/>
      <c r="AI921" s="18"/>
      <c r="AJ921" s="18"/>
      <c r="AK921" s="18"/>
      <c r="AL921" s="18"/>
      <c r="AM921" s="18"/>
      <c r="AN921" s="18"/>
      <c r="AO921" s="18"/>
      <c r="AP921" s="18"/>
      <c r="AQ921" s="18"/>
      <c r="AR921" s="18"/>
      <c r="AS921" s="18"/>
      <c r="AT921" s="18"/>
      <c r="AU921" s="18"/>
      <c r="AV921" s="18"/>
      <c r="AW921" s="18"/>
      <c r="AX921" s="18"/>
      <c r="AY921" s="18"/>
      <c r="AZ921" s="18"/>
      <c r="BA921" s="18"/>
      <c r="BB921" s="18"/>
      <c r="BC921" s="18"/>
      <c r="BD921" s="18"/>
      <c r="BE921" s="18"/>
      <c r="BF921" s="18"/>
      <c r="BG921" s="18"/>
      <c r="BH921" s="18"/>
      <c r="BI921" s="18"/>
      <c r="BJ921" s="18"/>
      <c r="BK921" s="18"/>
      <c r="BL921" s="18"/>
      <c r="BM921" s="18"/>
      <c r="BN921" s="18"/>
      <c r="BO921" s="18"/>
      <c r="BP921" s="18"/>
      <c r="BQ921" s="18"/>
      <c r="BR921" s="18"/>
      <c r="BS921" s="18"/>
      <c r="BT921" s="18"/>
      <c r="BU921" s="18"/>
      <c r="BV921" s="18"/>
      <c r="BW921" s="18"/>
      <c r="BX921" s="18"/>
      <c r="BY921" s="18"/>
      <c r="BZ921" s="18"/>
      <c r="CA921" s="18"/>
      <c r="CB921" s="18"/>
      <c r="CC921" s="18"/>
      <c r="CD921" s="18"/>
      <c r="CE921" s="18"/>
      <c r="CF921" s="18"/>
      <c r="CG921" s="18"/>
      <c r="CH921" s="18"/>
      <c r="CI921" s="18"/>
      <c r="CJ921" s="18"/>
      <c r="CK921" s="18"/>
      <c r="CL921" s="18"/>
      <c r="CM921" s="18"/>
      <c r="CN921" s="18"/>
      <c r="CO921" s="18"/>
      <c r="CP921" s="18"/>
      <c r="CQ921" s="18"/>
      <c r="CR921" s="18"/>
      <c r="CS921" s="18"/>
      <c r="CT921" s="18"/>
      <c r="CU921" s="18"/>
    </row>
    <row r="922" spans="1:99">
      <c r="A922" s="19"/>
      <c r="B922" s="19"/>
      <c r="C922" s="19"/>
      <c r="D922" s="19"/>
      <c r="E922" s="19"/>
      <c r="F922" s="19"/>
      <c r="G922" s="19"/>
      <c r="H922" s="19"/>
      <c r="I922" s="19"/>
      <c r="J922" s="19"/>
      <c r="K922" s="18"/>
      <c r="L922" s="18"/>
      <c r="M922" s="18"/>
      <c r="N922" s="18"/>
      <c r="O922" s="18"/>
      <c r="P922" s="18"/>
      <c r="Q922" s="18"/>
      <c r="R922" s="18"/>
      <c r="S922" s="18"/>
      <c r="T922" s="18"/>
      <c r="U922" s="18"/>
      <c r="V922" s="18"/>
      <c r="W922" s="18"/>
      <c r="X922" s="18"/>
      <c r="Y922" s="18"/>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c r="BC922" s="18"/>
      <c r="BD922" s="18"/>
      <c r="BE922" s="18"/>
      <c r="BF922" s="18"/>
      <c r="BG922" s="18"/>
      <c r="BH922" s="18"/>
      <c r="BI922" s="18"/>
      <c r="BJ922" s="18"/>
      <c r="BK922" s="18"/>
      <c r="BL922" s="18"/>
      <c r="BM922" s="18"/>
      <c r="BN922" s="18"/>
      <c r="BO922" s="18"/>
      <c r="BP922" s="18"/>
      <c r="BQ922" s="18"/>
      <c r="BR922" s="18"/>
      <c r="BS922" s="18"/>
      <c r="BT922" s="18"/>
      <c r="BU922" s="18"/>
      <c r="BV922" s="18"/>
      <c r="BW922" s="18"/>
      <c r="BX922" s="18"/>
      <c r="BY922" s="18"/>
      <c r="BZ922" s="18"/>
      <c r="CA922" s="18"/>
      <c r="CB922" s="18"/>
      <c r="CC922" s="18"/>
      <c r="CD922" s="18"/>
      <c r="CE922" s="18"/>
      <c r="CF922" s="18"/>
      <c r="CG922" s="18"/>
      <c r="CH922" s="18"/>
      <c r="CI922" s="18"/>
      <c r="CJ922" s="18"/>
      <c r="CK922" s="18"/>
      <c r="CL922" s="18"/>
      <c r="CM922" s="18"/>
      <c r="CN922" s="18"/>
      <c r="CO922" s="18"/>
      <c r="CP922" s="18"/>
      <c r="CQ922" s="18"/>
      <c r="CR922" s="18"/>
      <c r="CS922" s="18"/>
      <c r="CT922" s="18"/>
      <c r="CU922" s="18"/>
    </row>
    <row r="923" spans="1:99">
      <c r="A923" s="19"/>
      <c r="B923" s="19"/>
      <c r="C923" s="19"/>
      <c r="D923" s="19"/>
      <c r="E923" s="19"/>
      <c r="F923" s="19"/>
      <c r="G923" s="19"/>
      <c r="H923" s="19"/>
      <c r="I923" s="19"/>
      <c r="J923" s="19"/>
      <c r="K923" s="18"/>
      <c r="L923" s="18"/>
      <c r="M923" s="18"/>
      <c r="N923" s="18"/>
      <c r="O923" s="18"/>
      <c r="P923" s="18"/>
      <c r="Q923" s="18"/>
      <c r="R923" s="18"/>
      <c r="S923" s="18"/>
      <c r="T923" s="18"/>
      <c r="U923" s="18"/>
      <c r="V923" s="18"/>
      <c r="W923" s="18"/>
      <c r="X923" s="18"/>
      <c r="Y923" s="18"/>
      <c r="Z923" s="18"/>
      <c r="AA923" s="18"/>
      <c r="AB923" s="18"/>
      <c r="AC923" s="18"/>
      <c r="AD923" s="18"/>
      <c r="AE923" s="18"/>
      <c r="AF923" s="18"/>
      <c r="AG923" s="18"/>
      <c r="AH923" s="18"/>
      <c r="AI923" s="18"/>
      <c r="AJ923" s="18"/>
      <c r="AK923" s="18"/>
      <c r="AL923" s="18"/>
      <c r="AM923" s="18"/>
      <c r="AN923" s="18"/>
      <c r="AO923" s="18"/>
      <c r="AP923" s="18"/>
      <c r="AQ923" s="18"/>
      <c r="AR923" s="18"/>
      <c r="AS923" s="18"/>
      <c r="AT923" s="18"/>
      <c r="AU923" s="18"/>
      <c r="AV923" s="18"/>
      <c r="AW923" s="18"/>
      <c r="AX923" s="18"/>
      <c r="AY923" s="18"/>
      <c r="AZ923" s="18"/>
      <c r="BA923" s="18"/>
      <c r="BB923" s="18"/>
      <c r="BC923" s="18"/>
      <c r="BD923" s="18"/>
      <c r="BE923" s="18"/>
      <c r="BF923" s="18"/>
      <c r="BG923" s="18"/>
      <c r="BH923" s="18"/>
      <c r="BI923" s="18"/>
      <c r="BJ923" s="18"/>
      <c r="BK923" s="18"/>
      <c r="BL923" s="18"/>
      <c r="BM923" s="18"/>
      <c r="BN923" s="18"/>
      <c r="BO923" s="18"/>
      <c r="BP923" s="18"/>
      <c r="BQ923" s="18"/>
      <c r="BR923" s="18"/>
      <c r="BS923" s="18"/>
      <c r="BT923" s="18"/>
      <c r="BU923" s="18"/>
      <c r="BV923" s="18"/>
      <c r="BW923" s="18"/>
      <c r="BX923" s="18"/>
      <c r="BY923" s="18"/>
      <c r="BZ923" s="18"/>
      <c r="CA923" s="18"/>
      <c r="CB923" s="18"/>
      <c r="CC923" s="18"/>
      <c r="CD923" s="18"/>
      <c r="CE923" s="18"/>
      <c r="CF923" s="18"/>
      <c r="CG923" s="18"/>
      <c r="CH923" s="18"/>
      <c r="CI923" s="18"/>
      <c r="CJ923" s="18"/>
      <c r="CK923" s="18"/>
      <c r="CL923" s="18"/>
      <c r="CM923" s="18"/>
      <c r="CN923" s="18"/>
      <c r="CO923" s="18"/>
      <c r="CP923" s="18"/>
      <c r="CQ923" s="18"/>
      <c r="CR923" s="18"/>
      <c r="CS923" s="18"/>
      <c r="CT923" s="18"/>
      <c r="CU923" s="18"/>
    </row>
    <row r="924" spans="1:99">
      <c r="A924" s="19"/>
      <c r="B924" s="19"/>
      <c r="C924" s="19"/>
      <c r="D924" s="19"/>
      <c r="E924" s="19"/>
      <c r="F924" s="19"/>
      <c r="G924" s="19"/>
      <c r="H924" s="19"/>
      <c r="I924" s="19"/>
      <c r="J924" s="19"/>
      <c r="K924" s="18"/>
      <c r="L924" s="18"/>
      <c r="M924" s="18"/>
      <c r="N924" s="18"/>
      <c r="O924" s="18"/>
      <c r="P924" s="18"/>
      <c r="Q924" s="18"/>
      <c r="R924" s="18"/>
      <c r="S924" s="18"/>
      <c r="T924" s="18"/>
      <c r="U924" s="18"/>
      <c r="V924" s="18"/>
      <c r="W924" s="18"/>
      <c r="X924" s="18"/>
      <c r="Y924" s="18"/>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c r="BC924" s="18"/>
      <c r="BD924" s="18"/>
      <c r="BE924" s="18"/>
      <c r="BF924" s="18"/>
      <c r="BG924" s="18"/>
      <c r="BH924" s="18"/>
      <c r="BI924" s="18"/>
      <c r="BJ924" s="18"/>
      <c r="BK924" s="18"/>
      <c r="BL924" s="18"/>
      <c r="BM924" s="18"/>
      <c r="BN924" s="18"/>
      <c r="BO924" s="18"/>
      <c r="BP924" s="18"/>
      <c r="BQ924" s="18"/>
      <c r="BR924" s="18"/>
      <c r="BS924" s="18"/>
      <c r="BT924" s="18"/>
      <c r="BU924" s="18"/>
      <c r="BV924" s="18"/>
      <c r="BW924" s="18"/>
      <c r="BX924" s="18"/>
      <c r="BY924" s="18"/>
      <c r="BZ924" s="18"/>
      <c r="CA924" s="18"/>
      <c r="CB924" s="18"/>
      <c r="CC924" s="18"/>
      <c r="CD924" s="18"/>
      <c r="CE924" s="18"/>
      <c r="CF924" s="18"/>
      <c r="CG924" s="18"/>
      <c r="CH924" s="18"/>
      <c r="CI924" s="18"/>
      <c r="CJ924" s="18"/>
      <c r="CK924" s="18"/>
      <c r="CL924" s="18"/>
      <c r="CM924" s="18"/>
      <c r="CN924" s="18"/>
      <c r="CO924" s="18"/>
      <c r="CP924" s="18"/>
      <c r="CQ924" s="18"/>
      <c r="CR924" s="18"/>
      <c r="CS924" s="18"/>
      <c r="CT924" s="18"/>
      <c r="CU924" s="18"/>
    </row>
    <row r="925" spans="1:99">
      <c r="A925" s="19"/>
      <c r="B925" s="19"/>
      <c r="C925" s="19"/>
      <c r="D925" s="19"/>
      <c r="E925" s="19"/>
      <c r="F925" s="19"/>
      <c r="G925" s="19"/>
      <c r="H925" s="19"/>
      <c r="I925" s="19"/>
      <c r="J925" s="19"/>
      <c r="K925" s="18"/>
      <c r="L925" s="18"/>
      <c r="M925" s="18"/>
      <c r="N925" s="18"/>
      <c r="O925" s="18"/>
      <c r="P925" s="18"/>
      <c r="Q925" s="18"/>
      <c r="R925" s="18"/>
      <c r="S925" s="18"/>
      <c r="T925" s="18"/>
      <c r="U925" s="18"/>
      <c r="V925" s="18"/>
      <c r="W925" s="18"/>
      <c r="X925" s="18"/>
      <c r="Y925" s="18"/>
      <c r="Z925" s="18"/>
      <c r="AA925" s="18"/>
      <c r="AB925" s="18"/>
      <c r="AC925" s="18"/>
      <c r="AD925" s="18"/>
      <c r="AE925" s="18"/>
      <c r="AF925" s="18"/>
      <c r="AG925" s="18"/>
      <c r="AH925" s="18"/>
      <c r="AI925" s="18"/>
      <c r="AJ925" s="18"/>
      <c r="AK925" s="18"/>
      <c r="AL925" s="18"/>
      <c r="AM925" s="18"/>
      <c r="AN925" s="18"/>
      <c r="AO925" s="18"/>
      <c r="AP925" s="18"/>
      <c r="AQ925" s="18"/>
      <c r="AR925" s="18"/>
      <c r="AS925" s="18"/>
      <c r="AT925" s="18"/>
      <c r="AU925" s="18"/>
      <c r="AV925" s="18"/>
      <c r="AW925" s="18"/>
      <c r="AX925" s="18"/>
      <c r="AY925" s="18"/>
      <c r="AZ925" s="18"/>
      <c r="BA925" s="18"/>
      <c r="BB925" s="18"/>
      <c r="BC925" s="18"/>
      <c r="BD925" s="18"/>
      <c r="BE925" s="18"/>
      <c r="BF925" s="18"/>
      <c r="BG925" s="18"/>
      <c r="BH925" s="18"/>
      <c r="BI925" s="18"/>
      <c r="BJ925" s="18"/>
      <c r="BK925" s="18"/>
      <c r="BL925" s="18"/>
      <c r="BM925" s="18"/>
      <c r="BN925" s="18"/>
      <c r="BO925" s="18"/>
      <c r="BP925" s="18"/>
      <c r="BQ925" s="18"/>
      <c r="BR925" s="18"/>
      <c r="BS925" s="18"/>
      <c r="BT925" s="18"/>
      <c r="BU925" s="18"/>
      <c r="BV925" s="18"/>
      <c r="BW925" s="18"/>
      <c r="BX925" s="18"/>
      <c r="BY925" s="18"/>
      <c r="BZ925" s="18"/>
      <c r="CA925" s="18"/>
      <c r="CB925" s="18"/>
      <c r="CC925" s="18"/>
      <c r="CD925" s="18"/>
      <c r="CE925" s="18"/>
      <c r="CF925" s="18"/>
      <c r="CG925" s="18"/>
      <c r="CH925" s="18"/>
      <c r="CI925" s="18"/>
      <c r="CJ925" s="18"/>
      <c r="CK925" s="18"/>
      <c r="CL925" s="18"/>
      <c r="CM925" s="18"/>
      <c r="CN925" s="18"/>
      <c r="CO925" s="18"/>
      <c r="CP925" s="18"/>
      <c r="CQ925" s="18"/>
      <c r="CR925" s="18"/>
      <c r="CS925" s="18"/>
      <c r="CT925" s="18"/>
      <c r="CU925" s="18"/>
    </row>
    <row r="926" spans="1:99">
      <c r="A926" s="19"/>
      <c r="B926" s="19"/>
      <c r="C926" s="19"/>
      <c r="D926" s="19"/>
      <c r="E926" s="19"/>
      <c r="F926" s="19"/>
      <c r="G926" s="19"/>
      <c r="H926" s="19"/>
      <c r="I926" s="19"/>
      <c r="J926" s="19"/>
      <c r="K926" s="18"/>
      <c r="L926" s="18"/>
      <c r="M926" s="18"/>
      <c r="N926" s="18"/>
      <c r="O926" s="18"/>
      <c r="P926" s="18"/>
      <c r="Q926" s="18"/>
      <c r="R926" s="18"/>
      <c r="S926" s="18"/>
      <c r="T926" s="18"/>
      <c r="U926" s="18"/>
      <c r="V926" s="18"/>
      <c r="W926" s="18"/>
      <c r="X926" s="18"/>
      <c r="Y926" s="18"/>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c r="BC926" s="18"/>
      <c r="BD926" s="18"/>
      <c r="BE926" s="18"/>
      <c r="BF926" s="18"/>
      <c r="BG926" s="18"/>
      <c r="BH926" s="18"/>
      <c r="BI926" s="18"/>
      <c r="BJ926" s="18"/>
      <c r="BK926" s="18"/>
      <c r="BL926" s="18"/>
      <c r="BM926" s="18"/>
      <c r="BN926" s="18"/>
      <c r="BO926" s="18"/>
      <c r="BP926" s="18"/>
      <c r="BQ926" s="18"/>
      <c r="BR926" s="18"/>
      <c r="BS926" s="18"/>
      <c r="BT926" s="18"/>
      <c r="BU926" s="18"/>
      <c r="BV926" s="18"/>
      <c r="BW926" s="18"/>
      <c r="BX926" s="18"/>
      <c r="BY926" s="18"/>
      <c r="BZ926" s="18"/>
      <c r="CA926" s="18"/>
      <c r="CB926" s="18"/>
      <c r="CC926" s="18"/>
      <c r="CD926" s="18"/>
      <c r="CE926" s="18"/>
      <c r="CF926" s="18"/>
      <c r="CG926" s="18"/>
      <c r="CH926" s="18"/>
      <c r="CI926" s="18"/>
      <c r="CJ926" s="18"/>
      <c r="CK926" s="18"/>
      <c r="CL926" s="18"/>
      <c r="CM926" s="18"/>
      <c r="CN926" s="18"/>
      <c r="CO926" s="18"/>
      <c r="CP926" s="18"/>
      <c r="CQ926" s="18"/>
      <c r="CR926" s="18"/>
      <c r="CS926" s="18"/>
      <c r="CT926" s="18"/>
      <c r="CU926" s="18"/>
    </row>
    <row r="927" spans="1:99">
      <c r="A927" s="19"/>
      <c r="B927" s="19"/>
      <c r="C927" s="19"/>
      <c r="D927" s="19"/>
      <c r="E927" s="19"/>
      <c r="F927" s="19"/>
      <c r="G927" s="19"/>
      <c r="H927" s="19"/>
      <c r="I927" s="19"/>
      <c r="J927" s="19"/>
      <c r="K927" s="18"/>
      <c r="L927" s="18"/>
      <c r="M927" s="18"/>
      <c r="N927" s="18"/>
      <c r="O927" s="18"/>
      <c r="P927" s="18"/>
      <c r="Q927" s="18"/>
      <c r="R927" s="18"/>
      <c r="S927" s="18"/>
      <c r="T927" s="18"/>
      <c r="U927" s="18"/>
      <c r="V927" s="18"/>
      <c r="W927" s="18"/>
      <c r="X927" s="18"/>
      <c r="Y927" s="18"/>
      <c r="Z927" s="18"/>
      <c r="AA927" s="18"/>
      <c r="AB927" s="18"/>
      <c r="AC927" s="18"/>
      <c r="AD927" s="18"/>
      <c r="AE927" s="18"/>
      <c r="AF927" s="18"/>
      <c r="AG927" s="18"/>
      <c r="AH927" s="18"/>
      <c r="AI927" s="18"/>
      <c r="AJ927" s="18"/>
      <c r="AK927" s="18"/>
      <c r="AL927" s="18"/>
      <c r="AM927" s="18"/>
      <c r="AN927" s="18"/>
      <c r="AO927" s="18"/>
      <c r="AP927" s="18"/>
      <c r="AQ927" s="18"/>
      <c r="AR927" s="18"/>
      <c r="AS927" s="18"/>
      <c r="AT927" s="18"/>
      <c r="AU927" s="18"/>
      <c r="AV927" s="18"/>
      <c r="AW927" s="18"/>
      <c r="AX927" s="18"/>
      <c r="AY927" s="18"/>
      <c r="AZ927" s="18"/>
      <c r="BA927" s="18"/>
      <c r="BB927" s="18"/>
      <c r="BC927" s="18"/>
      <c r="BD927" s="18"/>
      <c r="BE927" s="18"/>
      <c r="BF927" s="18"/>
      <c r="BG927" s="18"/>
      <c r="BH927" s="18"/>
      <c r="BI927" s="18"/>
      <c r="BJ927" s="18"/>
      <c r="BK927" s="18"/>
      <c r="BL927" s="18"/>
      <c r="BM927" s="18"/>
      <c r="BN927" s="18"/>
      <c r="BO927" s="18"/>
      <c r="BP927" s="18"/>
      <c r="BQ927" s="18"/>
      <c r="BR927" s="18"/>
      <c r="BS927" s="18"/>
      <c r="BT927" s="18"/>
      <c r="BU927" s="18"/>
      <c r="BV927" s="18"/>
      <c r="BW927" s="18"/>
      <c r="BX927" s="18"/>
      <c r="BY927" s="18"/>
      <c r="BZ927" s="18"/>
      <c r="CA927" s="18"/>
      <c r="CB927" s="18"/>
      <c r="CC927" s="18"/>
      <c r="CD927" s="18"/>
      <c r="CE927" s="18"/>
      <c r="CF927" s="18"/>
      <c r="CG927" s="18"/>
      <c r="CH927" s="18"/>
      <c r="CI927" s="18"/>
      <c r="CJ927" s="18"/>
      <c r="CK927" s="18"/>
      <c r="CL927" s="18"/>
      <c r="CM927" s="18"/>
      <c r="CN927" s="18"/>
      <c r="CO927" s="18"/>
      <c r="CP927" s="18"/>
      <c r="CQ927" s="18"/>
      <c r="CR927" s="18"/>
      <c r="CS927" s="18"/>
      <c r="CT927" s="18"/>
      <c r="CU927" s="18"/>
    </row>
    <row r="928" spans="1:99">
      <c r="A928" s="19"/>
      <c r="B928" s="19"/>
      <c r="C928" s="19"/>
      <c r="D928" s="19"/>
      <c r="E928" s="19"/>
      <c r="F928" s="19"/>
      <c r="G928" s="19"/>
      <c r="H928" s="19"/>
      <c r="I928" s="19"/>
      <c r="J928" s="19"/>
      <c r="K928" s="18"/>
      <c r="L928" s="18"/>
      <c r="M928" s="18"/>
      <c r="N928" s="18"/>
      <c r="O928" s="18"/>
      <c r="P928" s="18"/>
      <c r="Q928" s="18"/>
      <c r="R928" s="18"/>
      <c r="S928" s="18"/>
      <c r="T928" s="18"/>
      <c r="U928" s="18"/>
      <c r="V928" s="18"/>
      <c r="W928" s="18"/>
      <c r="X928" s="18"/>
      <c r="Y928" s="18"/>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c r="BC928" s="18"/>
      <c r="BD928" s="18"/>
      <c r="BE928" s="18"/>
      <c r="BF928" s="18"/>
      <c r="BG928" s="18"/>
      <c r="BH928" s="18"/>
      <c r="BI928" s="18"/>
      <c r="BJ928" s="18"/>
      <c r="BK928" s="18"/>
      <c r="BL928" s="18"/>
      <c r="BM928" s="18"/>
      <c r="BN928" s="18"/>
      <c r="BO928" s="18"/>
      <c r="BP928" s="18"/>
      <c r="BQ928" s="18"/>
      <c r="BR928" s="18"/>
      <c r="BS928" s="18"/>
      <c r="BT928" s="18"/>
      <c r="BU928" s="18"/>
      <c r="BV928" s="18"/>
      <c r="BW928" s="18"/>
      <c r="BX928" s="18"/>
      <c r="BY928" s="18"/>
      <c r="BZ928" s="18"/>
      <c r="CA928" s="18"/>
      <c r="CB928" s="18"/>
      <c r="CC928" s="18"/>
      <c r="CD928" s="18"/>
      <c r="CE928" s="18"/>
      <c r="CF928" s="18"/>
      <c r="CG928" s="18"/>
      <c r="CH928" s="18"/>
      <c r="CI928" s="18"/>
      <c r="CJ928" s="18"/>
      <c r="CK928" s="18"/>
      <c r="CL928" s="18"/>
      <c r="CM928" s="18"/>
      <c r="CN928" s="18"/>
      <c r="CO928" s="18"/>
      <c r="CP928" s="18"/>
      <c r="CQ928" s="18"/>
      <c r="CR928" s="18"/>
      <c r="CS928" s="18"/>
      <c r="CT928" s="18"/>
      <c r="CU928" s="18"/>
    </row>
    <row r="929" spans="1:99">
      <c r="A929" s="19"/>
      <c r="B929" s="19"/>
      <c r="C929" s="19"/>
      <c r="D929" s="19"/>
      <c r="E929" s="19"/>
      <c r="F929" s="19"/>
      <c r="G929" s="19"/>
      <c r="H929" s="19"/>
      <c r="I929" s="19"/>
      <c r="J929" s="19"/>
      <c r="K929" s="18"/>
      <c r="L929" s="18"/>
      <c r="M929" s="18"/>
      <c r="N929" s="18"/>
      <c r="O929" s="18"/>
      <c r="P929" s="18"/>
      <c r="Q929" s="18"/>
      <c r="R929" s="18"/>
      <c r="S929" s="18"/>
      <c r="T929" s="18"/>
      <c r="U929" s="18"/>
      <c r="V929" s="18"/>
      <c r="W929" s="18"/>
      <c r="X929" s="18"/>
      <c r="Y929" s="18"/>
      <c r="Z929" s="18"/>
      <c r="AA929" s="18"/>
      <c r="AB929" s="18"/>
      <c r="AC929" s="18"/>
      <c r="AD929" s="18"/>
      <c r="AE929" s="18"/>
      <c r="AF929" s="18"/>
      <c r="AG929" s="18"/>
      <c r="AH929" s="18"/>
      <c r="AI929" s="18"/>
      <c r="AJ929" s="18"/>
      <c r="AK929" s="18"/>
      <c r="AL929" s="18"/>
      <c r="AM929" s="18"/>
      <c r="AN929" s="18"/>
      <c r="AO929" s="18"/>
      <c r="AP929" s="18"/>
      <c r="AQ929" s="18"/>
      <c r="AR929" s="18"/>
      <c r="AS929" s="18"/>
      <c r="AT929" s="18"/>
      <c r="AU929" s="18"/>
      <c r="AV929" s="18"/>
      <c r="AW929" s="18"/>
      <c r="AX929" s="18"/>
      <c r="AY929" s="18"/>
      <c r="AZ929" s="18"/>
      <c r="BA929" s="18"/>
      <c r="BB929" s="18"/>
      <c r="BC929" s="18"/>
      <c r="BD929" s="18"/>
      <c r="BE929" s="18"/>
      <c r="BF929" s="18"/>
      <c r="BG929" s="18"/>
      <c r="BH929" s="18"/>
      <c r="BI929" s="18"/>
      <c r="BJ929" s="18"/>
      <c r="BK929" s="18"/>
      <c r="BL929" s="18"/>
      <c r="BM929" s="18"/>
      <c r="BN929" s="18"/>
      <c r="BO929" s="18"/>
      <c r="BP929" s="18"/>
      <c r="BQ929" s="18"/>
      <c r="BR929" s="18"/>
      <c r="BS929" s="18"/>
      <c r="BT929" s="18"/>
      <c r="BU929" s="18"/>
      <c r="BV929" s="18"/>
      <c r="BW929" s="18"/>
      <c r="BX929" s="18"/>
      <c r="BY929" s="18"/>
      <c r="BZ929" s="18"/>
      <c r="CA929" s="18"/>
      <c r="CB929" s="18"/>
      <c r="CC929" s="18"/>
      <c r="CD929" s="18"/>
      <c r="CE929" s="18"/>
      <c r="CF929" s="18"/>
      <c r="CG929" s="18"/>
      <c r="CH929" s="18"/>
      <c r="CI929" s="18"/>
      <c r="CJ929" s="18"/>
      <c r="CK929" s="18"/>
      <c r="CL929" s="18"/>
      <c r="CM929" s="18"/>
      <c r="CN929" s="18"/>
      <c r="CO929" s="18"/>
      <c r="CP929" s="18"/>
      <c r="CQ929" s="18"/>
      <c r="CR929" s="18"/>
      <c r="CS929" s="18"/>
      <c r="CT929" s="18"/>
      <c r="CU929" s="18"/>
    </row>
    <row r="930" spans="1:99">
      <c r="A930" s="19"/>
      <c r="B930" s="19"/>
      <c r="C930" s="19"/>
      <c r="D930" s="19"/>
      <c r="E930" s="19"/>
      <c r="F930" s="19"/>
      <c r="G930" s="19"/>
      <c r="H930" s="19"/>
      <c r="I930" s="19"/>
      <c r="J930" s="19"/>
      <c r="K930" s="18"/>
      <c r="L930" s="18"/>
      <c r="M930" s="18"/>
      <c r="N930" s="18"/>
      <c r="O930" s="18"/>
      <c r="P930" s="18"/>
      <c r="Q930" s="18"/>
      <c r="R930" s="18"/>
      <c r="S930" s="18"/>
      <c r="T930" s="18"/>
      <c r="U930" s="18"/>
      <c r="V930" s="18"/>
      <c r="W930" s="18"/>
      <c r="X930" s="18"/>
      <c r="Y930" s="18"/>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c r="BC930" s="18"/>
      <c r="BD930" s="18"/>
      <c r="BE930" s="18"/>
      <c r="BF930" s="18"/>
      <c r="BG930" s="18"/>
      <c r="BH930" s="18"/>
      <c r="BI930" s="18"/>
      <c r="BJ930" s="18"/>
      <c r="BK930" s="18"/>
      <c r="BL930" s="18"/>
      <c r="BM930" s="18"/>
      <c r="BN930" s="18"/>
      <c r="BO930" s="18"/>
      <c r="BP930" s="18"/>
      <c r="BQ930" s="18"/>
      <c r="BR930" s="18"/>
      <c r="BS930" s="18"/>
      <c r="BT930" s="18"/>
      <c r="BU930" s="18"/>
      <c r="BV930" s="18"/>
      <c r="BW930" s="18"/>
      <c r="BX930" s="18"/>
      <c r="BY930" s="18"/>
      <c r="BZ930" s="18"/>
      <c r="CA930" s="18"/>
      <c r="CB930" s="18"/>
      <c r="CC930" s="18"/>
      <c r="CD930" s="18"/>
      <c r="CE930" s="18"/>
      <c r="CF930" s="18"/>
      <c r="CG930" s="18"/>
      <c r="CH930" s="18"/>
      <c r="CI930" s="18"/>
      <c r="CJ930" s="18"/>
      <c r="CK930" s="18"/>
      <c r="CL930" s="18"/>
      <c r="CM930" s="18"/>
      <c r="CN930" s="18"/>
      <c r="CO930" s="18"/>
      <c r="CP930" s="18"/>
      <c r="CQ930" s="18"/>
      <c r="CR930" s="18"/>
      <c r="CS930" s="18"/>
      <c r="CT930" s="18"/>
      <c r="CU930" s="18"/>
    </row>
    <row r="931" spans="1:99">
      <c r="A931" s="19"/>
      <c r="B931" s="19"/>
      <c r="C931" s="19"/>
      <c r="D931" s="19"/>
      <c r="E931" s="19"/>
      <c r="F931" s="19"/>
      <c r="G931" s="19"/>
      <c r="H931" s="19"/>
      <c r="I931" s="19"/>
      <c r="J931" s="19"/>
      <c r="K931" s="18"/>
      <c r="L931" s="18"/>
      <c r="M931" s="18"/>
      <c r="N931" s="18"/>
      <c r="O931" s="18"/>
      <c r="P931" s="18"/>
      <c r="Q931" s="18"/>
      <c r="R931" s="18"/>
      <c r="S931" s="18"/>
      <c r="T931" s="18"/>
      <c r="U931" s="18"/>
      <c r="V931" s="18"/>
      <c r="W931" s="18"/>
      <c r="X931" s="18"/>
      <c r="Y931" s="18"/>
      <c r="Z931" s="18"/>
      <c r="AA931" s="18"/>
      <c r="AB931" s="18"/>
      <c r="AC931" s="18"/>
      <c r="AD931" s="18"/>
      <c r="AE931" s="18"/>
      <c r="AF931" s="18"/>
      <c r="AG931" s="18"/>
      <c r="AH931" s="18"/>
      <c r="AI931" s="18"/>
      <c r="AJ931" s="18"/>
      <c r="AK931" s="18"/>
      <c r="AL931" s="18"/>
      <c r="AM931" s="18"/>
      <c r="AN931" s="18"/>
      <c r="AO931" s="18"/>
      <c r="AP931" s="18"/>
      <c r="AQ931" s="18"/>
      <c r="AR931" s="18"/>
      <c r="AS931" s="18"/>
      <c r="AT931" s="18"/>
      <c r="AU931" s="18"/>
      <c r="AV931" s="18"/>
      <c r="AW931" s="18"/>
      <c r="AX931" s="18"/>
      <c r="AY931" s="18"/>
      <c r="AZ931" s="18"/>
      <c r="BA931" s="18"/>
      <c r="BB931" s="18"/>
      <c r="BC931" s="18"/>
      <c r="BD931" s="18"/>
      <c r="BE931" s="18"/>
      <c r="BF931" s="18"/>
      <c r="BG931" s="18"/>
      <c r="BH931" s="18"/>
      <c r="BI931" s="18"/>
      <c r="BJ931" s="18"/>
      <c r="BK931" s="18"/>
      <c r="BL931" s="18"/>
      <c r="BM931" s="18"/>
      <c r="BN931" s="18"/>
      <c r="BO931" s="18"/>
      <c r="BP931" s="18"/>
      <c r="BQ931" s="18"/>
      <c r="BR931" s="18"/>
      <c r="BS931" s="18"/>
      <c r="BT931" s="18"/>
      <c r="BU931" s="18"/>
      <c r="BV931" s="18"/>
      <c r="BW931" s="18"/>
      <c r="BX931" s="18"/>
      <c r="BY931" s="18"/>
      <c r="BZ931" s="18"/>
      <c r="CA931" s="18"/>
      <c r="CB931" s="18"/>
      <c r="CC931" s="18"/>
      <c r="CD931" s="18"/>
      <c r="CE931" s="18"/>
      <c r="CF931" s="18"/>
      <c r="CG931" s="18"/>
      <c r="CH931" s="18"/>
      <c r="CI931" s="18"/>
      <c r="CJ931" s="18"/>
      <c r="CK931" s="18"/>
      <c r="CL931" s="18"/>
      <c r="CM931" s="18"/>
      <c r="CN931" s="18"/>
      <c r="CO931" s="18"/>
      <c r="CP931" s="18"/>
      <c r="CQ931" s="18"/>
      <c r="CR931" s="18"/>
      <c r="CS931" s="18"/>
      <c r="CT931" s="18"/>
      <c r="CU931" s="18"/>
    </row>
    <row r="932" spans="1:99">
      <c r="A932" s="19"/>
      <c r="B932" s="19"/>
      <c r="C932" s="19"/>
      <c r="D932" s="19"/>
      <c r="E932" s="19"/>
      <c r="F932" s="19"/>
      <c r="G932" s="19"/>
      <c r="H932" s="19"/>
      <c r="I932" s="19"/>
      <c r="J932" s="19"/>
      <c r="K932" s="18"/>
      <c r="L932" s="18"/>
      <c r="M932" s="18"/>
      <c r="N932" s="18"/>
      <c r="O932" s="18"/>
      <c r="P932" s="18"/>
      <c r="Q932" s="18"/>
      <c r="R932" s="18"/>
      <c r="S932" s="18"/>
      <c r="T932" s="18"/>
      <c r="U932" s="18"/>
      <c r="V932" s="18"/>
      <c r="W932" s="18"/>
      <c r="X932" s="18"/>
      <c r="Y932" s="18"/>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c r="BC932" s="18"/>
      <c r="BD932" s="18"/>
      <c r="BE932" s="18"/>
      <c r="BF932" s="18"/>
      <c r="BG932" s="18"/>
      <c r="BH932" s="18"/>
      <c r="BI932" s="18"/>
      <c r="BJ932" s="18"/>
      <c r="BK932" s="18"/>
      <c r="BL932" s="18"/>
      <c r="BM932" s="18"/>
      <c r="BN932" s="18"/>
      <c r="BO932" s="18"/>
      <c r="BP932" s="18"/>
      <c r="BQ932" s="18"/>
      <c r="BR932" s="18"/>
      <c r="BS932" s="18"/>
      <c r="BT932" s="18"/>
      <c r="BU932" s="18"/>
      <c r="BV932" s="18"/>
      <c r="BW932" s="18"/>
      <c r="BX932" s="18"/>
      <c r="BY932" s="18"/>
      <c r="BZ932" s="18"/>
      <c r="CA932" s="18"/>
      <c r="CB932" s="18"/>
      <c r="CC932" s="18"/>
      <c r="CD932" s="18"/>
      <c r="CE932" s="18"/>
      <c r="CF932" s="18"/>
      <c r="CG932" s="18"/>
      <c r="CH932" s="18"/>
      <c r="CI932" s="18"/>
      <c r="CJ932" s="18"/>
      <c r="CK932" s="18"/>
      <c r="CL932" s="18"/>
      <c r="CM932" s="18"/>
      <c r="CN932" s="18"/>
      <c r="CO932" s="18"/>
      <c r="CP932" s="18"/>
      <c r="CQ932" s="18"/>
      <c r="CR932" s="18"/>
      <c r="CS932" s="18"/>
      <c r="CT932" s="18"/>
      <c r="CU932" s="18"/>
    </row>
    <row r="933" spans="1:99">
      <c r="A933" s="19"/>
      <c r="B933" s="19"/>
      <c r="C933" s="19"/>
      <c r="D933" s="19"/>
      <c r="E933" s="19"/>
      <c r="F933" s="19"/>
      <c r="G933" s="19"/>
      <c r="H933" s="19"/>
      <c r="I933" s="19"/>
      <c r="J933" s="19"/>
      <c r="K933" s="18"/>
      <c r="L933" s="18"/>
      <c r="M933" s="18"/>
      <c r="N933" s="18"/>
      <c r="O933" s="18"/>
      <c r="P933" s="18"/>
      <c r="Q933" s="18"/>
      <c r="R933" s="18"/>
      <c r="S933" s="18"/>
      <c r="T933" s="18"/>
      <c r="U933" s="18"/>
      <c r="V933" s="18"/>
      <c r="W933" s="18"/>
      <c r="X933" s="18"/>
      <c r="Y933" s="18"/>
      <c r="Z933" s="18"/>
      <c r="AA933" s="18"/>
      <c r="AB933" s="18"/>
      <c r="AC933" s="18"/>
      <c r="AD933" s="18"/>
      <c r="AE933" s="18"/>
      <c r="AF933" s="18"/>
      <c r="AG933" s="18"/>
      <c r="AH933" s="18"/>
      <c r="AI933" s="18"/>
      <c r="AJ933" s="18"/>
      <c r="AK933" s="18"/>
      <c r="AL933" s="18"/>
      <c r="AM933" s="18"/>
      <c r="AN933" s="18"/>
      <c r="AO933" s="18"/>
      <c r="AP933" s="18"/>
      <c r="AQ933" s="18"/>
      <c r="AR933" s="18"/>
      <c r="AS933" s="18"/>
      <c r="AT933" s="18"/>
      <c r="AU933" s="18"/>
      <c r="AV933" s="18"/>
      <c r="AW933" s="18"/>
      <c r="AX933" s="18"/>
      <c r="AY933" s="18"/>
      <c r="AZ933" s="18"/>
      <c r="BA933" s="18"/>
      <c r="BB933" s="18"/>
      <c r="BC933" s="18"/>
      <c r="BD933" s="18"/>
      <c r="BE933" s="18"/>
      <c r="BF933" s="18"/>
      <c r="BG933" s="18"/>
      <c r="BH933" s="18"/>
      <c r="BI933" s="18"/>
      <c r="BJ933" s="18"/>
      <c r="BK933" s="18"/>
      <c r="BL933" s="18"/>
      <c r="BM933" s="18"/>
      <c r="BN933" s="18"/>
      <c r="BO933" s="18"/>
      <c r="BP933" s="18"/>
      <c r="BQ933" s="18"/>
      <c r="BR933" s="18"/>
      <c r="BS933" s="18"/>
      <c r="BT933" s="18"/>
      <c r="BU933" s="18"/>
      <c r="BV933" s="18"/>
      <c r="BW933" s="18"/>
      <c r="BX933" s="18"/>
      <c r="BY933" s="18"/>
      <c r="BZ933" s="18"/>
      <c r="CA933" s="18"/>
      <c r="CB933" s="18"/>
      <c r="CC933" s="18"/>
      <c r="CD933" s="18"/>
      <c r="CE933" s="18"/>
      <c r="CF933" s="18"/>
      <c r="CG933" s="18"/>
      <c r="CH933" s="18"/>
      <c r="CI933" s="18"/>
      <c r="CJ933" s="18"/>
      <c r="CK933" s="18"/>
      <c r="CL933" s="18"/>
      <c r="CM933" s="18"/>
      <c r="CN933" s="18"/>
      <c r="CO933" s="18"/>
      <c r="CP933" s="18"/>
      <c r="CQ933" s="18"/>
      <c r="CR933" s="18"/>
      <c r="CS933" s="18"/>
      <c r="CT933" s="18"/>
      <c r="CU933" s="18"/>
    </row>
    <row r="934" spans="1:99">
      <c r="A934" s="19"/>
      <c r="B934" s="19"/>
      <c r="C934" s="19"/>
      <c r="D934" s="19"/>
      <c r="E934" s="19"/>
      <c r="F934" s="19"/>
      <c r="G934" s="19"/>
      <c r="H934" s="19"/>
      <c r="I934" s="19"/>
      <c r="J934" s="19"/>
      <c r="K934" s="18"/>
      <c r="L934" s="18"/>
      <c r="M934" s="18"/>
      <c r="N934" s="18"/>
      <c r="O934" s="18"/>
      <c r="P934" s="18"/>
      <c r="Q934" s="18"/>
      <c r="R934" s="18"/>
      <c r="S934" s="18"/>
      <c r="T934" s="18"/>
      <c r="U934" s="18"/>
      <c r="V934" s="18"/>
      <c r="W934" s="18"/>
      <c r="X934" s="18"/>
      <c r="Y934" s="18"/>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c r="BC934" s="18"/>
      <c r="BD934" s="18"/>
      <c r="BE934" s="18"/>
      <c r="BF934" s="18"/>
      <c r="BG934" s="18"/>
      <c r="BH934" s="18"/>
      <c r="BI934" s="18"/>
      <c r="BJ934" s="18"/>
      <c r="BK934" s="18"/>
      <c r="BL934" s="18"/>
      <c r="BM934" s="18"/>
      <c r="BN934" s="18"/>
      <c r="BO934" s="18"/>
      <c r="BP934" s="18"/>
      <c r="BQ934" s="18"/>
      <c r="BR934" s="18"/>
      <c r="BS934" s="18"/>
      <c r="BT934" s="18"/>
      <c r="BU934" s="18"/>
      <c r="BV934" s="18"/>
      <c r="BW934" s="18"/>
      <c r="BX934" s="18"/>
      <c r="BY934" s="18"/>
      <c r="BZ934" s="18"/>
      <c r="CA934" s="18"/>
      <c r="CB934" s="18"/>
      <c r="CC934" s="18"/>
      <c r="CD934" s="18"/>
      <c r="CE934" s="18"/>
      <c r="CF934" s="18"/>
      <c r="CG934" s="18"/>
      <c r="CH934" s="18"/>
      <c r="CI934" s="18"/>
      <c r="CJ934" s="18"/>
      <c r="CK934" s="18"/>
      <c r="CL934" s="18"/>
      <c r="CM934" s="18"/>
      <c r="CN934" s="18"/>
      <c r="CO934" s="18"/>
      <c r="CP934" s="18"/>
      <c r="CQ934" s="18"/>
      <c r="CR934" s="18"/>
      <c r="CS934" s="18"/>
      <c r="CT934" s="18"/>
      <c r="CU934" s="18"/>
    </row>
    <row r="935" spans="1:99">
      <c r="A935" s="19"/>
      <c r="B935" s="19"/>
      <c r="C935" s="19"/>
      <c r="D935" s="19"/>
      <c r="E935" s="19"/>
      <c r="F935" s="19"/>
      <c r="G935" s="19"/>
      <c r="H935" s="19"/>
      <c r="I935" s="19"/>
      <c r="J935" s="19"/>
      <c r="K935" s="18"/>
      <c r="L935" s="18"/>
      <c r="M935" s="18"/>
      <c r="N935" s="18"/>
      <c r="O935" s="18"/>
      <c r="P935" s="18"/>
      <c r="Q935" s="18"/>
      <c r="R935" s="18"/>
      <c r="S935" s="18"/>
      <c r="T935" s="18"/>
      <c r="U935" s="18"/>
      <c r="V935" s="18"/>
      <c r="W935" s="18"/>
      <c r="X935" s="18"/>
      <c r="Y935" s="18"/>
      <c r="Z935" s="18"/>
      <c r="AA935" s="18"/>
      <c r="AB935" s="18"/>
      <c r="AC935" s="18"/>
      <c r="AD935" s="18"/>
      <c r="AE935" s="18"/>
      <c r="AF935" s="18"/>
      <c r="AG935" s="18"/>
      <c r="AH935" s="18"/>
      <c r="AI935" s="18"/>
      <c r="AJ935" s="18"/>
      <c r="AK935" s="18"/>
      <c r="AL935" s="18"/>
      <c r="AM935" s="18"/>
      <c r="AN935" s="18"/>
      <c r="AO935" s="18"/>
      <c r="AP935" s="18"/>
      <c r="AQ935" s="18"/>
      <c r="AR935" s="18"/>
      <c r="AS935" s="18"/>
      <c r="AT935" s="18"/>
      <c r="AU935" s="18"/>
      <c r="AV935" s="18"/>
      <c r="AW935" s="18"/>
      <c r="AX935" s="18"/>
      <c r="AY935" s="18"/>
      <c r="AZ935" s="18"/>
      <c r="BA935" s="18"/>
      <c r="BB935" s="18"/>
      <c r="BC935" s="18"/>
      <c r="BD935" s="18"/>
      <c r="BE935" s="18"/>
      <c r="BF935" s="18"/>
      <c r="BG935" s="18"/>
      <c r="BH935" s="18"/>
      <c r="BI935" s="18"/>
      <c r="BJ935" s="18"/>
      <c r="BK935" s="18"/>
      <c r="BL935" s="18"/>
      <c r="BM935" s="18"/>
      <c r="BN935" s="18"/>
      <c r="BO935" s="18"/>
      <c r="BP935" s="18"/>
      <c r="BQ935" s="18"/>
      <c r="BR935" s="18"/>
      <c r="BS935" s="18"/>
      <c r="BT935" s="18"/>
      <c r="BU935" s="18"/>
      <c r="BV935" s="18"/>
      <c r="BW935" s="18"/>
      <c r="BX935" s="18"/>
      <c r="BY935" s="18"/>
      <c r="BZ935" s="18"/>
      <c r="CA935" s="18"/>
      <c r="CB935" s="18"/>
      <c r="CC935" s="18"/>
      <c r="CD935" s="18"/>
      <c r="CE935" s="18"/>
      <c r="CF935" s="18"/>
      <c r="CG935" s="18"/>
      <c r="CH935" s="18"/>
      <c r="CI935" s="18"/>
      <c r="CJ935" s="18"/>
      <c r="CK935" s="18"/>
      <c r="CL935" s="18"/>
      <c r="CM935" s="18"/>
      <c r="CN935" s="18"/>
      <c r="CO935" s="18"/>
      <c r="CP935" s="18"/>
      <c r="CQ935" s="18"/>
      <c r="CR935" s="18"/>
      <c r="CS935" s="18"/>
      <c r="CT935" s="18"/>
      <c r="CU935" s="18"/>
    </row>
    <row r="936" spans="1:99">
      <c r="A936" s="19"/>
      <c r="B936" s="19"/>
      <c r="C936" s="19"/>
      <c r="D936" s="19"/>
      <c r="E936" s="19"/>
      <c r="F936" s="19"/>
      <c r="G936" s="19"/>
      <c r="H936" s="19"/>
      <c r="I936" s="19"/>
      <c r="J936" s="19"/>
      <c r="K936" s="18"/>
      <c r="L936" s="18"/>
      <c r="M936" s="18"/>
      <c r="N936" s="18"/>
      <c r="O936" s="18"/>
      <c r="P936" s="18"/>
      <c r="Q936" s="18"/>
      <c r="R936" s="18"/>
      <c r="S936" s="18"/>
      <c r="T936" s="18"/>
      <c r="U936" s="18"/>
      <c r="V936" s="18"/>
      <c r="W936" s="18"/>
      <c r="X936" s="18"/>
      <c r="Y936" s="18"/>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c r="BC936" s="18"/>
      <c r="BD936" s="18"/>
      <c r="BE936" s="18"/>
      <c r="BF936" s="18"/>
      <c r="BG936" s="18"/>
      <c r="BH936" s="18"/>
      <c r="BI936" s="18"/>
      <c r="BJ936" s="18"/>
      <c r="BK936" s="18"/>
      <c r="BL936" s="18"/>
      <c r="BM936" s="18"/>
      <c r="BN936" s="18"/>
      <c r="BO936" s="18"/>
      <c r="BP936" s="18"/>
      <c r="BQ936" s="18"/>
      <c r="BR936" s="18"/>
      <c r="BS936" s="18"/>
      <c r="BT936" s="18"/>
      <c r="BU936" s="18"/>
      <c r="BV936" s="18"/>
      <c r="BW936" s="18"/>
      <c r="BX936" s="18"/>
      <c r="BY936" s="18"/>
      <c r="BZ936" s="18"/>
      <c r="CA936" s="18"/>
      <c r="CB936" s="18"/>
      <c r="CC936" s="18"/>
      <c r="CD936" s="18"/>
      <c r="CE936" s="18"/>
      <c r="CF936" s="18"/>
      <c r="CG936" s="18"/>
      <c r="CH936" s="18"/>
      <c r="CI936" s="18"/>
      <c r="CJ936" s="18"/>
      <c r="CK936" s="18"/>
      <c r="CL936" s="18"/>
      <c r="CM936" s="18"/>
      <c r="CN936" s="18"/>
      <c r="CO936" s="18"/>
      <c r="CP936" s="18"/>
      <c r="CQ936" s="18"/>
      <c r="CR936" s="18"/>
      <c r="CS936" s="18"/>
      <c r="CT936" s="18"/>
      <c r="CU936" s="18"/>
    </row>
    <row r="937" spans="1:99">
      <c r="A937" s="19"/>
      <c r="B937" s="19"/>
      <c r="C937" s="19"/>
      <c r="D937" s="19"/>
      <c r="E937" s="19"/>
      <c r="F937" s="19"/>
      <c r="G937" s="19"/>
      <c r="H937" s="19"/>
      <c r="I937" s="19"/>
      <c r="J937" s="19"/>
      <c r="K937" s="18"/>
      <c r="L937" s="18"/>
      <c r="M937" s="18"/>
      <c r="N937" s="18"/>
      <c r="O937" s="18"/>
      <c r="P937" s="18"/>
      <c r="Q937" s="18"/>
      <c r="R937" s="18"/>
      <c r="S937" s="18"/>
      <c r="T937" s="18"/>
      <c r="U937" s="18"/>
      <c r="V937" s="18"/>
      <c r="W937" s="18"/>
      <c r="X937" s="18"/>
      <c r="Y937" s="18"/>
      <c r="Z937" s="18"/>
      <c r="AA937" s="18"/>
      <c r="AB937" s="18"/>
      <c r="AC937" s="18"/>
      <c r="AD937" s="18"/>
      <c r="AE937" s="18"/>
      <c r="AF937" s="18"/>
      <c r="AG937" s="18"/>
      <c r="AH937" s="18"/>
      <c r="AI937" s="18"/>
      <c r="AJ937" s="18"/>
      <c r="AK937" s="18"/>
      <c r="AL937" s="18"/>
      <c r="AM937" s="18"/>
      <c r="AN937" s="18"/>
      <c r="AO937" s="18"/>
      <c r="AP937" s="18"/>
      <c r="AQ937" s="18"/>
      <c r="AR937" s="18"/>
      <c r="AS937" s="18"/>
      <c r="AT937" s="18"/>
      <c r="AU937" s="18"/>
      <c r="AV937" s="18"/>
      <c r="AW937" s="18"/>
      <c r="AX937" s="18"/>
      <c r="AY937" s="18"/>
      <c r="AZ937" s="18"/>
      <c r="BA937" s="18"/>
      <c r="BB937" s="18"/>
      <c r="BC937" s="18"/>
      <c r="BD937" s="18"/>
      <c r="BE937" s="18"/>
      <c r="BF937" s="18"/>
      <c r="BG937" s="18"/>
      <c r="BH937" s="18"/>
      <c r="BI937" s="18"/>
      <c r="BJ937" s="18"/>
      <c r="BK937" s="18"/>
      <c r="BL937" s="18"/>
      <c r="BM937" s="18"/>
      <c r="BN937" s="18"/>
      <c r="BO937" s="18"/>
      <c r="BP937" s="18"/>
      <c r="BQ937" s="18"/>
      <c r="BR937" s="18"/>
      <c r="BS937" s="18"/>
      <c r="BT937" s="18"/>
      <c r="BU937" s="18"/>
      <c r="BV937" s="18"/>
      <c r="BW937" s="18"/>
      <c r="BX937" s="18"/>
      <c r="BY937" s="18"/>
      <c r="BZ937" s="18"/>
      <c r="CA937" s="18"/>
      <c r="CB937" s="18"/>
      <c r="CC937" s="18"/>
      <c r="CD937" s="18"/>
      <c r="CE937" s="18"/>
      <c r="CF937" s="18"/>
      <c r="CG937" s="18"/>
      <c r="CH937" s="18"/>
      <c r="CI937" s="18"/>
      <c r="CJ937" s="18"/>
      <c r="CK937" s="18"/>
      <c r="CL937" s="18"/>
      <c r="CM937" s="18"/>
      <c r="CN937" s="18"/>
      <c r="CO937" s="18"/>
      <c r="CP937" s="18"/>
      <c r="CQ937" s="18"/>
      <c r="CR937" s="18"/>
      <c r="CS937" s="18"/>
      <c r="CT937" s="18"/>
      <c r="CU937" s="18"/>
    </row>
    <row r="938" spans="1:99">
      <c r="A938" s="19"/>
      <c r="B938" s="19"/>
      <c r="C938" s="19"/>
      <c r="D938" s="19"/>
      <c r="E938" s="19"/>
      <c r="F938" s="19"/>
      <c r="G938" s="19"/>
      <c r="H938" s="19"/>
      <c r="I938" s="19"/>
      <c r="J938" s="19"/>
      <c r="K938" s="18"/>
      <c r="L938" s="18"/>
      <c r="M938" s="18"/>
      <c r="N938" s="18"/>
      <c r="O938" s="18"/>
      <c r="P938" s="18"/>
      <c r="Q938" s="18"/>
      <c r="R938" s="18"/>
      <c r="S938" s="18"/>
      <c r="T938" s="18"/>
      <c r="U938" s="18"/>
      <c r="V938" s="18"/>
      <c r="W938" s="18"/>
      <c r="X938" s="18"/>
      <c r="Y938" s="18"/>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c r="BC938" s="18"/>
      <c r="BD938" s="18"/>
      <c r="BE938" s="18"/>
      <c r="BF938" s="18"/>
      <c r="BG938" s="18"/>
      <c r="BH938" s="18"/>
      <c r="BI938" s="18"/>
      <c r="BJ938" s="18"/>
      <c r="BK938" s="18"/>
      <c r="BL938" s="18"/>
      <c r="BM938" s="18"/>
      <c r="BN938" s="18"/>
      <c r="BO938" s="18"/>
      <c r="BP938" s="18"/>
      <c r="BQ938" s="18"/>
      <c r="BR938" s="18"/>
      <c r="BS938" s="18"/>
      <c r="BT938" s="18"/>
      <c r="BU938" s="18"/>
      <c r="BV938" s="18"/>
      <c r="BW938" s="18"/>
      <c r="BX938" s="18"/>
      <c r="BY938" s="18"/>
      <c r="BZ938" s="18"/>
      <c r="CA938" s="18"/>
      <c r="CB938" s="18"/>
      <c r="CC938" s="18"/>
      <c r="CD938" s="18"/>
      <c r="CE938" s="18"/>
      <c r="CF938" s="18"/>
      <c r="CG938" s="18"/>
      <c r="CH938" s="18"/>
      <c r="CI938" s="18"/>
      <c r="CJ938" s="18"/>
      <c r="CK938" s="18"/>
      <c r="CL938" s="18"/>
      <c r="CM938" s="18"/>
      <c r="CN938" s="18"/>
      <c r="CO938" s="18"/>
      <c r="CP938" s="18"/>
      <c r="CQ938" s="18"/>
      <c r="CR938" s="18"/>
      <c r="CS938" s="18"/>
      <c r="CT938" s="18"/>
      <c r="CU938" s="18"/>
    </row>
    <row r="939" spans="1:99">
      <c r="A939" s="19"/>
      <c r="B939" s="19"/>
      <c r="C939" s="19"/>
      <c r="D939" s="19"/>
      <c r="E939" s="19"/>
      <c r="F939" s="19"/>
      <c r="G939" s="19"/>
      <c r="H939" s="19"/>
      <c r="I939" s="19"/>
      <c r="J939" s="19"/>
      <c r="K939" s="18"/>
      <c r="L939" s="18"/>
      <c r="M939" s="18"/>
      <c r="N939" s="18"/>
      <c r="O939" s="18"/>
      <c r="P939" s="18"/>
      <c r="Q939" s="18"/>
      <c r="R939" s="18"/>
      <c r="S939" s="18"/>
      <c r="T939" s="18"/>
      <c r="U939" s="18"/>
      <c r="V939" s="18"/>
      <c r="W939" s="18"/>
      <c r="X939" s="18"/>
      <c r="Y939" s="18"/>
      <c r="Z939" s="18"/>
      <c r="AA939" s="18"/>
      <c r="AB939" s="18"/>
      <c r="AC939" s="18"/>
      <c r="AD939" s="18"/>
      <c r="AE939" s="18"/>
      <c r="AF939" s="18"/>
      <c r="AG939" s="18"/>
      <c r="AH939" s="18"/>
      <c r="AI939" s="18"/>
      <c r="AJ939" s="18"/>
      <c r="AK939" s="18"/>
      <c r="AL939" s="18"/>
      <c r="AM939" s="18"/>
      <c r="AN939" s="18"/>
      <c r="AO939" s="18"/>
      <c r="AP939" s="18"/>
      <c r="AQ939" s="18"/>
      <c r="AR939" s="18"/>
      <c r="AS939" s="18"/>
      <c r="AT939" s="18"/>
      <c r="AU939" s="18"/>
      <c r="AV939" s="18"/>
      <c r="AW939" s="18"/>
      <c r="AX939" s="18"/>
      <c r="AY939" s="18"/>
      <c r="AZ939" s="18"/>
      <c r="BA939" s="18"/>
      <c r="BB939" s="18"/>
      <c r="BC939" s="18"/>
      <c r="BD939" s="18"/>
      <c r="BE939" s="18"/>
      <c r="BF939" s="18"/>
      <c r="BG939" s="18"/>
      <c r="BH939" s="18"/>
      <c r="BI939" s="18"/>
      <c r="BJ939" s="18"/>
      <c r="BK939" s="18"/>
      <c r="BL939" s="18"/>
      <c r="BM939" s="18"/>
      <c r="BN939" s="18"/>
      <c r="BO939" s="18"/>
      <c r="BP939" s="18"/>
      <c r="BQ939" s="18"/>
      <c r="BR939" s="18"/>
      <c r="BS939" s="18"/>
      <c r="BT939" s="18"/>
      <c r="BU939" s="18"/>
      <c r="BV939" s="18"/>
      <c r="BW939" s="18"/>
      <c r="BX939" s="18"/>
      <c r="BY939" s="18"/>
      <c r="BZ939" s="18"/>
      <c r="CA939" s="18"/>
      <c r="CB939" s="18"/>
      <c r="CC939" s="18"/>
      <c r="CD939" s="18"/>
      <c r="CE939" s="18"/>
      <c r="CF939" s="18"/>
      <c r="CG939" s="18"/>
      <c r="CH939" s="18"/>
      <c r="CI939" s="18"/>
      <c r="CJ939" s="18"/>
      <c r="CK939" s="18"/>
      <c r="CL939" s="18"/>
      <c r="CM939" s="18"/>
      <c r="CN939" s="18"/>
      <c r="CO939" s="18"/>
      <c r="CP939" s="18"/>
      <c r="CQ939" s="18"/>
      <c r="CR939" s="18"/>
      <c r="CS939" s="18"/>
      <c r="CT939" s="18"/>
      <c r="CU939" s="18"/>
    </row>
    <row r="940" spans="1:99">
      <c r="A940" s="19"/>
      <c r="B940" s="19"/>
      <c r="C940" s="19"/>
      <c r="D940" s="19"/>
      <c r="E940" s="19"/>
      <c r="F940" s="19"/>
      <c r="G940" s="19"/>
      <c r="H940" s="19"/>
      <c r="I940" s="19"/>
      <c r="J940" s="19"/>
      <c r="K940" s="18"/>
      <c r="L940" s="18"/>
      <c r="M940" s="18"/>
      <c r="N940" s="18"/>
      <c r="O940" s="18"/>
      <c r="P940" s="18"/>
      <c r="Q940" s="18"/>
      <c r="R940" s="18"/>
      <c r="S940" s="18"/>
      <c r="T940" s="18"/>
      <c r="U940" s="18"/>
      <c r="V940" s="18"/>
      <c r="W940" s="18"/>
      <c r="X940" s="18"/>
      <c r="Y940" s="18"/>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c r="BC940" s="18"/>
      <c r="BD940" s="18"/>
      <c r="BE940" s="18"/>
      <c r="BF940" s="18"/>
      <c r="BG940" s="18"/>
      <c r="BH940" s="18"/>
      <c r="BI940" s="18"/>
      <c r="BJ940" s="18"/>
      <c r="BK940" s="18"/>
      <c r="BL940" s="18"/>
      <c r="BM940" s="18"/>
      <c r="BN940" s="18"/>
      <c r="BO940" s="18"/>
      <c r="BP940" s="18"/>
      <c r="BQ940" s="18"/>
      <c r="BR940" s="18"/>
      <c r="BS940" s="18"/>
      <c r="BT940" s="18"/>
      <c r="BU940" s="18"/>
      <c r="BV940" s="18"/>
      <c r="BW940" s="18"/>
      <c r="BX940" s="18"/>
      <c r="BY940" s="18"/>
      <c r="BZ940" s="18"/>
      <c r="CA940" s="18"/>
      <c r="CB940" s="18"/>
      <c r="CC940" s="18"/>
      <c r="CD940" s="18"/>
      <c r="CE940" s="18"/>
      <c r="CF940" s="18"/>
      <c r="CG940" s="18"/>
      <c r="CH940" s="18"/>
      <c r="CI940" s="18"/>
      <c r="CJ940" s="18"/>
      <c r="CK940" s="18"/>
      <c r="CL940" s="18"/>
      <c r="CM940" s="18"/>
      <c r="CN940" s="18"/>
      <c r="CO940" s="18"/>
      <c r="CP940" s="18"/>
      <c r="CQ940" s="18"/>
      <c r="CR940" s="18"/>
      <c r="CS940" s="18"/>
      <c r="CT940" s="18"/>
      <c r="CU940" s="18"/>
    </row>
    <row r="941" spans="1:99">
      <c r="A941" s="19"/>
      <c r="B941" s="19"/>
      <c r="C941" s="19"/>
      <c r="D941" s="19"/>
      <c r="E941" s="19"/>
      <c r="F941" s="19"/>
      <c r="G941" s="19"/>
      <c r="H941" s="19"/>
      <c r="I941" s="19"/>
      <c r="J941" s="19"/>
      <c r="K941" s="18"/>
      <c r="L941" s="18"/>
      <c r="M941" s="18"/>
      <c r="N941" s="18"/>
      <c r="O941" s="18"/>
      <c r="P941" s="18"/>
      <c r="Q941" s="18"/>
      <c r="R941" s="18"/>
      <c r="S941" s="18"/>
      <c r="T941" s="18"/>
      <c r="U941" s="18"/>
      <c r="V941" s="18"/>
      <c r="W941" s="18"/>
      <c r="X941" s="18"/>
      <c r="Y941" s="18"/>
      <c r="Z941" s="18"/>
      <c r="AA941" s="18"/>
      <c r="AB941" s="18"/>
      <c r="AC941" s="18"/>
      <c r="AD941" s="18"/>
      <c r="AE941" s="18"/>
      <c r="AF941" s="18"/>
      <c r="AG941" s="18"/>
      <c r="AH941" s="18"/>
      <c r="AI941" s="18"/>
      <c r="AJ941" s="18"/>
      <c r="AK941" s="18"/>
      <c r="AL941" s="18"/>
      <c r="AM941" s="18"/>
      <c r="AN941" s="18"/>
      <c r="AO941" s="18"/>
      <c r="AP941" s="18"/>
      <c r="AQ941" s="18"/>
      <c r="AR941" s="18"/>
      <c r="AS941" s="18"/>
      <c r="AT941" s="18"/>
      <c r="AU941" s="18"/>
      <c r="AV941" s="18"/>
      <c r="AW941" s="18"/>
      <c r="AX941" s="18"/>
      <c r="AY941" s="18"/>
      <c r="AZ941" s="18"/>
      <c r="BA941" s="18"/>
      <c r="BB941" s="18"/>
      <c r="BC941" s="18"/>
      <c r="BD941" s="18"/>
      <c r="BE941" s="18"/>
      <c r="BF941" s="18"/>
      <c r="BG941" s="18"/>
      <c r="BH941" s="18"/>
      <c r="BI941" s="18"/>
      <c r="BJ941" s="18"/>
      <c r="BK941" s="18"/>
      <c r="BL941" s="18"/>
      <c r="BM941" s="18"/>
      <c r="BN941" s="18"/>
      <c r="BO941" s="18"/>
      <c r="BP941" s="18"/>
      <c r="BQ941" s="18"/>
      <c r="BR941" s="18"/>
      <c r="BS941" s="18"/>
      <c r="BT941" s="18"/>
      <c r="BU941" s="18"/>
      <c r="BV941" s="18"/>
      <c r="BW941" s="18"/>
      <c r="BX941" s="18"/>
      <c r="BY941" s="18"/>
      <c r="BZ941" s="18"/>
      <c r="CA941" s="18"/>
      <c r="CB941" s="18"/>
      <c r="CC941" s="18"/>
      <c r="CD941" s="18"/>
      <c r="CE941" s="18"/>
      <c r="CF941" s="18"/>
      <c r="CG941" s="18"/>
      <c r="CH941" s="18"/>
      <c r="CI941" s="18"/>
      <c r="CJ941" s="18"/>
      <c r="CK941" s="18"/>
      <c r="CL941" s="18"/>
      <c r="CM941" s="18"/>
      <c r="CN941" s="18"/>
      <c r="CO941" s="18"/>
      <c r="CP941" s="18"/>
      <c r="CQ941" s="18"/>
      <c r="CR941" s="18"/>
      <c r="CS941" s="18"/>
      <c r="CT941" s="18"/>
      <c r="CU941" s="18"/>
    </row>
    <row r="942" spans="1:99">
      <c r="A942" s="19"/>
      <c r="B942" s="19"/>
      <c r="C942" s="19"/>
      <c r="D942" s="19"/>
      <c r="E942" s="19"/>
      <c r="F942" s="19"/>
      <c r="G942" s="19"/>
      <c r="H942" s="19"/>
      <c r="I942" s="19"/>
      <c r="J942" s="19"/>
      <c r="K942" s="18"/>
      <c r="L942" s="18"/>
      <c r="M942" s="18"/>
      <c r="N942" s="18"/>
      <c r="O942" s="18"/>
      <c r="P942" s="18"/>
      <c r="Q942" s="18"/>
      <c r="R942" s="18"/>
      <c r="S942" s="18"/>
      <c r="T942" s="18"/>
      <c r="U942" s="18"/>
      <c r="V942" s="18"/>
      <c r="W942" s="18"/>
      <c r="X942" s="18"/>
      <c r="Y942" s="18"/>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c r="BC942" s="18"/>
      <c r="BD942" s="18"/>
      <c r="BE942" s="18"/>
      <c r="BF942" s="18"/>
      <c r="BG942" s="18"/>
      <c r="BH942" s="18"/>
      <c r="BI942" s="18"/>
      <c r="BJ942" s="18"/>
      <c r="BK942" s="18"/>
      <c r="BL942" s="18"/>
      <c r="BM942" s="18"/>
      <c r="BN942" s="18"/>
      <c r="BO942" s="18"/>
      <c r="BP942" s="18"/>
      <c r="BQ942" s="18"/>
      <c r="BR942" s="18"/>
      <c r="BS942" s="18"/>
      <c r="BT942" s="18"/>
      <c r="BU942" s="18"/>
      <c r="BV942" s="18"/>
      <c r="BW942" s="18"/>
      <c r="BX942" s="18"/>
      <c r="BY942" s="18"/>
      <c r="BZ942" s="18"/>
      <c r="CA942" s="18"/>
      <c r="CB942" s="18"/>
      <c r="CC942" s="18"/>
      <c r="CD942" s="18"/>
      <c r="CE942" s="18"/>
      <c r="CF942" s="18"/>
      <c r="CG942" s="18"/>
      <c r="CH942" s="18"/>
      <c r="CI942" s="18"/>
      <c r="CJ942" s="18"/>
      <c r="CK942" s="18"/>
      <c r="CL942" s="18"/>
      <c r="CM942" s="18"/>
      <c r="CN942" s="18"/>
      <c r="CO942" s="18"/>
      <c r="CP942" s="18"/>
      <c r="CQ942" s="18"/>
      <c r="CR942" s="18"/>
      <c r="CS942" s="18"/>
      <c r="CT942" s="18"/>
      <c r="CU942" s="18"/>
    </row>
    <row r="943" spans="1:99">
      <c r="A943" s="19"/>
      <c r="B943" s="19"/>
      <c r="C943" s="19"/>
      <c r="D943" s="19"/>
      <c r="E943" s="19"/>
      <c r="F943" s="19"/>
      <c r="G943" s="19"/>
      <c r="H943" s="19"/>
      <c r="I943" s="19"/>
      <c r="J943" s="19"/>
      <c r="K943" s="18"/>
      <c r="L943" s="18"/>
      <c r="M943" s="18"/>
      <c r="N943" s="18"/>
      <c r="O943" s="18"/>
      <c r="P943" s="18"/>
      <c r="Q943" s="18"/>
      <c r="R943" s="18"/>
      <c r="S943" s="18"/>
      <c r="T943" s="18"/>
      <c r="U943" s="18"/>
      <c r="V943" s="18"/>
      <c r="W943" s="18"/>
      <c r="X943" s="18"/>
      <c r="Y943" s="18"/>
      <c r="Z943" s="18"/>
      <c r="AA943" s="18"/>
      <c r="AB943" s="18"/>
      <c r="AC943" s="18"/>
      <c r="AD943" s="18"/>
      <c r="AE943" s="18"/>
      <c r="AF943" s="18"/>
      <c r="AG943" s="18"/>
      <c r="AH943" s="18"/>
      <c r="AI943" s="18"/>
      <c r="AJ943" s="18"/>
      <c r="AK943" s="18"/>
      <c r="AL943" s="18"/>
      <c r="AM943" s="18"/>
      <c r="AN943" s="18"/>
      <c r="AO943" s="18"/>
      <c r="AP943" s="18"/>
      <c r="AQ943" s="18"/>
      <c r="AR943" s="18"/>
      <c r="AS943" s="18"/>
      <c r="AT943" s="18"/>
      <c r="AU943" s="18"/>
      <c r="AV943" s="18"/>
      <c r="AW943" s="18"/>
      <c r="AX943" s="18"/>
      <c r="AY943" s="18"/>
      <c r="AZ943" s="18"/>
      <c r="BA943" s="18"/>
      <c r="BB943" s="18"/>
      <c r="BC943" s="18"/>
      <c r="BD943" s="18"/>
      <c r="BE943" s="18"/>
      <c r="BF943" s="18"/>
      <c r="BG943" s="18"/>
      <c r="BH943" s="18"/>
      <c r="BI943" s="18"/>
      <c r="BJ943" s="18"/>
      <c r="BK943" s="18"/>
      <c r="BL943" s="18"/>
      <c r="BM943" s="18"/>
      <c r="BN943" s="18"/>
      <c r="BO943" s="18"/>
      <c r="BP943" s="18"/>
      <c r="BQ943" s="18"/>
      <c r="BR943" s="18"/>
      <c r="BS943" s="18"/>
      <c r="BT943" s="18"/>
      <c r="BU943" s="18"/>
      <c r="BV943" s="18"/>
      <c r="BW943" s="18"/>
      <c r="BX943" s="18"/>
      <c r="BY943" s="18"/>
      <c r="BZ943" s="18"/>
      <c r="CA943" s="18"/>
      <c r="CB943" s="18"/>
      <c r="CC943" s="18"/>
      <c r="CD943" s="18"/>
      <c r="CE943" s="18"/>
      <c r="CF943" s="18"/>
      <c r="CG943" s="18"/>
      <c r="CH943" s="18"/>
      <c r="CI943" s="18"/>
      <c r="CJ943" s="18"/>
      <c r="CK943" s="18"/>
      <c r="CL943" s="18"/>
      <c r="CM943" s="18"/>
      <c r="CN943" s="18"/>
      <c r="CO943" s="18"/>
      <c r="CP943" s="18"/>
      <c r="CQ943" s="18"/>
      <c r="CR943" s="18"/>
      <c r="CS943" s="18"/>
      <c r="CT943" s="18"/>
      <c r="CU943" s="18"/>
    </row>
    <row r="944" spans="1:99">
      <c r="A944" s="19"/>
      <c r="B944" s="19"/>
      <c r="C944" s="19"/>
      <c r="D944" s="19"/>
      <c r="E944" s="19"/>
      <c r="F944" s="19"/>
      <c r="G944" s="19"/>
      <c r="H944" s="19"/>
      <c r="I944" s="19"/>
      <c r="J944" s="19"/>
      <c r="K944" s="18"/>
      <c r="L944" s="18"/>
      <c r="M944" s="18"/>
      <c r="N944" s="18"/>
      <c r="O944" s="18"/>
      <c r="P944" s="18"/>
      <c r="Q944" s="18"/>
      <c r="R944" s="18"/>
      <c r="S944" s="18"/>
      <c r="T944" s="18"/>
      <c r="U944" s="18"/>
      <c r="V944" s="18"/>
      <c r="W944" s="18"/>
      <c r="X944" s="18"/>
      <c r="Y944" s="18"/>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c r="BC944" s="18"/>
      <c r="BD944" s="18"/>
      <c r="BE944" s="18"/>
      <c r="BF944" s="18"/>
      <c r="BG944" s="18"/>
      <c r="BH944" s="18"/>
      <c r="BI944" s="18"/>
      <c r="BJ944" s="18"/>
      <c r="BK944" s="18"/>
      <c r="BL944" s="18"/>
      <c r="BM944" s="18"/>
      <c r="BN944" s="18"/>
      <c r="BO944" s="18"/>
      <c r="BP944" s="18"/>
      <c r="BQ944" s="18"/>
      <c r="BR944" s="18"/>
      <c r="BS944" s="18"/>
      <c r="BT944" s="18"/>
      <c r="BU944" s="18"/>
      <c r="BV944" s="18"/>
      <c r="BW944" s="18"/>
      <c r="BX944" s="18"/>
      <c r="BY944" s="18"/>
      <c r="BZ944" s="18"/>
      <c r="CA944" s="18"/>
      <c r="CB944" s="18"/>
      <c r="CC944" s="18"/>
      <c r="CD944" s="18"/>
      <c r="CE944" s="18"/>
      <c r="CF944" s="18"/>
      <c r="CG944" s="18"/>
      <c r="CH944" s="18"/>
      <c r="CI944" s="18"/>
      <c r="CJ944" s="18"/>
      <c r="CK944" s="18"/>
      <c r="CL944" s="18"/>
      <c r="CM944" s="18"/>
      <c r="CN944" s="18"/>
      <c r="CO944" s="18"/>
      <c r="CP944" s="18"/>
      <c r="CQ944" s="18"/>
      <c r="CR944" s="18"/>
      <c r="CS944" s="18"/>
      <c r="CT944" s="18"/>
      <c r="CU944" s="18"/>
    </row>
    <row r="945" spans="1:99">
      <c r="A945" s="19"/>
      <c r="B945" s="19"/>
      <c r="C945" s="19"/>
      <c r="D945" s="19"/>
      <c r="E945" s="19"/>
      <c r="F945" s="19"/>
      <c r="G945" s="19"/>
      <c r="H945" s="19"/>
      <c r="I945" s="19"/>
      <c r="J945" s="19"/>
      <c r="K945" s="18"/>
      <c r="L945" s="18"/>
      <c r="M945" s="18"/>
      <c r="N945" s="18"/>
      <c r="O945" s="18"/>
      <c r="P945" s="18"/>
      <c r="Q945" s="18"/>
      <c r="R945" s="18"/>
      <c r="S945" s="18"/>
      <c r="T945" s="18"/>
      <c r="U945" s="18"/>
      <c r="V945" s="18"/>
      <c r="W945" s="18"/>
      <c r="X945" s="18"/>
      <c r="Y945" s="18"/>
      <c r="Z945" s="18"/>
      <c r="AA945" s="18"/>
      <c r="AB945" s="18"/>
      <c r="AC945" s="18"/>
      <c r="AD945" s="18"/>
      <c r="AE945" s="18"/>
      <c r="AF945" s="18"/>
      <c r="AG945" s="18"/>
      <c r="AH945" s="18"/>
      <c r="AI945" s="18"/>
      <c r="AJ945" s="18"/>
      <c r="AK945" s="18"/>
      <c r="AL945" s="18"/>
      <c r="AM945" s="18"/>
      <c r="AN945" s="18"/>
      <c r="AO945" s="18"/>
      <c r="AP945" s="18"/>
      <c r="AQ945" s="18"/>
      <c r="AR945" s="18"/>
      <c r="AS945" s="18"/>
      <c r="AT945" s="18"/>
      <c r="AU945" s="18"/>
      <c r="AV945" s="18"/>
      <c r="AW945" s="18"/>
      <c r="AX945" s="18"/>
      <c r="AY945" s="18"/>
      <c r="AZ945" s="18"/>
      <c r="BA945" s="18"/>
      <c r="BB945" s="18"/>
      <c r="BC945" s="18"/>
      <c r="BD945" s="18"/>
      <c r="BE945" s="18"/>
      <c r="BF945" s="18"/>
      <c r="BG945" s="18"/>
      <c r="BH945" s="18"/>
      <c r="BI945" s="18"/>
      <c r="BJ945" s="18"/>
      <c r="BK945" s="18"/>
      <c r="BL945" s="18"/>
      <c r="BM945" s="18"/>
      <c r="BN945" s="18"/>
      <c r="BO945" s="18"/>
      <c r="BP945" s="18"/>
      <c r="BQ945" s="18"/>
      <c r="BR945" s="18"/>
      <c r="BS945" s="18"/>
      <c r="BT945" s="18"/>
      <c r="BU945" s="18"/>
      <c r="BV945" s="18"/>
      <c r="BW945" s="18"/>
      <c r="BX945" s="18"/>
      <c r="BY945" s="18"/>
      <c r="BZ945" s="18"/>
      <c r="CA945" s="18"/>
      <c r="CB945" s="18"/>
      <c r="CC945" s="18"/>
      <c r="CD945" s="18"/>
      <c r="CE945" s="18"/>
      <c r="CF945" s="18"/>
      <c r="CG945" s="18"/>
      <c r="CH945" s="18"/>
      <c r="CI945" s="18"/>
      <c r="CJ945" s="18"/>
      <c r="CK945" s="18"/>
      <c r="CL945" s="18"/>
      <c r="CM945" s="18"/>
      <c r="CN945" s="18"/>
      <c r="CO945" s="18"/>
      <c r="CP945" s="18"/>
      <c r="CQ945" s="18"/>
      <c r="CR945" s="18"/>
      <c r="CS945" s="18"/>
      <c r="CT945" s="18"/>
      <c r="CU945" s="18"/>
    </row>
    <row r="946" spans="1:99">
      <c r="A946" s="19"/>
      <c r="B946" s="19"/>
      <c r="C946" s="19"/>
      <c r="D946" s="19"/>
      <c r="E946" s="19"/>
      <c r="F946" s="19"/>
      <c r="G946" s="19"/>
      <c r="H946" s="19"/>
      <c r="I946" s="19"/>
      <c r="J946" s="19"/>
      <c r="K946" s="18"/>
      <c r="L946" s="18"/>
      <c r="M946" s="18"/>
      <c r="N946" s="18"/>
      <c r="O946" s="18"/>
      <c r="P946" s="18"/>
      <c r="Q946" s="18"/>
      <c r="R946" s="18"/>
      <c r="S946" s="18"/>
      <c r="T946" s="18"/>
      <c r="U946" s="18"/>
      <c r="V946" s="18"/>
      <c r="W946" s="18"/>
      <c r="X946" s="18"/>
      <c r="Y946" s="18"/>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c r="BC946" s="18"/>
      <c r="BD946" s="18"/>
      <c r="BE946" s="18"/>
      <c r="BF946" s="18"/>
      <c r="BG946" s="18"/>
      <c r="BH946" s="18"/>
      <c r="BI946" s="18"/>
      <c r="BJ946" s="18"/>
      <c r="BK946" s="18"/>
      <c r="BL946" s="18"/>
      <c r="BM946" s="18"/>
      <c r="BN946" s="18"/>
      <c r="BO946" s="18"/>
      <c r="BP946" s="18"/>
      <c r="BQ946" s="18"/>
      <c r="BR946" s="18"/>
      <c r="BS946" s="18"/>
      <c r="BT946" s="18"/>
      <c r="BU946" s="18"/>
      <c r="BV946" s="18"/>
      <c r="BW946" s="18"/>
      <c r="BX946" s="18"/>
      <c r="BY946" s="18"/>
      <c r="BZ946" s="18"/>
      <c r="CA946" s="18"/>
      <c r="CB946" s="18"/>
      <c r="CC946" s="18"/>
      <c r="CD946" s="18"/>
      <c r="CE946" s="18"/>
      <c r="CF946" s="18"/>
      <c r="CG946" s="18"/>
      <c r="CH946" s="18"/>
      <c r="CI946" s="18"/>
      <c r="CJ946" s="18"/>
      <c r="CK946" s="18"/>
      <c r="CL946" s="18"/>
      <c r="CM946" s="18"/>
      <c r="CN946" s="18"/>
      <c r="CO946" s="18"/>
      <c r="CP946" s="18"/>
      <c r="CQ946" s="18"/>
      <c r="CR946" s="18"/>
      <c r="CS946" s="18"/>
      <c r="CT946" s="18"/>
      <c r="CU946" s="18"/>
    </row>
    <row r="947" spans="1:99">
      <c r="A947" s="19"/>
      <c r="B947" s="19"/>
      <c r="C947" s="19"/>
      <c r="D947" s="19"/>
      <c r="E947" s="19"/>
      <c r="F947" s="19"/>
      <c r="G947" s="19"/>
      <c r="H947" s="19"/>
      <c r="I947" s="19"/>
      <c r="J947" s="19"/>
      <c r="K947" s="18"/>
      <c r="L947" s="18"/>
      <c r="M947" s="18"/>
      <c r="N947" s="18"/>
      <c r="O947" s="18"/>
      <c r="P947" s="18"/>
      <c r="Q947" s="18"/>
      <c r="R947" s="18"/>
      <c r="S947" s="18"/>
      <c r="T947" s="18"/>
      <c r="U947" s="18"/>
      <c r="V947" s="18"/>
      <c r="W947" s="18"/>
      <c r="X947" s="18"/>
      <c r="Y947" s="18"/>
      <c r="Z947" s="18"/>
      <c r="AA947" s="18"/>
      <c r="AB947" s="18"/>
      <c r="AC947" s="18"/>
      <c r="AD947" s="18"/>
      <c r="AE947" s="18"/>
      <c r="AF947" s="18"/>
      <c r="AG947" s="18"/>
      <c r="AH947" s="18"/>
      <c r="AI947" s="18"/>
      <c r="AJ947" s="18"/>
      <c r="AK947" s="18"/>
      <c r="AL947" s="18"/>
      <c r="AM947" s="18"/>
      <c r="AN947" s="18"/>
      <c r="AO947" s="18"/>
      <c r="AP947" s="18"/>
      <c r="AQ947" s="18"/>
      <c r="AR947" s="18"/>
      <c r="AS947" s="18"/>
      <c r="AT947" s="18"/>
      <c r="AU947" s="18"/>
      <c r="AV947" s="18"/>
      <c r="AW947" s="18"/>
      <c r="AX947" s="18"/>
      <c r="AY947" s="18"/>
      <c r="AZ947" s="18"/>
      <c r="BA947" s="18"/>
      <c r="BB947" s="18"/>
      <c r="BC947" s="18"/>
      <c r="BD947" s="18"/>
      <c r="BE947" s="18"/>
      <c r="BF947" s="18"/>
      <c r="BG947" s="18"/>
      <c r="BH947" s="18"/>
      <c r="BI947" s="18"/>
      <c r="BJ947" s="18"/>
      <c r="BK947" s="18"/>
      <c r="BL947" s="18"/>
      <c r="BM947" s="18"/>
      <c r="BN947" s="18"/>
      <c r="BO947" s="18"/>
      <c r="BP947" s="18"/>
      <c r="BQ947" s="18"/>
      <c r="BR947" s="18"/>
      <c r="BS947" s="18"/>
      <c r="BT947" s="18"/>
      <c r="BU947" s="18"/>
      <c r="BV947" s="18"/>
      <c r="BW947" s="18"/>
      <c r="BX947" s="18"/>
      <c r="BY947" s="18"/>
      <c r="BZ947" s="18"/>
      <c r="CA947" s="18"/>
      <c r="CB947" s="18"/>
      <c r="CC947" s="18"/>
      <c r="CD947" s="18"/>
      <c r="CE947" s="18"/>
      <c r="CF947" s="18"/>
      <c r="CG947" s="18"/>
      <c r="CH947" s="18"/>
      <c r="CI947" s="18"/>
      <c r="CJ947" s="18"/>
      <c r="CK947" s="18"/>
      <c r="CL947" s="18"/>
      <c r="CM947" s="18"/>
      <c r="CN947" s="18"/>
      <c r="CO947" s="18"/>
      <c r="CP947" s="18"/>
      <c r="CQ947" s="18"/>
      <c r="CR947" s="18"/>
      <c r="CS947" s="18"/>
      <c r="CT947" s="18"/>
      <c r="CU947" s="18"/>
    </row>
    <row r="948" spans="1:99">
      <c r="A948" s="19"/>
      <c r="B948" s="19"/>
      <c r="C948" s="19"/>
      <c r="D948" s="19"/>
      <c r="E948" s="19"/>
      <c r="F948" s="19"/>
      <c r="G948" s="19"/>
      <c r="H948" s="19"/>
      <c r="I948" s="19"/>
      <c r="J948" s="19"/>
      <c r="K948" s="18"/>
      <c r="L948" s="18"/>
      <c r="M948" s="18"/>
      <c r="N948" s="18"/>
      <c r="O948" s="18"/>
      <c r="P948" s="18"/>
      <c r="Q948" s="18"/>
      <c r="R948" s="18"/>
      <c r="S948" s="18"/>
      <c r="T948" s="18"/>
      <c r="U948" s="18"/>
      <c r="V948" s="18"/>
      <c r="W948" s="18"/>
      <c r="X948" s="18"/>
      <c r="Y948" s="18"/>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c r="BC948" s="18"/>
      <c r="BD948" s="18"/>
      <c r="BE948" s="18"/>
      <c r="BF948" s="18"/>
      <c r="BG948" s="18"/>
      <c r="BH948" s="18"/>
      <c r="BI948" s="18"/>
      <c r="BJ948" s="18"/>
      <c r="BK948" s="18"/>
      <c r="BL948" s="18"/>
      <c r="BM948" s="18"/>
      <c r="BN948" s="18"/>
      <c r="BO948" s="18"/>
      <c r="BP948" s="18"/>
      <c r="BQ948" s="18"/>
      <c r="BR948" s="18"/>
      <c r="BS948" s="18"/>
      <c r="BT948" s="18"/>
      <c r="BU948" s="18"/>
      <c r="BV948" s="18"/>
      <c r="BW948" s="18"/>
      <c r="BX948" s="18"/>
      <c r="BY948" s="18"/>
      <c r="BZ948" s="18"/>
      <c r="CA948" s="18"/>
      <c r="CB948" s="18"/>
      <c r="CC948" s="18"/>
      <c r="CD948" s="18"/>
      <c r="CE948" s="18"/>
      <c r="CF948" s="18"/>
      <c r="CG948" s="18"/>
      <c r="CH948" s="18"/>
      <c r="CI948" s="18"/>
      <c r="CJ948" s="18"/>
      <c r="CK948" s="18"/>
      <c r="CL948" s="18"/>
      <c r="CM948" s="18"/>
      <c r="CN948" s="18"/>
      <c r="CO948" s="18"/>
      <c r="CP948" s="18"/>
      <c r="CQ948" s="18"/>
      <c r="CR948" s="18"/>
      <c r="CS948" s="18"/>
      <c r="CT948" s="18"/>
      <c r="CU948" s="18"/>
    </row>
    <row r="949" spans="1:99">
      <c r="A949" s="19"/>
      <c r="B949" s="19"/>
      <c r="C949" s="19"/>
      <c r="D949" s="19"/>
      <c r="E949" s="19"/>
      <c r="F949" s="19"/>
      <c r="G949" s="19"/>
      <c r="H949" s="19"/>
      <c r="I949" s="19"/>
      <c r="J949" s="19"/>
      <c r="K949" s="18"/>
      <c r="L949" s="18"/>
      <c r="M949" s="18"/>
      <c r="N949" s="18"/>
      <c r="O949" s="18"/>
      <c r="P949" s="18"/>
      <c r="Q949" s="18"/>
      <c r="R949" s="18"/>
      <c r="S949" s="18"/>
      <c r="T949" s="18"/>
      <c r="U949" s="18"/>
      <c r="V949" s="18"/>
      <c r="W949" s="18"/>
      <c r="X949" s="18"/>
      <c r="Y949" s="18"/>
      <c r="Z949" s="18"/>
      <c r="AA949" s="18"/>
      <c r="AB949" s="18"/>
      <c r="AC949" s="18"/>
      <c r="AD949" s="18"/>
      <c r="AE949" s="18"/>
      <c r="AF949" s="18"/>
      <c r="AG949" s="18"/>
      <c r="AH949" s="18"/>
      <c r="AI949" s="18"/>
      <c r="AJ949" s="18"/>
      <c r="AK949" s="18"/>
      <c r="AL949" s="18"/>
      <c r="AM949" s="18"/>
      <c r="AN949" s="18"/>
      <c r="AO949" s="18"/>
      <c r="AP949" s="18"/>
      <c r="AQ949" s="18"/>
      <c r="AR949" s="18"/>
      <c r="AS949" s="18"/>
      <c r="AT949" s="18"/>
      <c r="AU949" s="18"/>
      <c r="AV949" s="18"/>
      <c r="AW949" s="18"/>
      <c r="AX949" s="18"/>
      <c r="AY949" s="18"/>
      <c r="AZ949" s="18"/>
      <c r="BA949" s="18"/>
      <c r="BB949" s="18"/>
      <c r="BC949" s="18"/>
      <c r="BD949" s="18"/>
      <c r="BE949" s="18"/>
      <c r="BF949" s="18"/>
      <c r="BG949" s="18"/>
      <c r="BH949" s="18"/>
      <c r="BI949" s="18"/>
      <c r="BJ949" s="18"/>
      <c r="BK949" s="18"/>
      <c r="BL949" s="18"/>
      <c r="BM949" s="18"/>
      <c r="BN949" s="18"/>
      <c r="BO949" s="18"/>
      <c r="BP949" s="18"/>
      <c r="BQ949" s="18"/>
      <c r="BR949" s="18"/>
      <c r="BS949" s="18"/>
      <c r="BT949" s="18"/>
      <c r="BU949" s="18"/>
      <c r="BV949" s="18"/>
      <c r="BW949" s="18"/>
      <c r="BX949" s="18"/>
      <c r="BY949" s="18"/>
      <c r="BZ949" s="18"/>
      <c r="CA949" s="18"/>
      <c r="CB949" s="18"/>
      <c r="CC949" s="18"/>
      <c r="CD949" s="18"/>
      <c r="CE949" s="18"/>
      <c r="CF949" s="18"/>
      <c r="CG949" s="18"/>
      <c r="CH949" s="18"/>
      <c r="CI949" s="18"/>
      <c r="CJ949" s="18"/>
      <c r="CK949" s="18"/>
      <c r="CL949" s="18"/>
      <c r="CM949" s="18"/>
      <c r="CN949" s="18"/>
      <c r="CO949" s="18"/>
      <c r="CP949" s="18"/>
      <c r="CQ949" s="18"/>
      <c r="CR949" s="18"/>
      <c r="CS949" s="18"/>
      <c r="CT949" s="18"/>
      <c r="CU949" s="18"/>
    </row>
    <row r="950" spans="1:99">
      <c r="A950" s="19"/>
      <c r="B950" s="19"/>
      <c r="C950" s="19"/>
      <c r="D950" s="19"/>
      <c r="E950" s="19"/>
      <c r="F950" s="19"/>
      <c r="G950" s="19"/>
      <c r="H950" s="19"/>
      <c r="I950" s="19"/>
      <c r="J950" s="19"/>
      <c r="K950" s="18"/>
      <c r="L950" s="18"/>
      <c r="M950" s="18"/>
      <c r="N950" s="18"/>
      <c r="O950" s="18"/>
      <c r="P950" s="18"/>
      <c r="Q950" s="18"/>
      <c r="R950" s="18"/>
      <c r="S950" s="18"/>
      <c r="T950" s="18"/>
      <c r="U950" s="18"/>
      <c r="V950" s="18"/>
      <c r="W950" s="18"/>
      <c r="X950" s="18"/>
      <c r="Y950" s="18"/>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c r="BC950" s="18"/>
      <c r="BD950" s="18"/>
      <c r="BE950" s="18"/>
      <c r="BF950" s="18"/>
      <c r="BG950" s="18"/>
      <c r="BH950" s="18"/>
      <c r="BI950" s="18"/>
      <c r="BJ950" s="18"/>
      <c r="BK950" s="18"/>
      <c r="BL950" s="18"/>
      <c r="BM950" s="18"/>
      <c r="BN950" s="18"/>
      <c r="BO950" s="18"/>
      <c r="BP950" s="18"/>
      <c r="BQ950" s="18"/>
      <c r="BR950" s="18"/>
      <c r="BS950" s="18"/>
      <c r="BT950" s="18"/>
      <c r="BU950" s="18"/>
      <c r="BV950" s="18"/>
      <c r="BW950" s="18"/>
      <c r="BX950" s="18"/>
      <c r="BY950" s="18"/>
      <c r="BZ950" s="18"/>
      <c r="CA950" s="18"/>
      <c r="CB950" s="18"/>
      <c r="CC950" s="18"/>
      <c r="CD950" s="18"/>
      <c r="CE950" s="18"/>
      <c r="CF950" s="18"/>
      <c r="CG950" s="18"/>
      <c r="CH950" s="18"/>
      <c r="CI950" s="18"/>
      <c r="CJ950" s="18"/>
      <c r="CK950" s="18"/>
      <c r="CL950" s="18"/>
      <c r="CM950" s="18"/>
      <c r="CN950" s="18"/>
      <c r="CO950" s="18"/>
      <c r="CP950" s="18"/>
      <c r="CQ950" s="18"/>
      <c r="CR950" s="18"/>
      <c r="CS950" s="18"/>
      <c r="CT950" s="18"/>
      <c r="CU950" s="18"/>
    </row>
    <row r="951" spans="1:99">
      <c r="A951" s="19"/>
      <c r="B951" s="19"/>
      <c r="C951" s="19"/>
      <c r="D951" s="19"/>
      <c r="E951" s="19"/>
      <c r="F951" s="19"/>
      <c r="G951" s="19"/>
      <c r="H951" s="19"/>
      <c r="I951" s="19"/>
      <c r="J951" s="19"/>
      <c r="K951" s="18"/>
      <c r="L951" s="18"/>
      <c r="M951" s="18"/>
      <c r="N951" s="18"/>
      <c r="O951" s="18"/>
      <c r="P951" s="18"/>
      <c r="Q951" s="18"/>
      <c r="R951" s="18"/>
      <c r="S951" s="18"/>
      <c r="T951" s="18"/>
      <c r="U951" s="18"/>
      <c r="V951" s="18"/>
      <c r="W951" s="18"/>
      <c r="X951" s="18"/>
      <c r="Y951" s="18"/>
      <c r="Z951" s="18"/>
      <c r="AA951" s="18"/>
      <c r="AB951" s="18"/>
      <c r="AC951" s="18"/>
      <c r="AD951" s="18"/>
      <c r="AE951" s="18"/>
      <c r="AF951" s="18"/>
      <c r="AG951" s="18"/>
      <c r="AH951" s="18"/>
      <c r="AI951" s="18"/>
      <c r="AJ951" s="18"/>
      <c r="AK951" s="18"/>
      <c r="AL951" s="18"/>
      <c r="AM951" s="18"/>
      <c r="AN951" s="18"/>
      <c r="AO951" s="18"/>
      <c r="AP951" s="18"/>
      <c r="AQ951" s="18"/>
      <c r="AR951" s="18"/>
      <c r="AS951" s="18"/>
      <c r="AT951" s="18"/>
      <c r="AU951" s="18"/>
      <c r="AV951" s="18"/>
      <c r="AW951" s="18"/>
      <c r="AX951" s="18"/>
      <c r="AY951" s="18"/>
      <c r="AZ951" s="18"/>
      <c r="BA951" s="18"/>
      <c r="BB951" s="18"/>
      <c r="BC951" s="18"/>
      <c r="BD951" s="18"/>
      <c r="BE951" s="18"/>
      <c r="BF951" s="18"/>
      <c r="BG951" s="18"/>
      <c r="BH951" s="18"/>
      <c r="BI951" s="18"/>
      <c r="BJ951" s="18"/>
      <c r="BK951" s="18"/>
      <c r="BL951" s="18"/>
      <c r="BM951" s="18"/>
      <c r="BN951" s="18"/>
      <c r="BO951" s="18"/>
      <c r="BP951" s="18"/>
      <c r="BQ951" s="18"/>
      <c r="BR951" s="18"/>
      <c r="BS951" s="18"/>
      <c r="BT951" s="18"/>
      <c r="BU951" s="18"/>
      <c r="BV951" s="18"/>
      <c r="BW951" s="18"/>
      <c r="BX951" s="18"/>
      <c r="BY951" s="18"/>
      <c r="BZ951" s="18"/>
      <c r="CA951" s="18"/>
      <c r="CB951" s="18"/>
      <c r="CC951" s="18"/>
      <c r="CD951" s="18"/>
      <c r="CE951" s="18"/>
      <c r="CF951" s="18"/>
      <c r="CG951" s="18"/>
      <c r="CH951" s="18"/>
      <c r="CI951" s="18"/>
      <c r="CJ951" s="18"/>
      <c r="CK951" s="18"/>
      <c r="CL951" s="18"/>
      <c r="CM951" s="18"/>
      <c r="CN951" s="18"/>
      <c r="CO951" s="18"/>
      <c r="CP951" s="18"/>
      <c r="CQ951" s="18"/>
      <c r="CR951" s="18"/>
      <c r="CS951" s="18"/>
      <c r="CT951" s="18"/>
      <c r="CU951" s="18"/>
    </row>
    <row r="952" spans="1:99">
      <c r="A952" s="19"/>
      <c r="B952" s="19"/>
      <c r="C952" s="19"/>
      <c r="D952" s="19"/>
      <c r="E952" s="19"/>
      <c r="F952" s="19"/>
      <c r="G952" s="19"/>
      <c r="H952" s="19"/>
      <c r="I952" s="19"/>
      <c r="J952" s="19"/>
      <c r="K952" s="18"/>
      <c r="L952" s="18"/>
      <c r="M952" s="18"/>
      <c r="N952" s="18"/>
      <c r="O952" s="18"/>
      <c r="P952" s="18"/>
      <c r="Q952" s="18"/>
      <c r="R952" s="18"/>
      <c r="S952" s="18"/>
      <c r="T952" s="18"/>
      <c r="U952" s="18"/>
      <c r="V952" s="18"/>
      <c r="W952" s="18"/>
      <c r="X952" s="18"/>
      <c r="Y952" s="18"/>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c r="BC952" s="18"/>
      <c r="BD952" s="18"/>
      <c r="BE952" s="18"/>
      <c r="BF952" s="18"/>
      <c r="BG952" s="18"/>
      <c r="BH952" s="18"/>
      <c r="BI952" s="18"/>
      <c r="BJ952" s="18"/>
      <c r="BK952" s="18"/>
      <c r="BL952" s="18"/>
      <c r="BM952" s="18"/>
      <c r="BN952" s="18"/>
      <c r="BO952" s="18"/>
      <c r="BP952" s="18"/>
      <c r="BQ952" s="18"/>
      <c r="BR952" s="18"/>
      <c r="BS952" s="18"/>
      <c r="BT952" s="18"/>
      <c r="BU952" s="18"/>
      <c r="BV952" s="18"/>
      <c r="BW952" s="18"/>
      <c r="BX952" s="18"/>
      <c r="BY952" s="18"/>
      <c r="BZ952" s="18"/>
      <c r="CA952" s="18"/>
      <c r="CB952" s="18"/>
      <c r="CC952" s="18"/>
      <c r="CD952" s="18"/>
      <c r="CE952" s="18"/>
      <c r="CF952" s="18"/>
      <c r="CG952" s="18"/>
      <c r="CH952" s="18"/>
      <c r="CI952" s="18"/>
      <c r="CJ952" s="18"/>
      <c r="CK952" s="18"/>
      <c r="CL952" s="18"/>
      <c r="CM952" s="18"/>
      <c r="CN952" s="18"/>
      <c r="CO952" s="18"/>
      <c r="CP952" s="18"/>
      <c r="CQ952" s="18"/>
      <c r="CR952" s="18"/>
      <c r="CS952" s="18"/>
      <c r="CT952" s="18"/>
      <c r="CU952" s="18"/>
    </row>
    <row r="953" spans="1:99">
      <c r="A953" s="19"/>
      <c r="B953" s="19"/>
      <c r="C953" s="19"/>
      <c r="D953" s="19"/>
      <c r="E953" s="19"/>
      <c r="F953" s="19"/>
      <c r="G953" s="19"/>
      <c r="H953" s="19"/>
      <c r="I953" s="19"/>
      <c r="J953" s="19"/>
      <c r="K953" s="18"/>
      <c r="L953" s="18"/>
      <c r="M953" s="18"/>
      <c r="N953" s="18"/>
      <c r="O953" s="18"/>
      <c r="P953" s="18"/>
      <c r="Q953" s="18"/>
      <c r="R953" s="18"/>
      <c r="S953" s="18"/>
      <c r="T953" s="18"/>
      <c r="U953" s="18"/>
      <c r="V953" s="18"/>
      <c r="W953" s="18"/>
      <c r="X953" s="18"/>
      <c r="Y953" s="18"/>
      <c r="Z953" s="18"/>
      <c r="AA953" s="18"/>
      <c r="AB953" s="18"/>
      <c r="AC953" s="18"/>
      <c r="AD953" s="18"/>
      <c r="AE953" s="18"/>
      <c r="AF953" s="18"/>
      <c r="AG953" s="18"/>
      <c r="AH953" s="18"/>
      <c r="AI953" s="18"/>
      <c r="AJ953" s="18"/>
      <c r="AK953" s="18"/>
      <c r="AL953" s="18"/>
      <c r="AM953" s="18"/>
      <c r="AN953" s="18"/>
      <c r="AO953" s="18"/>
      <c r="AP953" s="18"/>
      <c r="AQ953" s="18"/>
      <c r="AR953" s="18"/>
      <c r="AS953" s="18"/>
      <c r="AT953" s="18"/>
      <c r="AU953" s="18"/>
      <c r="AV953" s="18"/>
      <c r="AW953" s="18"/>
      <c r="AX953" s="18"/>
      <c r="AY953" s="18"/>
      <c r="AZ953" s="18"/>
      <c r="BA953" s="18"/>
      <c r="BB953" s="18"/>
      <c r="BC953" s="18"/>
      <c r="BD953" s="18"/>
      <c r="BE953" s="18"/>
      <c r="BF953" s="18"/>
      <c r="BG953" s="18"/>
      <c r="BH953" s="18"/>
      <c r="BI953" s="18"/>
      <c r="BJ953" s="18"/>
      <c r="BK953" s="18"/>
      <c r="BL953" s="18"/>
      <c r="BM953" s="18"/>
      <c r="BN953" s="18"/>
      <c r="BO953" s="18"/>
      <c r="BP953" s="18"/>
      <c r="BQ953" s="18"/>
      <c r="BR953" s="18"/>
      <c r="BS953" s="18"/>
      <c r="BT953" s="18"/>
      <c r="BU953" s="18"/>
      <c r="BV953" s="18"/>
      <c r="BW953" s="18"/>
      <c r="BX953" s="18"/>
      <c r="BY953" s="18"/>
      <c r="BZ953" s="18"/>
      <c r="CA953" s="18"/>
      <c r="CB953" s="18"/>
      <c r="CC953" s="18"/>
      <c r="CD953" s="18"/>
      <c r="CE953" s="18"/>
      <c r="CF953" s="18"/>
      <c r="CG953" s="18"/>
      <c r="CH953" s="18"/>
      <c r="CI953" s="18"/>
      <c r="CJ953" s="18"/>
      <c r="CK953" s="18"/>
      <c r="CL953" s="18"/>
      <c r="CM953" s="18"/>
      <c r="CN953" s="18"/>
      <c r="CO953" s="18"/>
      <c r="CP953" s="18"/>
      <c r="CQ953" s="18"/>
      <c r="CR953" s="18"/>
      <c r="CS953" s="18"/>
      <c r="CT953" s="18"/>
      <c r="CU953" s="18"/>
    </row>
    <row r="954" spans="1:99">
      <c r="A954" s="19"/>
      <c r="B954" s="19"/>
      <c r="C954" s="19"/>
      <c r="D954" s="19"/>
      <c r="E954" s="19"/>
      <c r="F954" s="19"/>
      <c r="G954" s="19"/>
      <c r="H954" s="19"/>
      <c r="I954" s="19"/>
      <c r="J954" s="19"/>
      <c r="K954" s="18"/>
      <c r="L954" s="18"/>
      <c r="M954" s="18"/>
      <c r="N954" s="18"/>
      <c r="O954" s="18"/>
      <c r="P954" s="18"/>
      <c r="Q954" s="18"/>
      <c r="R954" s="18"/>
      <c r="S954" s="18"/>
      <c r="T954" s="18"/>
      <c r="U954" s="18"/>
      <c r="V954" s="18"/>
      <c r="W954" s="18"/>
      <c r="X954" s="18"/>
      <c r="Y954" s="18"/>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c r="BC954" s="18"/>
      <c r="BD954" s="18"/>
      <c r="BE954" s="18"/>
      <c r="BF954" s="18"/>
      <c r="BG954" s="18"/>
      <c r="BH954" s="18"/>
      <c r="BI954" s="18"/>
      <c r="BJ954" s="18"/>
      <c r="BK954" s="18"/>
      <c r="BL954" s="18"/>
      <c r="BM954" s="18"/>
      <c r="BN954" s="18"/>
      <c r="BO954" s="18"/>
      <c r="BP954" s="18"/>
      <c r="BQ954" s="18"/>
      <c r="BR954" s="18"/>
      <c r="BS954" s="18"/>
      <c r="BT954" s="18"/>
      <c r="BU954" s="18"/>
      <c r="BV954" s="18"/>
      <c r="BW954" s="18"/>
      <c r="BX954" s="18"/>
      <c r="BY954" s="18"/>
      <c r="BZ954" s="18"/>
      <c r="CA954" s="18"/>
      <c r="CB954" s="18"/>
      <c r="CC954" s="18"/>
      <c r="CD954" s="18"/>
      <c r="CE954" s="18"/>
      <c r="CF954" s="18"/>
      <c r="CG954" s="18"/>
      <c r="CH954" s="18"/>
      <c r="CI954" s="18"/>
      <c r="CJ954" s="18"/>
      <c r="CK954" s="18"/>
      <c r="CL954" s="18"/>
      <c r="CM954" s="18"/>
      <c r="CN954" s="18"/>
      <c r="CO954" s="18"/>
      <c r="CP954" s="18"/>
      <c r="CQ954" s="18"/>
      <c r="CR954" s="18"/>
      <c r="CS954" s="18"/>
      <c r="CT954" s="18"/>
      <c r="CU954" s="18"/>
    </row>
    <row r="955" spans="1:99">
      <c r="A955" s="19"/>
      <c r="B955" s="19"/>
      <c r="C955" s="19"/>
      <c r="D955" s="19"/>
      <c r="E955" s="19"/>
      <c r="F955" s="19"/>
      <c r="G955" s="19"/>
      <c r="H955" s="19"/>
      <c r="I955" s="19"/>
      <c r="J955" s="19"/>
      <c r="K955" s="18"/>
      <c r="L955" s="18"/>
      <c r="M955" s="18"/>
      <c r="N955" s="18"/>
      <c r="O955" s="18"/>
      <c r="P955" s="18"/>
      <c r="Q955" s="18"/>
      <c r="R955" s="18"/>
      <c r="S955" s="18"/>
      <c r="T955" s="18"/>
      <c r="U955" s="18"/>
      <c r="V955" s="18"/>
      <c r="W955" s="18"/>
      <c r="X955" s="18"/>
      <c r="Y955" s="18"/>
      <c r="Z955" s="18"/>
      <c r="AA955" s="18"/>
      <c r="AB955" s="18"/>
      <c r="AC955" s="18"/>
      <c r="AD955" s="18"/>
      <c r="AE955" s="18"/>
      <c r="AF955" s="18"/>
      <c r="AG955" s="18"/>
      <c r="AH955" s="18"/>
      <c r="AI955" s="18"/>
      <c r="AJ955" s="18"/>
      <c r="AK955" s="18"/>
      <c r="AL955" s="18"/>
      <c r="AM955" s="18"/>
      <c r="AN955" s="18"/>
      <c r="AO955" s="18"/>
      <c r="AP955" s="18"/>
      <c r="AQ955" s="18"/>
      <c r="AR955" s="18"/>
      <c r="AS955" s="18"/>
      <c r="AT955" s="18"/>
      <c r="AU955" s="18"/>
      <c r="AV955" s="18"/>
      <c r="AW955" s="18"/>
      <c r="AX955" s="18"/>
      <c r="AY955" s="18"/>
      <c r="AZ955" s="18"/>
      <c r="BA955" s="18"/>
      <c r="BB955" s="18"/>
      <c r="BC955" s="18"/>
      <c r="BD955" s="18"/>
      <c r="BE955" s="18"/>
      <c r="BF955" s="18"/>
      <c r="BG955" s="18"/>
      <c r="BH955" s="18"/>
      <c r="BI955" s="18"/>
      <c r="BJ955" s="18"/>
      <c r="BK955" s="18"/>
      <c r="BL955" s="18"/>
      <c r="BM955" s="18"/>
      <c r="BN955" s="18"/>
      <c r="BO955" s="18"/>
      <c r="BP955" s="18"/>
      <c r="BQ955" s="18"/>
      <c r="BR955" s="18"/>
      <c r="BS955" s="18"/>
      <c r="BT955" s="18"/>
      <c r="BU955" s="18"/>
      <c r="BV955" s="18"/>
      <c r="BW955" s="18"/>
      <c r="BX955" s="18"/>
      <c r="BY955" s="18"/>
      <c r="BZ955" s="18"/>
      <c r="CA955" s="18"/>
      <c r="CB955" s="18"/>
      <c r="CC955" s="18"/>
      <c r="CD955" s="18"/>
      <c r="CE955" s="18"/>
      <c r="CF955" s="18"/>
      <c r="CG955" s="18"/>
      <c r="CH955" s="18"/>
      <c r="CI955" s="18"/>
      <c r="CJ955" s="18"/>
      <c r="CK955" s="18"/>
      <c r="CL955" s="18"/>
      <c r="CM955" s="18"/>
      <c r="CN955" s="18"/>
      <c r="CO955" s="18"/>
      <c r="CP955" s="18"/>
      <c r="CQ955" s="18"/>
      <c r="CR955" s="18"/>
      <c r="CS955" s="18"/>
      <c r="CT955" s="18"/>
      <c r="CU955" s="18"/>
    </row>
    <row r="956" spans="1:99">
      <c r="A956" s="19"/>
      <c r="B956" s="19"/>
      <c r="C956" s="19"/>
      <c r="D956" s="19"/>
      <c r="E956" s="19"/>
      <c r="F956" s="19"/>
      <c r="G956" s="19"/>
      <c r="H956" s="19"/>
      <c r="I956" s="19"/>
      <c r="J956" s="19"/>
      <c r="K956" s="18"/>
      <c r="L956" s="18"/>
      <c r="M956" s="18"/>
      <c r="N956" s="18"/>
      <c r="O956" s="18"/>
      <c r="P956" s="18"/>
      <c r="Q956" s="18"/>
      <c r="R956" s="18"/>
      <c r="S956" s="18"/>
      <c r="T956" s="18"/>
      <c r="U956" s="18"/>
      <c r="V956" s="18"/>
      <c r="W956" s="18"/>
      <c r="X956" s="18"/>
      <c r="Y956" s="18"/>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c r="BC956" s="18"/>
      <c r="BD956" s="18"/>
      <c r="BE956" s="18"/>
      <c r="BF956" s="18"/>
      <c r="BG956" s="18"/>
      <c r="BH956" s="18"/>
      <c r="BI956" s="18"/>
      <c r="BJ956" s="18"/>
      <c r="BK956" s="18"/>
      <c r="BL956" s="18"/>
      <c r="BM956" s="18"/>
      <c r="BN956" s="18"/>
      <c r="BO956" s="18"/>
      <c r="BP956" s="18"/>
      <c r="BQ956" s="18"/>
      <c r="BR956" s="18"/>
      <c r="BS956" s="18"/>
      <c r="BT956" s="18"/>
      <c r="BU956" s="18"/>
      <c r="BV956" s="18"/>
      <c r="BW956" s="18"/>
      <c r="BX956" s="18"/>
      <c r="BY956" s="18"/>
      <c r="BZ956" s="18"/>
      <c r="CA956" s="18"/>
      <c r="CB956" s="18"/>
      <c r="CC956" s="18"/>
      <c r="CD956" s="18"/>
      <c r="CE956" s="18"/>
      <c r="CF956" s="18"/>
      <c r="CG956" s="18"/>
      <c r="CH956" s="18"/>
      <c r="CI956" s="18"/>
      <c r="CJ956" s="18"/>
      <c r="CK956" s="18"/>
      <c r="CL956" s="18"/>
      <c r="CM956" s="18"/>
      <c r="CN956" s="18"/>
      <c r="CO956" s="18"/>
      <c r="CP956" s="18"/>
      <c r="CQ956" s="18"/>
      <c r="CR956" s="18"/>
      <c r="CS956" s="18"/>
      <c r="CT956" s="18"/>
      <c r="CU956" s="18"/>
    </row>
    <row r="957" spans="1:99">
      <c r="A957" s="19"/>
      <c r="B957" s="19"/>
      <c r="C957" s="19"/>
      <c r="D957" s="19"/>
      <c r="E957" s="19"/>
      <c r="F957" s="19"/>
      <c r="G957" s="19"/>
      <c r="H957" s="19"/>
      <c r="I957" s="19"/>
      <c r="J957" s="19"/>
      <c r="K957" s="18"/>
      <c r="L957" s="18"/>
      <c r="M957" s="18"/>
      <c r="N957" s="18"/>
      <c r="O957" s="18"/>
      <c r="P957" s="18"/>
      <c r="Q957" s="18"/>
      <c r="R957" s="18"/>
      <c r="S957" s="18"/>
      <c r="T957" s="18"/>
      <c r="U957" s="18"/>
      <c r="V957" s="18"/>
      <c r="W957" s="18"/>
      <c r="X957" s="18"/>
      <c r="Y957" s="18"/>
      <c r="Z957" s="18"/>
      <c r="AA957" s="18"/>
      <c r="AB957" s="18"/>
      <c r="AC957" s="18"/>
      <c r="AD957" s="18"/>
      <c r="AE957" s="18"/>
      <c r="AF957" s="18"/>
      <c r="AG957" s="18"/>
      <c r="AH957" s="18"/>
      <c r="AI957" s="18"/>
      <c r="AJ957" s="18"/>
      <c r="AK957" s="18"/>
      <c r="AL957" s="18"/>
      <c r="AM957" s="18"/>
      <c r="AN957" s="18"/>
      <c r="AO957" s="18"/>
      <c r="AP957" s="18"/>
      <c r="AQ957" s="18"/>
      <c r="AR957" s="18"/>
      <c r="AS957" s="18"/>
      <c r="AT957" s="18"/>
      <c r="AU957" s="18"/>
      <c r="AV957" s="18"/>
      <c r="AW957" s="18"/>
      <c r="AX957" s="18"/>
      <c r="AY957" s="18"/>
      <c r="AZ957" s="18"/>
      <c r="BA957" s="18"/>
      <c r="BB957" s="18"/>
      <c r="BC957" s="18"/>
      <c r="BD957" s="18"/>
      <c r="BE957" s="18"/>
      <c r="BF957" s="18"/>
      <c r="BG957" s="18"/>
      <c r="BH957" s="18"/>
      <c r="BI957" s="18"/>
      <c r="BJ957" s="18"/>
      <c r="BK957" s="18"/>
      <c r="BL957" s="18"/>
      <c r="BM957" s="18"/>
      <c r="BN957" s="18"/>
      <c r="BO957" s="18"/>
      <c r="BP957" s="18"/>
      <c r="BQ957" s="18"/>
      <c r="BR957" s="18"/>
      <c r="BS957" s="18"/>
      <c r="BT957" s="18"/>
      <c r="BU957" s="18"/>
      <c r="BV957" s="18"/>
      <c r="BW957" s="18"/>
      <c r="BX957" s="18"/>
      <c r="BY957" s="18"/>
      <c r="BZ957" s="18"/>
      <c r="CA957" s="18"/>
      <c r="CB957" s="18"/>
      <c r="CC957" s="18"/>
      <c r="CD957" s="18"/>
      <c r="CE957" s="18"/>
      <c r="CF957" s="18"/>
      <c r="CG957" s="18"/>
      <c r="CH957" s="18"/>
      <c r="CI957" s="18"/>
      <c r="CJ957" s="18"/>
      <c r="CK957" s="18"/>
      <c r="CL957" s="18"/>
      <c r="CM957" s="18"/>
      <c r="CN957" s="18"/>
      <c r="CO957" s="18"/>
      <c r="CP957" s="18"/>
      <c r="CQ957" s="18"/>
      <c r="CR957" s="18"/>
      <c r="CS957" s="18"/>
      <c r="CT957" s="18"/>
      <c r="CU957" s="18"/>
    </row>
    <row r="958" spans="1:99">
      <c r="A958" s="19"/>
      <c r="B958" s="19"/>
      <c r="C958" s="19"/>
      <c r="D958" s="19"/>
      <c r="E958" s="19"/>
      <c r="F958" s="19"/>
      <c r="G958" s="19"/>
      <c r="H958" s="19"/>
      <c r="I958" s="19"/>
      <c r="J958" s="19"/>
      <c r="K958" s="18"/>
      <c r="L958" s="18"/>
      <c r="M958" s="18"/>
      <c r="N958" s="18"/>
      <c r="O958" s="18"/>
      <c r="P958" s="18"/>
      <c r="Q958" s="18"/>
      <c r="R958" s="18"/>
      <c r="S958" s="18"/>
      <c r="T958" s="18"/>
      <c r="U958" s="18"/>
      <c r="V958" s="18"/>
      <c r="W958" s="18"/>
      <c r="X958" s="18"/>
      <c r="Y958" s="18"/>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c r="BC958" s="18"/>
      <c r="BD958" s="18"/>
      <c r="BE958" s="18"/>
      <c r="BF958" s="18"/>
      <c r="BG958" s="18"/>
      <c r="BH958" s="18"/>
      <c r="BI958" s="18"/>
      <c r="BJ958" s="18"/>
      <c r="BK958" s="18"/>
      <c r="BL958" s="18"/>
      <c r="BM958" s="18"/>
      <c r="BN958" s="18"/>
      <c r="BO958" s="18"/>
      <c r="BP958" s="18"/>
      <c r="BQ958" s="18"/>
      <c r="BR958" s="18"/>
      <c r="BS958" s="18"/>
      <c r="BT958" s="18"/>
      <c r="BU958" s="18"/>
      <c r="BV958" s="18"/>
      <c r="BW958" s="18"/>
      <c r="BX958" s="18"/>
      <c r="BY958" s="18"/>
      <c r="BZ958" s="18"/>
      <c r="CA958" s="18"/>
      <c r="CB958" s="18"/>
      <c r="CC958" s="18"/>
      <c r="CD958" s="18"/>
      <c r="CE958" s="18"/>
      <c r="CF958" s="18"/>
      <c r="CG958" s="18"/>
      <c r="CH958" s="18"/>
      <c r="CI958" s="18"/>
      <c r="CJ958" s="18"/>
      <c r="CK958" s="18"/>
      <c r="CL958" s="18"/>
      <c r="CM958" s="18"/>
      <c r="CN958" s="18"/>
      <c r="CO958" s="18"/>
      <c r="CP958" s="18"/>
      <c r="CQ958" s="18"/>
      <c r="CR958" s="18"/>
      <c r="CS958" s="18"/>
      <c r="CT958" s="18"/>
      <c r="CU958" s="18"/>
    </row>
    <row r="959" spans="1:99">
      <c r="A959" s="19"/>
      <c r="B959" s="19"/>
      <c r="C959" s="19"/>
      <c r="D959" s="19"/>
      <c r="E959" s="19"/>
      <c r="F959" s="19"/>
      <c r="G959" s="19"/>
      <c r="H959" s="19"/>
      <c r="I959" s="19"/>
      <c r="J959" s="19"/>
      <c r="K959" s="18"/>
      <c r="L959" s="18"/>
      <c r="M959" s="18"/>
      <c r="N959" s="18"/>
      <c r="O959" s="18"/>
      <c r="P959" s="18"/>
      <c r="Q959" s="18"/>
      <c r="R959" s="18"/>
      <c r="S959" s="18"/>
      <c r="T959" s="18"/>
      <c r="U959" s="18"/>
      <c r="V959" s="18"/>
      <c r="W959" s="18"/>
      <c r="X959" s="18"/>
      <c r="Y959" s="18"/>
      <c r="Z959" s="18"/>
      <c r="AA959" s="18"/>
      <c r="AB959" s="18"/>
      <c r="AC959" s="18"/>
      <c r="AD959" s="18"/>
      <c r="AE959" s="18"/>
      <c r="AF959" s="18"/>
      <c r="AG959" s="18"/>
      <c r="AH959" s="18"/>
      <c r="AI959" s="18"/>
      <c r="AJ959" s="18"/>
      <c r="AK959" s="18"/>
      <c r="AL959" s="18"/>
      <c r="AM959" s="18"/>
      <c r="AN959" s="18"/>
      <c r="AO959" s="18"/>
      <c r="AP959" s="18"/>
      <c r="AQ959" s="18"/>
      <c r="AR959" s="18"/>
      <c r="AS959" s="18"/>
      <c r="AT959" s="18"/>
      <c r="AU959" s="18"/>
      <c r="AV959" s="18"/>
      <c r="AW959" s="18"/>
      <c r="AX959" s="18"/>
      <c r="AY959" s="18"/>
      <c r="AZ959" s="18"/>
      <c r="BA959" s="18"/>
      <c r="BB959" s="18"/>
      <c r="BC959" s="18"/>
      <c r="BD959" s="18"/>
      <c r="BE959" s="18"/>
      <c r="BF959" s="18"/>
      <c r="BG959" s="18"/>
      <c r="BH959" s="18"/>
      <c r="BI959" s="18"/>
      <c r="BJ959" s="18"/>
      <c r="BK959" s="18"/>
      <c r="BL959" s="18"/>
      <c r="BM959" s="18"/>
      <c r="BN959" s="18"/>
      <c r="BO959" s="18"/>
      <c r="BP959" s="18"/>
      <c r="BQ959" s="18"/>
      <c r="BR959" s="18"/>
      <c r="BS959" s="18"/>
      <c r="BT959" s="18"/>
      <c r="BU959" s="18"/>
      <c r="BV959" s="18"/>
      <c r="BW959" s="18"/>
      <c r="BX959" s="18"/>
      <c r="BY959" s="18"/>
      <c r="BZ959" s="18"/>
      <c r="CA959" s="18"/>
      <c r="CB959" s="18"/>
      <c r="CC959" s="18"/>
      <c r="CD959" s="18"/>
      <c r="CE959" s="18"/>
      <c r="CF959" s="18"/>
      <c r="CG959" s="18"/>
      <c r="CH959" s="18"/>
      <c r="CI959" s="18"/>
      <c r="CJ959" s="18"/>
      <c r="CK959" s="18"/>
      <c r="CL959" s="18"/>
      <c r="CM959" s="18"/>
      <c r="CN959" s="18"/>
      <c r="CO959" s="18"/>
      <c r="CP959" s="18"/>
      <c r="CQ959" s="18"/>
      <c r="CR959" s="18"/>
      <c r="CS959" s="18"/>
      <c r="CT959" s="18"/>
      <c r="CU959" s="18"/>
    </row>
    <row r="960" spans="1:99">
      <c r="A960" s="19"/>
      <c r="B960" s="19"/>
      <c r="C960" s="19"/>
      <c r="D960" s="19"/>
      <c r="E960" s="19"/>
      <c r="F960" s="19"/>
      <c r="G960" s="19"/>
      <c r="H960" s="19"/>
      <c r="I960" s="19"/>
      <c r="J960" s="19"/>
      <c r="K960" s="18"/>
      <c r="L960" s="18"/>
      <c r="M960" s="18"/>
      <c r="N960" s="18"/>
      <c r="O960" s="18"/>
      <c r="P960" s="18"/>
      <c r="Q960" s="18"/>
      <c r="R960" s="18"/>
      <c r="S960" s="18"/>
      <c r="T960" s="18"/>
      <c r="U960" s="18"/>
      <c r="V960" s="18"/>
      <c r="W960" s="18"/>
      <c r="X960" s="18"/>
      <c r="Y960" s="18"/>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c r="BC960" s="18"/>
      <c r="BD960" s="18"/>
      <c r="BE960" s="18"/>
      <c r="BF960" s="18"/>
      <c r="BG960" s="18"/>
      <c r="BH960" s="18"/>
      <c r="BI960" s="18"/>
      <c r="BJ960" s="18"/>
      <c r="BK960" s="18"/>
      <c r="BL960" s="18"/>
      <c r="BM960" s="18"/>
      <c r="BN960" s="18"/>
      <c r="BO960" s="18"/>
      <c r="BP960" s="18"/>
      <c r="BQ960" s="18"/>
      <c r="BR960" s="18"/>
      <c r="BS960" s="18"/>
      <c r="BT960" s="18"/>
      <c r="BU960" s="18"/>
      <c r="BV960" s="18"/>
      <c r="BW960" s="18"/>
      <c r="BX960" s="18"/>
      <c r="BY960" s="18"/>
      <c r="BZ960" s="18"/>
      <c r="CA960" s="18"/>
      <c r="CB960" s="18"/>
      <c r="CC960" s="18"/>
      <c r="CD960" s="18"/>
      <c r="CE960" s="18"/>
      <c r="CF960" s="18"/>
      <c r="CG960" s="18"/>
      <c r="CH960" s="18"/>
      <c r="CI960" s="18"/>
      <c r="CJ960" s="18"/>
      <c r="CK960" s="18"/>
      <c r="CL960" s="18"/>
      <c r="CM960" s="18"/>
      <c r="CN960" s="18"/>
      <c r="CO960" s="18"/>
      <c r="CP960" s="18"/>
      <c r="CQ960" s="18"/>
      <c r="CR960" s="18"/>
      <c r="CS960" s="18"/>
      <c r="CT960" s="18"/>
      <c r="CU960" s="18"/>
    </row>
    <row r="961" spans="1:99">
      <c r="A961" s="19"/>
      <c r="B961" s="19"/>
      <c r="C961" s="19"/>
      <c r="D961" s="19"/>
      <c r="E961" s="19"/>
      <c r="F961" s="19"/>
      <c r="G961" s="19"/>
      <c r="H961" s="19"/>
      <c r="I961" s="19"/>
      <c r="J961" s="19"/>
      <c r="K961" s="18"/>
      <c r="L961" s="18"/>
      <c r="M961" s="18"/>
      <c r="N961" s="18"/>
      <c r="O961" s="18"/>
      <c r="P961" s="18"/>
      <c r="Q961" s="18"/>
      <c r="R961" s="18"/>
      <c r="S961" s="18"/>
      <c r="T961" s="18"/>
      <c r="U961" s="18"/>
      <c r="V961" s="18"/>
      <c r="W961" s="18"/>
      <c r="X961" s="18"/>
      <c r="Y961" s="18"/>
      <c r="Z961" s="18"/>
      <c r="AA961" s="18"/>
      <c r="AB961" s="18"/>
      <c r="AC961" s="18"/>
      <c r="AD961" s="18"/>
      <c r="AE961" s="18"/>
      <c r="AF961" s="18"/>
      <c r="AG961" s="18"/>
      <c r="AH961" s="18"/>
      <c r="AI961" s="18"/>
      <c r="AJ961" s="18"/>
      <c r="AK961" s="18"/>
      <c r="AL961" s="18"/>
      <c r="AM961" s="18"/>
      <c r="AN961" s="18"/>
      <c r="AO961" s="18"/>
      <c r="AP961" s="18"/>
      <c r="AQ961" s="18"/>
      <c r="AR961" s="18"/>
      <c r="AS961" s="18"/>
      <c r="AT961" s="18"/>
      <c r="AU961" s="18"/>
      <c r="AV961" s="18"/>
      <c r="AW961" s="18"/>
      <c r="AX961" s="18"/>
      <c r="AY961" s="18"/>
      <c r="AZ961" s="18"/>
      <c r="BA961" s="18"/>
      <c r="BB961" s="18"/>
      <c r="BC961" s="18"/>
      <c r="BD961" s="18"/>
      <c r="BE961" s="18"/>
      <c r="BF961" s="18"/>
      <c r="BG961" s="18"/>
      <c r="BH961" s="18"/>
      <c r="BI961" s="18"/>
      <c r="BJ961" s="18"/>
      <c r="BK961" s="18"/>
      <c r="BL961" s="18"/>
      <c r="BM961" s="18"/>
      <c r="BN961" s="18"/>
      <c r="BO961" s="18"/>
      <c r="BP961" s="18"/>
      <c r="BQ961" s="18"/>
      <c r="BR961" s="18"/>
      <c r="BS961" s="18"/>
      <c r="BT961" s="18"/>
      <c r="BU961" s="18"/>
      <c r="BV961" s="18"/>
      <c r="BW961" s="18"/>
      <c r="BX961" s="18"/>
      <c r="BY961" s="18"/>
      <c r="BZ961" s="18"/>
      <c r="CA961" s="18"/>
      <c r="CB961" s="18"/>
      <c r="CC961" s="18"/>
      <c r="CD961" s="18"/>
      <c r="CE961" s="18"/>
      <c r="CF961" s="18"/>
      <c r="CG961" s="18"/>
      <c r="CH961" s="18"/>
      <c r="CI961" s="18"/>
      <c r="CJ961" s="18"/>
      <c r="CK961" s="18"/>
      <c r="CL961" s="18"/>
      <c r="CM961" s="18"/>
      <c r="CN961" s="18"/>
      <c r="CO961" s="18"/>
      <c r="CP961" s="18"/>
      <c r="CQ961" s="18"/>
      <c r="CR961" s="18"/>
      <c r="CS961" s="18"/>
      <c r="CT961" s="18"/>
      <c r="CU961" s="18"/>
    </row>
    <row r="962" spans="1:99">
      <c r="A962" s="19"/>
      <c r="B962" s="19"/>
      <c r="C962" s="19"/>
      <c r="D962" s="19"/>
      <c r="E962" s="19"/>
      <c r="F962" s="19"/>
      <c r="G962" s="19"/>
      <c r="H962" s="19"/>
      <c r="I962" s="19"/>
      <c r="J962" s="19"/>
      <c r="K962" s="18"/>
      <c r="L962" s="18"/>
      <c r="M962" s="18"/>
      <c r="N962" s="18"/>
      <c r="O962" s="18"/>
      <c r="P962" s="18"/>
      <c r="Q962" s="18"/>
      <c r="R962" s="18"/>
      <c r="S962" s="18"/>
      <c r="T962" s="18"/>
      <c r="U962" s="18"/>
      <c r="V962" s="18"/>
      <c r="W962" s="18"/>
      <c r="X962" s="18"/>
      <c r="Y962" s="18"/>
      <c r="Z962" s="18"/>
      <c r="AA962" s="18"/>
      <c r="AB962" s="18"/>
      <c r="AC962" s="18"/>
      <c r="AD962" s="18"/>
      <c r="AE962" s="18"/>
      <c r="AF962" s="18"/>
      <c r="AG962" s="18"/>
      <c r="AH962" s="18"/>
      <c r="AI962" s="18"/>
      <c r="AJ962" s="18"/>
      <c r="AK962" s="18"/>
      <c r="AL962" s="18"/>
      <c r="AM962" s="18"/>
      <c r="AN962" s="18"/>
      <c r="AO962" s="18"/>
      <c r="AP962" s="18"/>
      <c r="AQ962" s="18"/>
      <c r="AR962" s="18"/>
      <c r="AS962" s="18"/>
      <c r="AT962" s="18"/>
      <c r="AU962" s="18"/>
      <c r="AV962" s="18"/>
      <c r="AW962" s="18"/>
      <c r="AX962" s="18"/>
      <c r="AY962" s="18"/>
      <c r="AZ962" s="18"/>
      <c r="BA962" s="18"/>
      <c r="BB962" s="18"/>
      <c r="BC962" s="18"/>
      <c r="BD962" s="18"/>
      <c r="BE962" s="18"/>
      <c r="BF962" s="18"/>
      <c r="BG962" s="18"/>
      <c r="BH962" s="18"/>
      <c r="BI962" s="18"/>
      <c r="BJ962" s="18"/>
      <c r="BK962" s="18"/>
      <c r="BL962" s="18"/>
      <c r="BM962" s="18"/>
      <c r="BN962" s="18"/>
      <c r="BO962" s="18"/>
      <c r="BP962" s="18"/>
      <c r="BQ962" s="18"/>
      <c r="BR962" s="18"/>
      <c r="BS962" s="18"/>
      <c r="BT962" s="18"/>
      <c r="BU962" s="18"/>
      <c r="BV962" s="18"/>
      <c r="BW962" s="18"/>
      <c r="BX962" s="18"/>
      <c r="BY962" s="18"/>
      <c r="BZ962" s="18"/>
      <c r="CA962" s="18"/>
      <c r="CB962" s="18"/>
      <c r="CC962" s="18"/>
      <c r="CD962" s="18"/>
      <c r="CE962" s="18"/>
      <c r="CF962" s="18"/>
      <c r="CG962" s="18"/>
      <c r="CH962" s="18"/>
      <c r="CI962" s="18"/>
      <c r="CJ962" s="18"/>
      <c r="CK962" s="18"/>
      <c r="CL962" s="18"/>
      <c r="CM962" s="18"/>
      <c r="CN962" s="18"/>
      <c r="CO962" s="18"/>
      <c r="CP962" s="18"/>
      <c r="CQ962" s="18"/>
      <c r="CR962" s="18"/>
      <c r="CS962" s="18"/>
      <c r="CT962" s="18"/>
      <c r="CU962" s="18"/>
    </row>
    <row r="963" spans="1:99">
      <c r="A963" s="19"/>
      <c r="B963" s="19"/>
      <c r="C963" s="19"/>
      <c r="D963" s="19"/>
      <c r="E963" s="19"/>
      <c r="F963" s="19"/>
      <c r="G963" s="19"/>
      <c r="H963" s="19"/>
      <c r="I963" s="19"/>
      <c r="J963" s="19"/>
      <c r="K963" s="18"/>
      <c r="L963" s="18"/>
      <c r="M963" s="18"/>
      <c r="N963" s="18"/>
      <c r="O963" s="18"/>
      <c r="P963" s="18"/>
      <c r="Q963" s="18"/>
      <c r="R963" s="18"/>
      <c r="S963" s="18"/>
      <c r="T963" s="18"/>
      <c r="U963" s="18"/>
      <c r="V963" s="18"/>
      <c r="W963" s="18"/>
      <c r="X963" s="18"/>
      <c r="Y963" s="18"/>
      <c r="Z963" s="18"/>
      <c r="AA963" s="18"/>
      <c r="AB963" s="18"/>
      <c r="AC963" s="18"/>
      <c r="AD963" s="18"/>
      <c r="AE963" s="18"/>
      <c r="AF963" s="18"/>
      <c r="AG963" s="18"/>
      <c r="AH963" s="18"/>
      <c r="AI963" s="18"/>
      <c r="AJ963" s="18"/>
      <c r="AK963" s="18"/>
      <c r="AL963" s="18"/>
      <c r="AM963" s="18"/>
      <c r="AN963" s="18"/>
      <c r="AO963" s="18"/>
      <c r="AP963" s="18"/>
      <c r="AQ963" s="18"/>
      <c r="AR963" s="18"/>
      <c r="AS963" s="18"/>
      <c r="AT963" s="18"/>
      <c r="AU963" s="18"/>
      <c r="AV963" s="18"/>
      <c r="AW963" s="18"/>
      <c r="AX963" s="18"/>
      <c r="AY963" s="18"/>
      <c r="AZ963" s="18"/>
      <c r="BA963" s="18"/>
      <c r="BB963" s="18"/>
      <c r="BC963" s="18"/>
      <c r="BD963" s="18"/>
      <c r="BE963" s="18"/>
      <c r="BF963" s="18"/>
      <c r="BG963" s="18"/>
      <c r="BH963" s="18"/>
      <c r="BI963" s="18"/>
      <c r="BJ963" s="18"/>
      <c r="BK963" s="18"/>
      <c r="BL963" s="18"/>
      <c r="BM963" s="18"/>
      <c r="BN963" s="18"/>
      <c r="BO963" s="18"/>
      <c r="BP963" s="18"/>
      <c r="BQ963" s="18"/>
      <c r="BR963" s="18"/>
      <c r="BS963" s="18"/>
      <c r="BT963" s="18"/>
      <c r="BU963" s="18"/>
      <c r="BV963" s="18"/>
      <c r="BW963" s="18"/>
      <c r="BX963" s="18"/>
      <c r="BY963" s="18"/>
      <c r="BZ963" s="18"/>
      <c r="CA963" s="18"/>
      <c r="CB963" s="18"/>
      <c r="CC963" s="18"/>
      <c r="CD963" s="18"/>
      <c r="CE963" s="18"/>
      <c r="CF963" s="18"/>
      <c r="CG963" s="18"/>
      <c r="CH963" s="18"/>
      <c r="CI963" s="18"/>
      <c r="CJ963" s="18"/>
      <c r="CK963" s="18"/>
      <c r="CL963" s="18"/>
      <c r="CM963" s="18"/>
      <c r="CN963" s="18"/>
      <c r="CO963" s="18"/>
      <c r="CP963" s="18"/>
      <c r="CQ963" s="18"/>
      <c r="CR963" s="18"/>
      <c r="CS963" s="18"/>
      <c r="CT963" s="18"/>
      <c r="CU963" s="18"/>
    </row>
    <row r="964" spans="1:99">
      <c r="A964" s="19"/>
      <c r="B964" s="19"/>
      <c r="C964" s="19"/>
      <c r="D964" s="19"/>
      <c r="E964" s="19"/>
      <c r="F964" s="19"/>
      <c r="G964" s="19"/>
      <c r="H964" s="19"/>
      <c r="I964" s="19"/>
      <c r="J964" s="19"/>
      <c r="K964" s="18"/>
      <c r="L964" s="18"/>
      <c r="M964" s="18"/>
      <c r="N964" s="18"/>
      <c r="O964" s="18"/>
      <c r="P964" s="18"/>
      <c r="Q964" s="18"/>
      <c r="R964" s="18"/>
      <c r="S964" s="18"/>
      <c r="T964" s="18"/>
      <c r="U964" s="18"/>
      <c r="V964" s="18"/>
      <c r="W964" s="18"/>
      <c r="X964" s="18"/>
      <c r="Y964" s="18"/>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c r="BC964" s="18"/>
      <c r="BD964" s="18"/>
      <c r="BE964" s="18"/>
      <c r="BF964" s="18"/>
      <c r="BG964" s="18"/>
      <c r="BH964" s="18"/>
      <c r="BI964" s="18"/>
      <c r="BJ964" s="18"/>
      <c r="BK964" s="18"/>
      <c r="BL964" s="18"/>
      <c r="BM964" s="18"/>
      <c r="BN964" s="18"/>
      <c r="BO964" s="18"/>
      <c r="BP964" s="18"/>
      <c r="BQ964" s="18"/>
      <c r="BR964" s="18"/>
      <c r="BS964" s="18"/>
      <c r="BT964" s="18"/>
      <c r="BU964" s="18"/>
      <c r="BV964" s="18"/>
      <c r="BW964" s="18"/>
      <c r="BX964" s="18"/>
      <c r="BY964" s="18"/>
      <c r="BZ964" s="18"/>
      <c r="CA964" s="18"/>
      <c r="CB964" s="18"/>
      <c r="CC964" s="18"/>
      <c r="CD964" s="18"/>
      <c r="CE964" s="18"/>
      <c r="CF964" s="18"/>
      <c r="CG964" s="18"/>
      <c r="CH964" s="18"/>
      <c r="CI964" s="18"/>
      <c r="CJ964" s="18"/>
      <c r="CK964" s="18"/>
      <c r="CL964" s="18"/>
      <c r="CM964" s="18"/>
      <c r="CN964" s="18"/>
      <c r="CO964" s="18"/>
      <c r="CP964" s="18"/>
      <c r="CQ964" s="18"/>
      <c r="CR964" s="18"/>
      <c r="CS964" s="18"/>
      <c r="CT964" s="18"/>
      <c r="CU964" s="18"/>
    </row>
    <row r="965" spans="1:99">
      <c r="A965" s="19"/>
      <c r="B965" s="19"/>
      <c r="C965" s="19"/>
      <c r="D965" s="19"/>
      <c r="E965" s="19"/>
      <c r="F965" s="19"/>
      <c r="G965" s="19"/>
      <c r="H965" s="19"/>
      <c r="I965" s="19"/>
      <c r="J965" s="19"/>
      <c r="K965" s="18"/>
      <c r="L965" s="18"/>
      <c r="M965" s="18"/>
      <c r="N965" s="18"/>
      <c r="O965" s="18"/>
      <c r="P965" s="18"/>
      <c r="Q965" s="18"/>
      <c r="R965" s="18"/>
      <c r="S965" s="18"/>
      <c r="T965" s="18"/>
      <c r="U965" s="18"/>
      <c r="V965" s="18"/>
      <c r="W965" s="18"/>
      <c r="X965" s="18"/>
      <c r="Y965" s="18"/>
      <c r="Z965" s="18"/>
      <c r="AA965" s="18"/>
      <c r="AB965" s="18"/>
      <c r="AC965" s="18"/>
      <c r="AD965" s="18"/>
      <c r="AE965" s="18"/>
      <c r="AF965" s="18"/>
      <c r="AG965" s="18"/>
      <c r="AH965" s="18"/>
      <c r="AI965" s="18"/>
      <c r="AJ965" s="18"/>
      <c r="AK965" s="18"/>
      <c r="AL965" s="18"/>
      <c r="AM965" s="18"/>
      <c r="AN965" s="18"/>
      <c r="AO965" s="18"/>
      <c r="AP965" s="18"/>
      <c r="AQ965" s="18"/>
      <c r="AR965" s="18"/>
      <c r="AS965" s="18"/>
      <c r="AT965" s="18"/>
      <c r="AU965" s="18"/>
      <c r="AV965" s="18"/>
      <c r="AW965" s="18"/>
      <c r="AX965" s="18"/>
      <c r="AY965" s="18"/>
      <c r="AZ965" s="18"/>
      <c r="BA965" s="18"/>
      <c r="BB965" s="18"/>
      <c r="BC965" s="18"/>
      <c r="BD965" s="18"/>
      <c r="BE965" s="18"/>
      <c r="BF965" s="18"/>
      <c r="BG965" s="18"/>
      <c r="BH965" s="18"/>
      <c r="BI965" s="18"/>
      <c r="BJ965" s="18"/>
      <c r="BK965" s="18"/>
      <c r="BL965" s="18"/>
      <c r="BM965" s="18"/>
      <c r="BN965" s="18"/>
      <c r="BO965" s="18"/>
      <c r="BP965" s="18"/>
      <c r="BQ965" s="18"/>
      <c r="BR965" s="18"/>
      <c r="BS965" s="18"/>
      <c r="BT965" s="18"/>
      <c r="BU965" s="18"/>
      <c r="BV965" s="18"/>
      <c r="BW965" s="18"/>
      <c r="BX965" s="18"/>
      <c r="BY965" s="18"/>
      <c r="BZ965" s="18"/>
      <c r="CA965" s="18"/>
      <c r="CB965" s="18"/>
      <c r="CC965" s="18"/>
      <c r="CD965" s="18"/>
      <c r="CE965" s="18"/>
      <c r="CF965" s="18"/>
      <c r="CG965" s="18"/>
      <c r="CH965" s="18"/>
      <c r="CI965" s="18"/>
      <c r="CJ965" s="18"/>
      <c r="CK965" s="18"/>
      <c r="CL965" s="18"/>
      <c r="CM965" s="18"/>
      <c r="CN965" s="18"/>
      <c r="CO965" s="18"/>
      <c r="CP965" s="18"/>
      <c r="CQ965" s="18"/>
      <c r="CR965" s="18"/>
      <c r="CS965" s="18"/>
      <c r="CT965" s="18"/>
      <c r="CU965" s="18"/>
    </row>
    <row r="966" spans="1:99">
      <c r="A966" s="19"/>
      <c r="B966" s="19"/>
      <c r="C966" s="19"/>
      <c r="D966" s="19"/>
      <c r="E966" s="19"/>
      <c r="F966" s="19"/>
      <c r="G966" s="19"/>
      <c r="H966" s="19"/>
      <c r="I966" s="19"/>
      <c r="J966" s="19"/>
      <c r="K966" s="18"/>
      <c r="L966" s="18"/>
      <c r="M966" s="18"/>
      <c r="N966" s="18"/>
      <c r="O966" s="18"/>
      <c r="P966" s="18"/>
      <c r="Q966" s="18"/>
      <c r="R966" s="18"/>
      <c r="S966" s="18"/>
      <c r="T966" s="18"/>
      <c r="U966" s="18"/>
      <c r="V966" s="18"/>
      <c r="W966" s="18"/>
      <c r="X966" s="18"/>
      <c r="Y966" s="18"/>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c r="BC966" s="18"/>
      <c r="BD966" s="18"/>
      <c r="BE966" s="18"/>
      <c r="BF966" s="18"/>
      <c r="BG966" s="18"/>
      <c r="BH966" s="18"/>
      <c r="BI966" s="18"/>
      <c r="BJ966" s="18"/>
      <c r="BK966" s="18"/>
      <c r="BL966" s="18"/>
      <c r="BM966" s="18"/>
      <c r="BN966" s="18"/>
      <c r="BO966" s="18"/>
      <c r="BP966" s="18"/>
      <c r="BQ966" s="18"/>
      <c r="BR966" s="18"/>
      <c r="BS966" s="18"/>
      <c r="BT966" s="18"/>
      <c r="BU966" s="18"/>
      <c r="BV966" s="18"/>
      <c r="BW966" s="18"/>
      <c r="BX966" s="18"/>
      <c r="BY966" s="18"/>
      <c r="BZ966" s="18"/>
      <c r="CA966" s="18"/>
      <c r="CB966" s="18"/>
      <c r="CC966" s="18"/>
      <c r="CD966" s="18"/>
      <c r="CE966" s="18"/>
      <c r="CF966" s="18"/>
      <c r="CG966" s="18"/>
      <c r="CH966" s="18"/>
      <c r="CI966" s="18"/>
      <c r="CJ966" s="18"/>
      <c r="CK966" s="18"/>
      <c r="CL966" s="18"/>
      <c r="CM966" s="18"/>
      <c r="CN966" s="18"/>
      <c r="CO966" s="18"/>
      <c r="CP966" s="18"/>
      <c r="CQ966" s="18"/>
      <c r="CR966" s="18"/>
      <c r="CS966" s="18"/>
      <c r="CT966" s="18"/>
      <c r="CU966" s="18"/>
    </row>
    <row r="967" spans="1:99">
      <c r="A967" s="19"/>
      <c r="B967" s="19"/>
      <c r="C967" s="19"/>
      <c r="D967" s="19"/>
      <c r="E967" s="19"/>
      <c r="F967" s="19"/>
      <c r="G967" s="19"/>
      <c r="H967" s="19"/>
      <c r="I967" s="19"/>
      <c r="J967" s="19"/>
      <c r="K967" s="18"/>
      <c r="L967" s="18"/>
      <c r="M967" s="18"/>
      <c r="N967" s="18"/>
      <c r="O967" s="18"/>
      <c r="P967" s="18"/>
      <c r="Q967" s="18"/>
      <c r="R967" s="18"/>
      <c r="S967" s="18"/>
      <c r="T967" s="18"/>
      <c r="U967" s="18"/>
      <c r="V967" s="18"/>
      <c r="W967" s="18"/>
      <c r="X967" s="18"/>
      <c r="Y967" s="18"/>
      <c r="Z967" s="18"/>
      <c r="AA967" s="18"/>
      <c r="AB967" s="18"/>
      <c r="AC967" s="18"/>
      <c r="AD967" s="18"/>
      <c r="AE967" s="18"/>
      <c r="AF967" s="18"/>
      <c r="AG967" s="18"/>
      <c r="AH967" s="18"/>
      <c r="AI967" s="18"/>
      <c r="AJ967" s="18"/>
      <c r="AK967" s="18"/>
      <c r="AL967" s="18"/>
      <c r="AM967" s="18"/>
      <c r="AN967" s="18"/>
      <c r="AO967" s="18"/>
      <c r="AP967" s="18"/>
      <c r="AQ967" s="18"/>
      <c r="AR967" s="18"/>
      <c r="AS967" s="18"/>
      <c r="AT967" s="18"/>
      <c r="AU967" s="18"/>
      <c r="AV967" s="18"/>
      <c r="AW967" s="18"/>
      <c r="AX967" s="18"/>
      <c r="AY967" s="18"/>
      <c r="AZ967" s="18"/>
      <c r="BA967" s="18"/>
      <c r="BB967" s="18"/>
      <c r="BC967" s="18"/>
      <c r="BD967" s="18"/>
      <c r="BE967" s="18"/>
      <c r="BF967" s="18"/>
      <c r="BG967" s="18"/>
      <c r="BH967" s="18"/>
      <c r="BI967" s="18"/>
      <c r="BJ967" s="18"/>
      <c r="BK967" s="18"/>
      <c r="BL967" s="18"/>
      <c r="BM967" s="18"/>
      <c r="BN967" s="18"/>
      <c r="BO967" s="18"/>
      <c r="BP967" s="18"/>
      <c r="BQ967" s="18"/>
      <c r="BR967" s="18"/>
      <c r="BS967" s="18"/>
      <c r="BT967" s="18"/>
      <c r="BU967" s="18"/>
      <c r="BV967" s="18"/>
      <c r="BW967" s="18"/>
      <c r="BX967" s="18"/>
      <c r="BY967" s="18"/>
      <c r="BZ967" s="18"/>
      <c r="CA967" s="18"/>
      <c r="CB967" s="18"/>
      <c r="CC967" s="18"/>
      <c r="CD967" s="18"/>
      <c r="CE967" s="18"/>
      <c r="CF967" s="18"/>
      <c r="CG967" s="18"/>
      <c r="CH967" s="18"/>
      <c r="CI967" s="18"/>
      <c r="CJ967" s="18"/>
      <c r="CK967" s="18"/>
      <c r="CL967" s="18"/>
      <c r="CM967" s="18"/>
      <c r="CN967" s="18"/>
      <c r="CO967" s="18"/>
      <c r="CP967" s="18"/>
      <c r="CQ967" s="18"/>
      <c r="CR967" s="18"/>
      <c r="CS967" s="18"/>
      <c r="CT967" s="18"/>
      <c r="CU967" s="18"/>
    </row>
    <row r="968" spans="1:99">
      <c r="A968" s="19"/>
      <c r="B968" s="19"/>
      <c r="C968" s="19"/>
      <c r="D968" s="19"/>
      <c r="E968" s="19"/>
      <c r="F968" s="19"/>
      <c r="G968" s="19"/>
      <c r="H968" s="19"/>
      <c r="I968" s="19"/>
      <c r="J968" s="19"/>
      <c r="K968" s="18"/>
      <c r="L968" s="18"/>
      <c r="M968" s="18"/>
      <c r="N968" s="18"/>
      <c r="O968" s="18"/>
      <c r="P968" s="18"/>
      <c r="Q968" s="18"/>
      <c r="R968" s="18"/>
      <c r="S968" s="18"/>
      <c r="T968" s="18"/>
      <c r="U968" s="18"/>
      <c r="V968" s="18"/>
      <c r="W968" s="18"/>
      <c r="X968" s="18"/>
      <c r="Y968" s="18"/>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c r="BC968" s="18"/>
      <c r="BD968" s="18"/>
      <c r="BE968" s="18"/>
      <c r="BF968" s="18"/>
      <c r="BG968" s="18"/>
      <c r="BH968" s="18"/>
      <c r="BI968" s="18"/>
      <c r="BJ968" s="18"/>
      <c r="BK968" s="18"/>
      <c r="BL968" s="18"/>
      <c r="BM968" s="18"/>
      <c r="BN968" s="18"/>
      <c r="BO968" s="18"/>
      <c r="BP968" s="18"/>
      <c r="BQ968" s="18"/>
      <c r="BR968" s="18"/>
      <c r="BS968" s="18"/>
      <c r="BT968" s="18"/>
      <c r="BU968" s="18"/>
      <c r="BV968" s="18"/>
      <c r="BW968" s="18"/>
      <c r="BX968" s="18"/>
      <c r="BY968" s="18"/>
      <c r="BZ968" s="18"/>
      <c r="CA968" s="18"/>
      <c r="CB968" s="18"/>
      <c r="CC968" s="18"/>
      <c r="CD968" s="18"/>
      <c r="CE968" s="18"/>
      <c r="CF968" s="18"/>
      <c r="CG968" s="18"/>
      <c r="CH968" s="18"/>
      <c r="CI968" s="18"/>
      <c r="CJ968" s="18"/>
      <c r="CK968" s="18"/>
      <c r="CL968" s="18"/>
      <c r="CM968" s="18"/>
      <c r="CN968" s="18"/>
      <c r="CO968" s="18"/>
      <c r="CP968" s="18"/>
      <c r="CQ968" s="18"/>
      <c r="CR968" s="18"/>
      <c r="CS968" s="18"/>
      <c r="CT968" s="18"/>
      <c r="CU968" s="18"/>
    </row>
    <row r="969" spans="1:99">
      <c r="A969" s="19"/>
      <c r="B969" s="19"/>
      <c r="C969" s="19"/>
      <c r="D969" s="19"/>
      <c r="E969" s="19"/>
      <c r="F969" s="19"/>
      <c r="G969" s="19"/>
      <c r="H969" s="19"/>
      <c r="I969" s="19"/>
      <c r="J969" s="19"/>
      <c r="K969" s="18"/>
      <c r="L969" s="18"/>
      <c r="M969" s="18"/>
      <c r="N969" s="18"/>
      <c r="O969" s="18"/>
      <c r="P969" s="18"/>
      <c r="Q969" s="18"/>
      <c r="R969" s="18"/>
      <c r="S969" s="18"/>
      <c r="T969" s="18"/>
      <c r="U969" s="18"/>
      <c r="V969" s="18"/>
      <c r="W969" s="18"/>
      <c r="X969" s="18"/>
      <c r="Y969" s="18"/>
      <c r="Z969" s="18"/>
      <c r="AA969" s="18"/>
      <c r="AB969" s="18"/>
      <c r="AC969" s="18"/>
      <c r="AD969" s="18"/>
      <c r="AE969" s="18"/>
      <c r="AF969" s="18"/>
      <c r="AG969" s="18"/>
      <c r="AH969" s="18"/>
      <c r="AI969" s="18"/>
      <c r="AJ969" s="18"/>
      <c r="AK969" s="18"/>
      <c r="AL969" s="18"/>
      <c r="AM969" s="18"/>
      <c r="AN969" s="18"/>
      <c r="AO969" s="18"/>
      <c r="AP969" s="18"/>
      <c r="AQ969" s="18"/>
      <c r="AR969" s="18"/>
      <c r="AS969" s="18"/>
      <c r="AT969" s="18"/>
      <c r="AU969" s="18"/>
      <c r="AV969" s="18"/>
      <c r="AW969" s="18"/>
      <c r="AX969" s="18"/>
      <c r="AY969" s="18"/>
      <c r="AZ969" s="18"/>
      <c r="BA969" s="18"/>
      <c r="BB969" s="18"/>
      <c r="BC969" s="18"/>
      <c r="BD969" s="18"/>
      <c r="BE969" s="18"/>
      <c r="BF969" s="18"/>
      <c r="BG969" s="18"/>
      <c r="BH969" s="18"/>
      <c r="BI969" s="18"/>
      <c r="BJ969" s="18"/>
      <c r="BK969" s="18"/>
      <c r="BL969" s="18"/>
      <c r="BM969" s="18"/>
      <c r="BN969" s="18"/>
      <c r="BO969" s="18"/>
      <c r="BP969" s="18"/>
      <c r="BQ969" s="18"/>
      <c r="BR969" s="18"/>
      <c r="BS969" s="18"/>
      <c r="BT969" s="18"/>
      <c r="BU969" s="18"/>
      <c r="BV969" s="18"/>
      <c r="BW969" s="18"/>
      <c r="BX969" s="18"/>
      <c r="BY969" s="18"/>
      <c r="BZ969" s="18"/>
      <c r="CA969" s="18"/>
      <c r="CB969" s="18"/>
      <c r="CC969" s="18"/>
      <c r="CD969" s="18"/>
      <c r="CE969" s="18"/>
      <c r="CF969" s="18"/>
      <c r="CG969" s="18"/>
      <c r="CH969" s="18"/>
      <c r="CI969" s="18"/>
      <c r="CJ969" s="18"/>
      <c r="CK969" s="18"/>
      <c r="CL969" s="18"/>
      <c r="CM969" s="18"/>
      <c r="CN969" s="18"/>
      <c r="CO969" s="18"/>
      <c r="CP969" s="18"/>
      <c r="CQ969" s="18"/>
      <c r="CR969" s="18"/>
      <c r="CS969" s="18"/>
      <c r="CT969" s="18"/>
      <c r="CU969" s="18"/>
    </row>
    <row r="970" spans="1:99">
      <c r="A970" s="19"/>
      <c r="B970" s="19"/>
      <c r="C970" s="19"/>
      <c r="D970" s="19"/>
      <c r="E970" s="19"/>
      <c r="F970" s="19"/>
      <c r="G970" s="19"/>
      <c r="H970" s="19"/>
      <c r="I970" s="19"/>
      <c r="J970" s="19"/>
      <c r="K970" s="18"/>
      <c r="L970" s="18"/>
      <c r="M970" s="18"/>
      <c r="N970" s="18"/>
      <c r="O970" s="18"/>
      <c r="P970" s="18"/>
      <c r="Q970" s="18"/>
      <c r="R970" s="18"/>
      <c r="S970" s="18"/>
      <c r="T970" s="18"/>
      <c r="U970" s="18"/>
      <c r="V970" s="18"/>
      <c r="W970" s="18"/>
      <c r="X970" s="18"/>
      <c r="Y970" s="18"/>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c r="BC970" s="18"/>
      <c r="BD970" s="18"/>
      <c r="BE970" s="18"/>
      <c r="BF970" s="18"/>
      <c r="BG970" s="18"/>
      <c r="BH970" s="18"/>
      <c r="BI970" s="18"/>
      <c r="BJ970" s="18"/>
      <c r="BK970" s="18"/>
      <c r="BL970" s="18"/>
      <c r="BM970" s="18"/>
      <c r="BN970" s="18"/>
      <c r="BO970" s="18"/>
      <c r="BP970" s="18"/>
      <c r="BQ970" s="18"/>
      <c r="BR970" s="18"/>
      <c r="BS970" s="18"/>
      <c r="BT970" s="18"/>
      <c r="BU970" s="18"/>
      <c r="BV970" s="18"/>
      <c r="BW970" s="18"/>
      <c r="BX970" s="18"/>
      <c r="BY970" s="18"/>
      <c r="BZ970" s="18"/>
      <c r="CA970" s="18"/>
      <c r="CB970" s="18"/>
      <c r="CC970" s="18"/>
      <c r="CD970" s="18"/>
      <c r="CE970" s="18"/>
      <c r="CF970" s="18"/>
      <c r="CG970" s="18"/>
      <c r="CH970" s="18"/>
      <c r="CI970" s="18"/>
      <c r="CJ970" s="18"/>
      <c r="CK970" s="18"/>
      <c r="CL970" s="18"/>
      <c r="CM970" s="18"/>
      <c r="CN970" s="18"/>
      <c r="CO970" s="18"/>
      <c r="CP970" s="18"/>
      <c r="CQ970" s="18"/>
      <c r="CR970" s="18"/>
      <c r="CS970" s="18"/>
      <c r="CT970" s="18"/>
      <c r="CU970" s="18"/>
    </row>
    <row r="971" spans="1:99">
      <c r="A971" s="19"/>
      <c r="B971" s="19"/>
      <c r="C971" s="19"/>
      <c r="D971" s="19"/>
      <c r="E971" s="19"/>
      <c r="F971" s="19"/>
      <c r="G971" s="19"/>
      <c r="H971" s="19"/>
      <c r="I971" s="19"/>
      <c r="J971" s="19"/>
      <c r="K971" s="18"/>
      <c r="L971" s="18"/>
      <c r="M971" s="18"/>
      <c r="N971" s="18"/>
      <c r="O971" s="18"/>
      <c r="P971" s="18"/>
      <c r="Q971" s="18"/>
      <c r="R971" s="18"/>
      <c r="S971" s="18"/>
      <c r="T971" s="18"/>
      <c r="U971" s="18"/>
      <c r="V971" s="18"/>
      <c r="W971" s="18"/>
      <c r="X971" s="18"/>
      <c r="Y971" s="18"/>
      <c r="Z971" s="18"/>
      <c r="AA971" s="18"/>
      <c r="AB971" s="18"/>
      <c r="AC971" s="18"/>
      <c r="AD971" s="18"/>
      <c r="AE971" s="18"/>
      <c r="AF971" s="18"/>
      <c r="AG971" s="18"/>
      <c r="AH971" s="18"/>
      <c r="AI971" s="18"/>
      <c r="AJ971" s="18"/>
      <c r="AK971" s="18"/>
      <c r="AL971" s="18"/>
      <c r="AM971" s="18"/>
      <c r="AN971" s="18"/>
      <c r="AO971" s="18"/>
      <c r="AP971" s="18"/>
      <c r="AQ971" s="18"/>
      <c r="AR971" s="18"/>
      <c r="AS971" s="18"/>
      <c r="AT971" s="18"/>
      <c r="AU971" s="18"/>
      <c r="AV971" s="18"/>
      <c r="AW971" s="18"/>
      <c r="AX971" s="18"/>
      <c r="AY971" s="18"/>
      <c r="AZ971" s="18"/>
      <c r="BA971" s="18"/>
      <c r="BB971" s="18"/>
      <c r="BC971" s="18"/>
      <c r="BD971" s="18"/>
      <c r="BE971" s="18"/>
      <c r="BF971" s="18"/>
      <c r="BG971" s="18"/>
      <c r="BH971" s="18"/>
      <c r="BI971" s="18"/>
      <c r="BJ971" s="18"/>
      <c r="BK971" s="18"/>
      <c r="BL971" s="18"/>
      <c r="BM971" s="18"/>
      <c r="BN971" s="18"/>
      <c r="BO971" s="18"/>
      <c r="BP971" s="18"/>
      <c r="BQ971" s="18"/>
      <c r="BR971" s="18"/>
      <c r="BS971" s="18"/>
      <c r="BT971" s="18"/>
      <c r="BU971" s="18"/>
      <c r="BV971" s="18"/>
      <c r="BW971" s="18"/>
      <c r="BX971" s="18"/>
      <c r="BY971" s="18"/>
      <c r="BZ971" s="18"/>
      <c r="CA971" s="18"/>
      <c r="CB971" s="18"/>
      <c r="CC971" s="18"/>
      <c r="CD971" s="18"/>
      <c r="CE971" s="18"/>
      <c r="CF971" s="18"/>
      <c r="CG971" s="18"/>
      <c r="CH971" s="18"/>
      <c r="CI971" s="18"/>
      <c r="CJ971" s="18"/>
      <c r="CK971" s="18"/>
      <c r="CL971" s="18"/>
      <c r="CM971" s="18"/>
      <c r="CN971" s="18"/>
      <c r="CO971" s="18"/>
      <c r="CP971" s="18"/>
      <c r="CQ971" s="18"/>
      <c r="CR971" s="18"/>
      <c r="CS971" s="18"/>
      <c r="CT971" s="18"/>
      <c r="CU971" s="18"/>
    </row>
    <row r="972" spans="1:99">
      <c r="A972" s="19"/>
      <c r="B972" s="19"/>
      <c r="C972" s="19"/>
      <c r="D972" s="19"/>
      <c r="E972" s="19"/>
      <c r="F972" s="19"/>
      <c r="G972" s="19"/>
      <c r="H972" s="19"/>
      <c r="I972" s="19"/>
      <c r="J972" s="19"/>
      <c r="K972" s="18"/>
      <c r="L972" s="18"/>
      <c r="M972" s="18"/>
      <c r="N972" s="18"/>
      <c r="O972" s="18"/>
      <c r="P972" s="18"/>
      <c r="Q972" s="18"/>
      <c r="R972" s="18"/>
      <c r="S972" s="18"/>
      <c r="T972" s="18"/>
      <c r="U972" s="18"/>
      <c r="V972" s="18"/>
      <c r="W972" s="18"/>
      <c r="X972" s="18"/>
      <c r="Y972" s="18"/>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c r="BC972" s="18"/>
      <c r="BD972" s="18"/>
      <c r="BE972" s="18"/>
      <c r="BF972" s="18"/>
      <c r="BG972" s="18"/>
      <c r="BH972" s="18"/>
      <c r="BI972" s="18"/>
      <c r="BJ972" s="18"/>
      <c r="BK972" s="18"/>
      <c r="BL972" s="18"/>
      <c r="BM972" s="18"/>
      <c r="BN972" s="18"/>
      <c r="BO972" s="18"/>
      <c r="BP972" s="18"/>
      <c r="BQ972" s="18"/>
      <c r="BR972" s="18"/>
      <c r="BS972" s="18"/>
      <c r="BT972" s="18"/>
      <c r="BU972" s="18"/>
      <c r="BV972" s="18"/>
      <c r="BW972" s="18"/>
      <c r="BX972" s="18"/>
      <c r="BY972" s="18"/>
      <c r="BZ972" s="18"/>
      <c r="CA972" s="18"/>
      <c r="CB972" s="18"/>
      <c r="CC972" s="18"/>
      <c r="CD972" s="18"/>
      <c r="CE972" s="18"/>
      <c r="CF972" s="18"/>
      <c r="CG972" s="18"/>
      <c r="CH972" s="18"/>
      <c r="CI972" s="18"/>
      <c r="CJ972" s="18"/>
      <c r="CK972" s="18"/>
      <c r="CL972" s="18"/>
      <c r="CM972" s="18"/>
      <c r="CN972" s="18"/>
      <c r="CO972" s="18"/>
      <c r="CP972" s="18"/>
      <c r="CQ972" s="18"/>
      <c r="CR972" s="18"/>
      <c r="CS972" s="18"/>
      <c r="CT972" s="18"/>
      <c r="CU972" s="18"/>
    </row>
    <row r="973" spans="1:99">
      <c r="A973" s="19"/>
      <c r="B973" s="19"/>
      <c r="C973" s="19"/>
      <c r="D973" s="19"/>
      <c r="E973" s="19"/>
      <c r="F973" s="19"/>
      <c r="G973" s="19"/>
      <c r="H973" s="19"/>
      <c r="I973" s="19"/>
      <c r="J973" s="19"/>
      <c r="K973" s="18"/>
      <c r="L973" s="18"/>
      <c r="M973" s="18"/>
      <c r="N973" s="18"/>
      <c r="O973" s="18"/>
      <c r="P973" s="18"/>
      <c r="Q973" s="18"/>
      <c r="R973" s="18"/>
      <c r="S973" s="18"/>
      <c r="T973" s="18"/>
      <c r="U973" s="18"/>
      <c r="V973" s="18"/>
      <c r="W973" s="18"/>
      <c r="X973" s="18"/>
      <c r="Y973" s="18"/>
      <c r="Z973" s="18"/>
      <c r="AA973" s="18"/>
      <c r="AB973" s="18"/>
      <c r="AC973" s="18"/>
      <c r="AD973" s="18"/>
      <c r="AE973" s="18"/>
      <c r="AF973" s="18"/>
      <c r="AG973" s="18"/>
      <c r="AH973" s="18"/>
      <c r="AI973" s="18"/>
      <c r="AJ973" s="18"/>
      <c r="AK973" s="18"/>
      <c r="AL973" s="18"/>
      <c r="AM973" s="18"/>
      <c r="AN973" s="18"/>
      <c r="AO973" s="18"/>
      <c r="AP973" s="18"/>
      <c r="AQ973" s="18"/>
      <c r="AR973" s="18"/>
      <c r="AS973" s="18"/>
      <c r="AT973" s="18"/>
      <c r="AU973" s="18"/>
      <c r="AV973" s="18"/>
      <c r="AW973" s="18"/>
      <c r="AX973" s="18"/>
      <c r="AY973" s="18"/>
      <c r="AZ973" s="18"/>
      <c r="BA973" s="18"/>
      <c r="BB973" s="18"/>
      <c r="BC973" s="18"/>
      <c r="BD973" s="18"/>
      <c r="BE973" s="18"/>
      <c r="BF973" s="18"/>
      <c r="BG973" s="18"/>
      <c r="BH973" s="18"/>
      <c r="BI973" s="18"/>
      <c r="BJ973" s="18"/>
      <c r="BK973" s="18"/>
      <c r="BL973" s="18"/>
      <c r="BM973" s="18"/>
      <c r="BN973" s="18"/>
      <c r="BO973" s="18"/>
      <c r="BP973" s="18"/>
      <c r="BQ973" s="18"/>
      <c r="BR973" s="18"/>
      <c r="BS973" s="18"/>
      <c r="BT973" s="18"/>
      <c r="BU973" s="18"/>
      <c r="BV973" s="18"/>
      <c r="BW973" s="18"/>
      <c r="BX973" s="18"/>
      <c r="BY973" s="18"/>
      <c r="BZ973" s="18"/>
      <c r="CA973" s="18"/>
      <c r="CB973" s="18"/>
      <c r="CC973" s="18"/>
      <c r="CD973" s="18"/>
      <c r="CE973" s="18"/>
      <c r="CF973" s="18"/>
      <c r="CG973" s="18"/>
      <c r="CH973" s="18"/>
      <c r="CI973" s="18"/>
      <c r="CJ973" s="18"/>
      <c r="CK973" s="18"/>
      <c r="CL973" s="18"/>
      <c r="CM973" s="18"/>
      <c r="CN973" s="18"/>
      <c r="CO973" s="18"/>
      <c r="CP973" s="18"/>
      <c r="CQ973" s="18"/>
      <c r="CR973" s="18"/>
      <c r="CS973" s="18"/>
      <c r="CT973" s="18"/>
      <c r="CU973" s="18"/>
    </row>
    <row r="974" spans="1:99">
      <c r="A974" s="19"/>
      <c r="B974" s="19"/>
      <c r="C974" s="19"/>
      <c r="D974" s="19"/>
      <c r="E974" s="19"/>
      <c r="F974" s="19"/>
      <c r="G974" s="19"/>
      <c r="H974" s="19"/>
      <c r="I974" s="19"/>
      <c r="J974" s="19"/>
      <c r="K974" s="18"/>
      <c r="L974" s="18"/>
      <c r="M974" s="18"/>
      <c r="N974" s="18"/>
      <c r="O974" s="18"/>
      <c r="P974" s="18"/>
      <c r="Q974" s="18"/>
      <c r="R974" s="18"/>
      <c r="S974" s="18"/>
      <c r="T974" s="18"/>
      <c r="U974" s="18"/>
      <c r="V974" s="18"/>
      <c r="W974" s="18"/>
      <c r="X974" s="18"/>
      <c r="Y974" s="18"/>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c r="BC974" s="18"/>
      <c r="BD974" s="18"/>
      <c r="BE974" s="18"/>
      <c r="BF974" s="18"/>
      <c r="BG974" s="18"/>
      <c r="BH974" s="18"/>
      <c r="BI974" s="18"/>
      <c r="BJ974" s="18"/>
      <c r="BK974" s="18"/>
      <c r="BL974" s="18"/>
      <c r="BM974" s="18"/>
      <c r="BN974" s="18"/>
      <c r="BO974" s="18"/>
      <c r="BP974" s="18"/>
      <c r="BQ974" s="18"/>
      <c r="BR974" s="18"/>
      <c r="BS974" s="18"/>
      <c r="BT974" s="18"/>
      <c r="BU974" s="18"/>
      <c r="BV974" s="18"/>
      <c r="BW974" s="18"/>
      <c r="BX974" s="18"/>
      <c r="BY974" s="18"/>
      <c r="BZ974" s="18"/>
      <c r="CA974" s="18"/>
      <c r="CB974" s="18"/>
      <c r="CC974" s="18"/>
      <c r="CD974" s="18"/>
      <c r="CE974" s="18"/>
      <c r="CF974" s="18"/>
      <c r="CG974" s="18"/>
      <c r="CH974" s="18"/>
      <c r="CI974" s="18"/>
      <c r="CJ974" s="18"/>
      <c r="CK974" s="18"/>
      <c r="CL974" s="18"/>
      <c r="CM974" s="18"/>
      <c r="CN974" s="18"/>
      <c r="CO974" s="18"/>
      <c r="CP974" s="18"/>
      <c r="CQ974" s="18"/>
      <c r="CR974" s="18"/>
      <c r="CS974" s="18"/>
      <c r="CT974" s="18"/>
      <c r="CU974" s="18"/>
    </row>
    <row r="975" spans="1:99">
      <c r="A975" s="19"/>
      <c r="B975" s="19"/>
      <c r="C975" s="19"/>
      <c r="D975" s="19"/>
      <c r="E975" s="19"/>
      <c r="F975" s="19"/>
      <c r="G975" s="19"/>
      <c r="H975" s="19"/>
      <c r="I975" s="19"/>
      <c r="J975" s="19"/>
      <c r="K975" s="18"/>
      <c r="L975" s="18"/>
      <c r="M975" s="18"/>
      <c r="N975" s="18"/>
      <c r="O975" s="18"/>
      <c r="P975" s="18"/>
      <c r="Q975" s="18"/>
      <c r="R975" s="18"/>
      <c r="S975" s="18"/>
      <c r="T975" s="18"/>
      <c r="U975" s="18"/>
      <c r="V975" s="18"/>
      <c r="W975" s="18"/>
      <c r="X975" s="18"/>
      <c r="Y975" s="18"/>
      <c r="Z975" s="18"/>
      <c r="AA975" s="18"/>
      <c r="AB975" s="18"/>
      <c r="AC975" s="18"/>
      <c r="AD975" s="18"/>
      <c r="AE975" s="18"/>
      <c r="AF975" s="18"/>
      <c r="AG975" s="18"/>
      <c r="AH975" s="18"/>
      <c r="AI975" s="18"/>
      <c r="AJ975" s="18"/>
      <c r="AK975" s="18"/>
      <c r="AL975" s="18"/>
      <c r="AM975" s="18"/>
      <c r="AN975" s="18"/>
      <c r="AO975" s="18"/>
      <c r="AP975" s="18"/>
      <c r="AQ975" s="18"/>
      <c r="AR975" s="18"/>
      <c r="AS975" s="18"/>
      <c r="AT975" s="18"/>
      <c r="AU975" s="18"/>
      <c r="AV975" s="18"/>
      <c r="AW975" s="18"/>
      <c r="AX975" s="18"/>
      <c r="AY975" s="18"/>
      <c r="AZ975" s="18"/>
      <c r="BA975" s="18"/>
      <c r="BB975" s="18"/>
      <c r="BC975" s="18"/>
      <c r="BD975" s="18"/>
      <c r="BE975" s="18"/>
      <c r="BF975" s="18"/>
      <c r="BG975" s="18"/>
      <c r="BH975" s="18"/>
      <c r="BI975" s="18"/>
      <c r="BJ975" s="18"/>
      <c r="BK975" s="18"/>
      <c r="BL975" s="18"/>
      <c r="BM975" s="18"/>
      <c r="BN975" s="18"/>
      <c r="BO975" s="18"/>
      <c r="BP975" s="18"/>
      <c r="BQ975" s="18"/>
      <c r="BR975" s="18"/>
      <c r="BS975" s="18"/>
      <c r="BT975" s="18"/>
      <c r="BU975" s="18"/>
      <c r="BV975" s="18"/>
      <c r="BW975" s="18"/>
      <c r="BX975" s="18"/>
      <c r="BY975" s="18"/>
      <c r="BZ975" s="18"/>
      <c r="CA975" s="18"/>
      <c r="CB975" s="18"/>
      <c r="CC975" s="18"/>
      <c r="CD975" s="18"/>
      <c r="CE975" s="18"/>
      <c r="CF975" s="18"/>
      <c r="CG975" s="18"/>
      <c r="CH975" s="18"/>
      <c r="CI975" s="18"/>
      <c r="CJ975" s="18"/>
      <c r="CK975" s="18"/>
      <c r="CL975" s="18"/>
      <c r="CM975" s="18"/>
      <c r="CN975" s="18"/>
      <c r="CO975" s="18"/>
      <c r="CP975" s="18"/>
      <c r="CQ975" s="18"/>
      <c r="CR975" s="18"/>
      <c r="CS975" s="18"/>
      <c r="CT975" s="18"/>
      <c r="CU975" s="18"/>
    </row>
    <row r="976" spans="1:99">
      <c r="A976" s="19"/>
      <c r="B976" s="19"/>
      <c r="C976" s="19"/>
      <c r="D976" s="19"/>
      <c r="E976" s="19"/>
      <c r="F976" s="19"/>
      <c r="G976" s="19"/>
      <c r="H976" s="19"/>
      <c r="I976" s="19"/>
      <c r="J976" s="19"/>
      <c r="K976" s="18"/>
      <c r="L976" s="18"/>
      <c r="M976" s="18"/>
      <c r="N976" s="18"/>
      <c r="O976" s="18"/>
      <c r="P976" s="18"/>
      <c r="Q976" s="18"/>
      <c r="R976" s="18"/>
      <c r="S976" s="18"/>
      <c r="T976" s="18"/>
      <c r="U976" s="18"/>
      <c r="V976" s="18"/>
      <c r="W976" s="18"/>
      <c r="X976" s="18"/>
      <c r="Y976" s="18"/>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c r="BC976" s="18"/>
      <c r="BD976" s="18"/>
      <c r="BE976" s="18"/>
      <c r="BF976" s="18"/>
      <c r="BG976" s="18"/>
      <c r="BH976" s="18"/>
      <c r="BI976" s="18"/>
      <c r="BJ976" s="18"/>
      <c r="BK976" s="18"/>
      <c r="BL976" s="18"/>
      <c r="BM976" s="18"/>
      <c r="BN976" s="18"/>
      <c r="BO976" s="18"/>
      <c r="BP976" s="18"/>
      <c r="BQ976" s="18"/>
      <c r="BR976" s="18"/>
      <c r="BS976" s="18"/>
      <c r="BT976" s="18"/>
      <c r="BU976" s="18"/>
      <c r="BV976" s="18"/>
      <c r="BW976" s="18"/>
      <c r="BX976" s="18"/>
      <c r="BY976" s="18"/>
      <c r="BZ976" s="18"/>
      <c r="CA976" s="18"/>
      <c r="CB976" s="18"/>
      <c r="CC976" s="18"/>
      <c r="CD976" s="18"/>
      <c r="CE976" s="18"/>
      <c r="CF976" s="18"/>
      <c r="CG976" s="18"/>
      <c r="CH976" s="18"/>
      <c r="CI976" s="18"/>
      <c r="CJ976" s="18"/>
      <c r="CK976" s="18"/>
      <c r="CL976" s="18"/>
      <c r="CM976" s="18"/>
      <c r="CN976" s="18"/>
      <c r="CO976" s="18"/>
      <c r="CP976" s="18"/>
      <c r="CQ976" s="18"/>
      <c r="CR976" s="18"/>
      <c r="CS976" s="18"/>
      <c r="CT976" s="18"/>
      <c r="CU976" s="18"/>
    </row>
    <row r="977" spans="1:99">
      <c r="A977" s="19"/>
      <c r="B977" s="19"/>
      <c r="C977" s="19"/>
      <c r="D977" s="19"/>
      <c r="E977" s="19"/>
      <c r="F977" s="19"/>
      <c r="G977" s="19"/>
      <c r="H977" s="19"/>
      <c r="I977" s="19"/>
      <c r="J977" s="19"/>
      <c r="K977" s="18"/>
      <c r="L977" s="18"/>
      <c r="M977" s="18"/>
      <c r="N977" s="18"/>
      <c r="O977" s="18"/>
      <c r="P977" s="18"/>
      <c r="Q977" s="18"/>
      <c r="R977" s="18"/>
      <c r="S977" s="18"/>
      <c r="T977" s="18"/>
      <c r="U977" s="18"/>
      <c r="V977" s="18"/>
      <c r="W977" s="18"/>
      <c r="X977" s="18"/>
      <c r="Y977" s="18"/>
      <c r="Z977" s="18"/>
      <c r="AA977" s="18"/>
      <c r="AB977" s="18"/>
      <c r="AC977" s="18"/>
      <c r="AD977" s="18"/>
      <c r="AE977" s="18"/>
      <c r="AF977" s="18"/>
      <c r="AG977" s="18"/>
      <c r="AH977" s="18"/>
      <c r="AI977" s="18"/>
      <c r="AJ977" s="18"/>
      <c r="AK977" s="18"/>
      <c r="AL977" s="18"/>
      <c r="AM977" s="18"/>
      <c r="AN977" s="18"/>
      <c r="AO977" s="18"/>
      <c r="AP977" s="18"/>
      <c r="AQ977" s="18"/>
      <c r="AR977" s="18"/>
      <c r="AS977" s="18"/>
      <c r="AT977" s="18"/>
      <c r="AU977" s="18"/>
      <c r="AV977" s="18"/>
      <c r="AW977" s="18"/>
      <c r="AX977" s="18"/>
      <c r="AY977" s="18"/>
      <c r="AZ977" s="18"/>
      <c r="BA977" s="18"/>
      <c r="BB977" s="18"/>
      <c r="BC977" s="18"/>
      <c r="BD977" s="18"/>
      <c r="BE977" s="18"/>
      <c r="BF977" s="18"/>
      <c r="BG977" s="18"/>
      <c r="BH977" s="18"/>
      <c r="BI977" s="18"/>
      <c r="BJ977" s="18"/>
      <c r="BK977" s="18"/>
      <c r="BL977" s="18"/>
      <c r="BM977" s="18"/>
      <c r="BN977" s="18"/>
      <c r="BO977" s="18"/>
      <c r="BP977" s="18"/>
      <c r="BQ977" s="18"/>
      <c r="BR977" s="18"/>
      <c r="BS977" s="18"/>
      <c r="BT977" s="18"/>
      <c r="BU977" s="18"/>
      <c r="BV977" s="18"/>
      <c r="BW977" s="18"/>
      <c r="BX977" s="18"/>
      <c r="BY977" s="18"/>
      <c r="BZ977" s="18"/>
      <c r="CA977" s="18"/>
      <c r="CB977" s="18"/>
      <c r="CC977" s="18"/>
      <c r="CD977" s="18"/>
      <c r="CE977" s="18"/>
      <c r="CF977" s="18"/>
      <c r="CG977" s="18"/>
      <c r="CH977" s="18"/>
      <c r="CI977" s="18"/>
      <c r="CJ977" s="18"/>
      <c r="CK977" s="18"/>
      <c r="CL977" s="18"/>
      <c r="CM977" s="18"/>
      <c r="CN977" s="18"/>
      <c r="CO977" s="18"/>
      <c r="CP977" s="18"/>
      <c r="CQ977" s="18"/>
      <c r="CR977" s="18"/>
      <c r="CS977" s="18"/>
      <c r="CT977" s="18"/>
      <c r="CU977" s="18"/>
    </row>
    <row r="978" spans="1:99">
      <c r="A978" s="19"/>
      <c r="B978" s="19"/>
      <c r="C978" s="19"/>
      <c r="D978" s="19"/>
      <c r="E978" s="19"/>
      <c r="F978" s="19"/>
      <c r="G978" s="19"/>
      <c r="H978" s="19"/>
      <c r="I978" s="19"/>
      <c r="J978" s="19"/>
      <c r="K978" s="18"/>
      <c r="L978" s="18"/>
      <c r="M978" s="18"/>
      <c r="N978" s="18"/>
      <c r="O978" s="18"/>
      <c r="P978" s="18"/>
      <c r="Q978" s="18"/>
      <c r="R978" s="18"/>
      <c r="S978" s="18"/>
      <c r="T978" s="18"/>
      <c r="U978" s="18"/>
      <c r="V978" s="18"/>
      <c r="W978" s="18"/>
      <c r="X978" s="18"/>
      <c r="Y978" s="18"/>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c r="BC978" s="18"/>
      <c r="BD978" s="18"/>
      <c r="BE978" s="18"/>
      <c r="BF978" s="18"/>
      <c r="BG978" s="18"/>
      <c r="BH978" s="18"/>
      <c r="BI978" s="18"/>
      <c r="BJ978" s="18"/>
      <c r="BK978" s="18"/>
      <c r="BL978" s="18"/>
      <c r="BM978" s="18"/>
      <c r="BN978" s="18"/>
      <c r="BO978" s="18"/>
      <c r="BP978" s="18"/>
      <c r="BQ978" s="18"/>
      <c r="BR978" s="18"/>
      <c r="BS978" s="18"/>
      <c r="BT978" s="18"/>
      <c r="BU978" s="18"/>
      <c r="BV978" s="18"/>
      <c r="BW978" s="18"/>
      <c r="BX978" s="18"/>
      <c r="BY978" s="18"/>
      <c r="BZ978" s="18"/>
      <c r="CA978" s="18"/>
      <c r="CB978" s="18"/>
      <c r="CC978" s="18"/>
      <c r="CD978" s="18"/>
      <c r="CE978" s="18"/>
      <c r="CF978" s="18"/>
      <c r="CG978" s="18"/>
      <c r="CH978" s="18"/>
      <c r="CI978" s="18"/>
      <c r="CJ978" s="18"/>
      <c r="CK978" s="18"/>
      <c r="CL978" s="18"/>
      <c r="CM978" s="18"/>
      <c r="CN978" s="18"/>
      <c r="CO978" s="18"/>
      <c r="CP978" s="18"/>
      <c r="CQ978" s="18"/>
      <c r="CR978" s="18"/>
      <c r="CS978" s="18"/>
      <c r="CT978" s="18"/>
      <c r="CU978" s="18"/>
    </row>
    <row r="979" spans="1:99">
      <c r="A979" s="19"/>
      <c r="B979" s="19"/>
      <c r="C979" s="19"/>
      <c r="D979" s="19"/>
      <c r="E979" s="19"/>
      <c r="F979" s="19"/>
      <c r="G979" s="19"/>
      <c r="H979" s="19"/>
      <c r="I979" s="19"/>
      <c r="J979" s="19"/>
      <c r="K979" s="18"/>
      <c r="L979" s="18"/>
      <c r="M979" s="18"/>
      <c r="N979" s="18"/>
      <c r="O979" s="18"/>
      <c r="P979" s="18"/>
      <c r="Q979" s="18"/>
      <c r="R979" s="18"/>
      <c r="S979" s="18"/>
      <c r="T979" s="18"/>
      <c r="U979" s="18"/>
      <c r="V979" s="18"/>
      <c r="W979" s="18"/>
      <c r="X979" s="18"/>
      <c r="Y979" s="18"/>
      <c r="Z979" s="18"/>
      <c r="AA979" s="18"/>
      <c r="AB979" s="18"/>
      <c r="AC979" s="18"/>
      <c r="AD979" s="18"/>
      <c r="AE979" s="18"/>
      <c r="AF979" s="18"/>
      <c r="AG979" s="18"/>
      <c r="AH979" s="18"/>
      <c r="AI979" s="18"/>
      <c r="AJ979" s="18"/>
      <c r="AK979" s="18"/>
      <c r="AL979" s="18"/>
      <c r="AM979" s="18"/>
      <c r="AN979" s="18"/>
      <c r="AO979" s="18"/>
      <c r="AP979" s="18"/>
      <c r="AQ979" s="18"/>
      <c r="AR979" s="18"/>
      <c r="AS979" s="18"/>
      <c r="AT979" s="18"/>
      <c r="AU979" s="18"/>
      <c r="AV979" s="18"/>
      <c r="AW979" s="18"/>
      <c r="AX979" s="18"/>
      <c r="AY979" s="18"/>
      <c r="AZ979" s="18"/>
      <c r="BA979" s="18"/>
      <c r="BB979" s="18"/>
      <c r="BC979" s="18"/>
      <c r="BD979" s="18"/>
      <c r="BE979" s="18"/>
      <c r="BF979" s="18"/>
      <c r="BG979" s="18"/>
      <c r="BH979" s="18"/>
      <c r="BI979" s="18"/>
      <c r="BJ979" s="18"/>
      <c r="BK979" s="18"/>
      <c r="BL979" s="18"/>
      <c r="BM979" s="18"/>
      <c r="BN979" s="18"/>
      <c r="BO979" s="18"/>
      <c r="BP979" s="18"/>
      <c r="BQ979" s="18"/>
      <c r="BR979" s="18"/>
      <c r="BS979" s="18"/>
      <c r="BT979" s="18"/>
      <c r="BU979" s="18"/>
      <c r="BV979" s="18"/>
      <c r="BW979" s="18"/>
      <c r="BX979" s="18"/>
      <c r="BY979" s="18"/>
      <c r="BZ979" s="18"/>
      <c r="CA979" s="18"/>
      <c r="CB979" s="18"/>
      <c r="CC979" s="18"/>
      <c r="CD979" s="18"/>
      <c r="CE979" s="18"/>
      <c r="CF979" s="18"/>
      <c r="CG979" s="18"/>
      <c r="CH979" s="18"/>
      <c r="CI979" s="18"/>
      <c r="CJ979" s="18"/>
      <c r="CK979" s="18"/>
      <c r="CL979" s="18"/>
      <c r="CM979" s="18"/>
      <c r="CN979" s="18"/>
      <c r="CO979" s="18"/>
      <c r="CP979" s="18"/>
      <c r="CQ979" s="18"/>
      <c r="CR979" s="18"/>
      <c r="CS979" s="18"/>
      <c r="CT979" s="18"/>
      <c r="CU979" s="18"/>
    </row>
    <row r="980" spans="1:99">
      <c r="A980" s="19"/>
      <c r="B980" s="19"/>
      <c r="C980" s="19"/>
      <c r="D980" s="19"/>
      <c r="E980" s="19"/>
      <c r="F980" s="19"/>
      <c r="G980" s="19"/>
      <c r="H980" s="19"/>
      <c r="I980" s="19"/>
      <c r="J980" s="19"/>
      <c r="K980" s="18"/>
      <c r="L980" s="18"/>
      <c r="M980" s="18"/>
      <c r="N980" s="18"/>
      <c r="O980" s="18"/>
      <c r="P980" s="18"/>
      <c r="Q980" s="18"/>
      <c r="R980" s="18"/>
      <c r="S980" s="18"/>
      <c r="T980" s="18"/>
      <c r="U980" s="18"/>
      <c r="V980" s="18"/>
      <c r="W980" s="18"/>
      <c r="X980" s="18"/>
      <c r="Y980" s="18"/>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c r="BC980" s="18"/>
      <c r="BD980" s="18"/>
      <c r="BE980" s="18"/>
      <c r="BF980" s="18"/>
      <c r="BG980" s="18"/>
      <c r="BH980" s="18"/>
      <c r="BI980" s="18"/>
      <c r="BJ980" s="18"/>
      <c r="BK980" s="18"/>
      <c r="BL980" s="18"/>
      <c r="BM980" s="18"/>
      <c r="BN980" s="18"/>
      <c r="BO980" s="18"/>
      <c r="BP980" s="18"/>
      <c r="BQ980" s="18"/>
      <c r="BR980" s="18"/>
      <c r="BS980" s="18"/>
      <c r="BT980" s="18"/>
      <c r="BU980" s="18"/>
      <c r="BV980" s="18"/>
      <c r="BW980" s="18"/>
      <c r="BX980" s="18"/>
      <c r="BY980" s="18"/>
      <c r="BZ980" s="18"/>
      <c r="CA980" s="18"/>
      <c r="CB980" s="18"/>
      <c r="CC980" s="18"/>
      <c r="CD980" s="18"/>
      <c r="CE980" s="18"/>
      <c r="CF980" s="18"/>
      <c r="CG980" s="18"/>
      <c r="CH980" s="18"/>
      <c r="CI980" s="18"/>
      <c r="CJ980" s="18"/>
      <c r="CK980" s="18"/>
      <c r="CL980" s="18"/>
      <c r="CM980" s="18"/>
      <c r="CN980" s="18"/>
      <c r="CO980" s="18"/>
      <c r="CP980" s="18"/>
      <c r="CQ980" s="18"/>
      <c r="CR980" s="18"/>
      <c r="CS980" s="18"/>
      <c r="CT980" s="18"/>
      <c r="CU980" s="18"/>
    </row>
    <row r="981" spans="1:99">
      <c r="A981" s="19"/>
      <c r="B981" s="19"/>
      <c r="C981" s="19"/>
      <c r="D981" s="19"/>
      <c r="E981" s="19"/>
      <c r="F981" s="19"/>
      <c r="G981" s="19"/>
      <c r="H981" s="19"/>
      <c r="I981" s="19"/>
      <c r="J981" s="19"/>
      <c r="K981" s="18"/>
      <c r="L981" s="18"/>
      <c r="M981" s="18"/>
      <c r="N981" s="18"/>
      <c r="O981" s="18"/>
      <c r="P981" s="18"/>
      <c r="Q981" s="18"/>
      <c r="R981" s="18"/>
      <c r="S981" s="18"/>
      <c r="T981" s="18"/>
      <c r="U981" s="18"/>
      <c r="V981" s="18"/>
      <c r="W981" s="18"/>
      <c r="X981" s="18"/>
      <c r="Y981" s="18"/>
      <c r="Z981" s="18"/>
      <c r="AA981" s="18"/>
      <c r="AB981" s="18"/>
      <c r="AC981" s="18"/>
      <c r="AD981" s="18"/>
      <c r="AE981" s="18"/>
      <c r="AF981" s="18"/>
      <c r="AG981" s="18"/>
      <c r="AH981" s="18"/>
      <c r="AI981" s="18"/>
      <c r="AJ981" s="18"/>
      <c r="AK981" s="18"/>
      <c r="AL981" s="18"/>
      <c r="AM981" s="18"/>
      <c r="AN981" s="18"/>
      <c r="AO981" s="18"/>
      <c r="AP981" s="18"/>
      <c r="AQ981" s="18"/>
      <c r="AR981" s="18"/>
      <c r="AS981" s="18"/>
      <c r="AT981" s="18"/>
      <c r="AU981" s="18"/>
      <c r="AV981" s="18"/>
      <c r="AW981" s="18"/>
      <c r="AX981" s="18"/>
      <c r="AY981" s="18"/>
      <c r="AZ981" s="18"/>
      <c r="BA981" s="18"/>
      <c r="BB981" s="18"/>
      <c r="BC981" s="18"/>
      <c r="BD981" s="18"/>
      <c r="BE981" s="18"/>
      <c r="BF981" s="18"/>
      <c r="BG981" s="18"/>
      <c r="BH981" s="18"/>
      <c r="BI981" s="18"/>
      <c r="BJ981" s="18"/>
      <c r="BK981" s="18"/>
      <c r="BL981" s="18"/>
      <c r="BM981" s="18"/>
      <c r="BN981" s="18"/>
      <c r="BO981" s="18"/>
      <c r="BP981" s="18"/>
      <c r="BQ981" s="18"/>
      <c r="BR981" s="18"/>
      <c r="BS981" s="18"/>
      <c r="BT981" s="18"/>
      <c r="BU981" s="18"/>
      <c r="BV981" s="18"/>
      <c r="BW981" s="18"/>
      <c r="BX981" s="18"/>
      <c r="BY981" s="18"/>
      <c r="BZ981" s="18"/>
      <c r="CA981" s="18"/>
      <c r="CB981" s="18"/>
      <c r="CC981" s="18"/>
      <c r="CD981" s="18"/>
      <c r="CE981" s="18"/>
      <c r="CF981" s="18"/>
      <c r="CG981" s="18"/>
      <c r="CH981" s="18"/>
      <c r="CI981" s="18"/>
      <c r="CJ981" s="18"/>
      <c r="CK981" s="18"/>
      <c r="CL981" s="18"/>
      <c r="CM981" s="18"/>
      <c r="CN981" s="18"/>
      <c r="CO981" s="18"/>
      <c r="CP981" s="18"/>
      <c r="CQ981" s="18"/>
      <c r="CR981" s="18"/>
      <c r="CS981" s="18"/>
      <c r="CT981" s="18"/>
      <c r="CU981" s="18"/>
    </row>
    <row r="982" spans="1:99">
      <c r="A982" s="19"/>
      <c r="B982" s="19"/>
      <c r="C982" s="19"/>
      <c r="D982" s="19"/>
      <c r="E982" s="19"/>
      <c r="F982" s="19"/>
      <c r="G982" s="19"/>
      <c r="H982" s="19"/>
      <c r="I982" s="19"/>
      <c r="J982" s="19"/>
      <c r="K982" s="18"/>
      <c r="L982" s="18"/>
      <c r="M982" s="18"/>
      <c r="N982" s="18"/>
      <c r="O982" s="18"/>
      <c r="P982" s="18"/>
      <c r="Q982" s="18"/>
      <c r="R982" s="18"/>
      <c r="S982" s="18"/>
      <c r="T982" s="18"/>
      <c r="U982" s="18"/>
      <c r="V982" s="18"/>
      <c r="W982" s="18"/>
      <c r="X982" s="18"/>
      <c r="Y982" s="18"/>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c r="BC982" s="18"/>
      <c r="BD982" s="18"/>
      <c r="BE982" s="18"/>
      <c r="BF982" s="18"/>
      <c r="BG982" s="18"/>
      <c r="BH982" s="18"/>
      <c r="BI982" s="18"/>
      <c r="BJ982" s="18"/>
      <c r="BK982" s="18"/>
      <c r="BL982" s="18"/>
      <c r="BM982" s="18"/>
      <c r="BN982" s="18"/>
      <c r="BO982" s="18"/>
      <c r="BP982" s="18"/>
      <c r="BQ982" s="18"/>
      <c r="BR982" s="18"/>
      <c r="BS982" s="18"/>
      <c r="BT982" s="18"/>
      <c r="BU982" s="18"/>
      <c r="BV982" s="18"/>
      <c r="BW982" s="18"/>
      <c r="BX982" s="18"/>
      <c r="BY982" s="18"/>
      <c r="BZ982" s="18"/>
      <c r="CA982" s="18"/>
      <c r="CB982" s="18"/>
      <c r="CC982" s="18"/>
      <c r="CD982" s="18"/>
      <c r="CE982" s="18"/>
      <c r="CF982" s="18"/>
      <c r="CG982" s="18"/>
      <c r="CH982" s="18"/>
      <c r="CI982" s="18"/>
      <c r="CJ982" s="18"/>
      <c r="CK982" s="18"/>
      <c r="CL982" s="18"/>
      <c r="CM982" s="18"/>
      <c r="CN982" s="18"/>
      <c r="CO982" s="18"/>
      <c r="CP982" s="18"/>
      <c r="CQ982" s="18"/>
      <c r="CR982" s="18"/>
      <c r="CS982" s="18"/>
      <c r="CT982" s="18"/>
      <c r="CU982" s="18"/>
    </row>
    <row r="983" spans="1:99">
      <c r="A983" s="19"/>
      <c r="B983" s="19"/>
      <c r="C983" s="19"/>
      <c r="D983" s="19"/>
      <c r="E983" s="19"/>
      <c r="F983" s="19"/>
      <c r="G983" s="19"/>
      <c r="H983" s="19"/>
      <c r="I983" s="19"/>
      <c r="J983" s="19"/>
      <c r="K983" s="18"/>
      <c r="L983" s="18"/>
      <c r="M983" s="18"/>
      <c r="N983" s="18"/>
      <c r="O983" s="18"/>
      <c r="P983" s="18"/>
      <c r="Q983" s="18"/>
      <c r="R983" s="18"/>
      <c r="S983" s="18"/>
      <c r="T983" s="18"/>
      <c r="U983" s="18"/>
      <c r="V983" s="18"/>
      <c r="W983" s="18"/>
      <c r="X983" s="18"/>
      <c r="Y983" s="18"/>
      <c r="Z983" s="18"/>
      <c r="AA983" s="18"/>
      <c r="AB983" s="18"/>
      <c r="AC983" s="18"/>
      <c r="AD983" s="18"/>
      <c r="AE983" s="18"/>
      <c r="AF983" s="18"/>
      <c r="AG983" s="18"/>
      <c r="AH983" s="18"/>
      <c r="AI983" s="18"/>
      <c r="AJ983" s="18"/>
      <c r="AK983" s="18"/>
      <c r="AL983" s="18"/>
      <c r="AM983" s="18"/>
      <c r="AN983" s="18"/>
      <c r="AO983" s="18"/>
      <c r="AP983" s="18"/>
      <c r="AQ983" s="18"/>
      <c r="AR983" s="18"/>
      <c r="AS983" s="18"/>
      <c r="AT983" s="18"/>
      <c r="AU983" s="18"/>
      <c r="AV983" s="18"/>
      <c r="AW983" s="18"/>
      <c r="AX983" s="18"/>
      <c r="AY983" s="18"/>
      <c r="AZ983" s="18"/>
      <c r="BA983" s="18"/>
      <c r="BB983" s="18"/>
      <c r="BC983" s="18"/>
      <c r="BD983" s="18"/>
      <c r="BE983" s="18"/>
      <c r="BF983" s="18"/>
      <c r="BG983" s="18"/>
      <c r="BH983" s="18"/>
      <c r="BI983" s="18"/>
      <c r="BJ983" s="18"/>
      <c r="BK983" s="18"/>
      <c r="BL983" s="18"/>
      <c r="BM983" s="18"/>
      <c r="BN983" s="18"/>
      <c r="BO983" s="18"/>
      <c r="BP983" s="18"/>
      <c r="BQ983" s="18"/>
      <c r="BR983" s="18"/>
      <c r="BS983" s="18"/>
      <c r="BT983" s="18"/>
      <c r="BU983" s="18"/>
      <c r="BV983" s="18"/>
      <c r="BW983" s="18"/>
      <c r="BX983" s="18"/>
      <c r="BY983" s="18"/>
      <c r="BZ983" s="18"/>
      <c r="CA983" s="18"/>
      <c r="CB983" s="18"/>
      <c r="CC983" s="18"/>
      <c r="CD983" s="18"/>
      <c r="CE983" s="18"/>
      <c r="CF983" s="18"/>
      <c r="CG983" s="18"/>
      <c r="CH983" s="18"/>
      <c r="CI983" s="18"/>
      <c r="CJ983" s="18"/>
      <c r="CK983" s="18"/>
      <c r="CL983" s="18"/>
      <c r="CM983" s="18"/>
      <c r="CN983" s="18"/>
      <c r="CO983" s="18"/>
      <c r="CP983" s="18"/>
      <c r="CQ983" s="18"/>
      <c r="CR983" s="18"/>
      <c r="CS983" s="18"/>
      <c r="CT983" s="18"/>
      <c r="CU983" s="18"/>
    </row>
    <row r="984" spans="1:99">
      <c r="A984" s="19"/>
      <c r="B984" s="19"/>
      <c r="C984" s="19"/>
      <c r="D984" s="19"/>
      <c r="E984" s="19"/>
      <c r="F984" s="19"/>
      <c r="G984" s="19"/>
      <c r="H984" s="19"/>
      <c r="I984" s="19"/>
      <c r="J984" s="19"/>
      <c r="K984" s="18"/>
      <c r="L984" s="18"/>
      <c r="M984" s="18"/>
      <c r="N984" s="18"/>
      <c r="O984" s="18"/>
      <c r="P984" s="18"/>
      <c r="Q984" s="18"/>
      <c r="R984" s="18"/>
      <c r="S984" s="18"/>
      <c r="T984" s="18"/>
      <c r="U984" s="18"/>
      <c r="V984" s="18"/>
      <c r="W984" s="18"/>
      <c r="X984" s="18"/>
      <c r="Y984" s="18"/>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c r="BC984" s="18"/>
      <c r="BD984" s="18"/>
      <c r="BE984" s="18"/>
      <c r="BF984" s="18"/>
      <c r="BG984" s="18"/>
      <c r="BH984" s="18"/>
      <c r="BI984" s="18"/>
      <c r="BJ984" s="18"/>
      <c r="BK984" s="18"/>
      <c r="BL984" s="18"/>
      <c r="BM984" s="18"/>
      <c r="BN984" s="18"/>
      <c r="BO984" s="18"/>
      <c r="BP984" s="18"/>
      <c r="BQ984" s="18"/>
      <c r="BR984" s="18"/>
      <c r="BS984" s="18"/>
      <c r="BT984" s="18"/>
      <c r="BU984" s="18"/>
      <c r="BV984" s="18"/>
      <c r="BW984" s="18"/>
      <c r="BX984" s="18"/>
      <c r="BY984" s="18"/>
      <c r="BZ984" s="18"/>
      <c r="CA984" s="18"/>
      <c r="CB984" s="18"/>
      <c r="CC984" s="18"/>
      <c r="CD984" s="18"/>
      <c r="CE984" s="18"/>
      <c r="CF984" s="18"/>
      <c r="CG984" s="18"/>
      <c r="CH984" s="18"/>
      <c r="CI984" s="18"/>
      <c r="CJ984" s="18"/>
      <c r="CK984" s="18"/>
      <c r="CL984" s="18"/>
      <c r="CM984" s="18"/>
      <c r="CN984" s="18"/>
      <c r="CO984" s="18"/>
      <c r="CP984" s="18"/>
      <c r="CQ984" s="18"/>
      <c r="CR984" s="18"/>
      <c r="CS984" s="18"/>
      <c r="CT984" s="18"/>
      <c r="CU984" s="18"/>
    </row>
    <row r="985" spans="1:99">
      <c r="A985" s="19"/>
      <c r="B985" s="19"/>
      <c r="C985" s="19"/>
      <c r="D985" s="19"/>
      <c r="E985" s="19"/>
      <c r="F985" s="19"/>
      <c r="G985" s="19"/>
      <c r="H985" s="19"/>
      <c r="I985" s="19"/>
      <c r="J985" s="19"/>
      <c r="K985" s="18"/>
      <c r="L985" s="18"/>
      <c r="M985" s="18"/>
      <c r="N985" s="18"/>
      <c r="O985" s="18"/>
      <c r="P985" s="18"/>
      <c r="Q985" s="18"/>
      <c r="R985" s="18"/>
      <c r="S985" s="18"/>
      <c r="T985" s="18"/>
      <c r="U985" s="18"/>
      <c r="V985" s="18"/>
      <c r="W985" s="18"/>
      <c r="X985" s="18"/>
      <c r="Y985" s="18"/>
      <c r="Z985" s="18"/>
      <c r="AA985" s="18"/>
      <c r="AB985" s="18"/>
      <c r="AC985" s="18"/>
      <c r="AD985" s="18"/>
      <c r="AE985" s="18"/>
      <c r="AF985" s="18"/>
      <c r="AG985" s="18"/>
      <c r="AH985" s="18"/>
      <c r="AI985" s="18"/>
      <c r="AJ985" s="18"/>
      <c r="AK985" s="18"/>
      <c r="AL985" s="18"/>
      <c r="AM985" s="18"/>
      <c r="AN985" s="18"/>
      <c r="AO985" s="18"/>
      <c r="AP985" s="18"/>
      <c r="AQ985" s="18"/>
      <c r="AR985" s="18"/>
      <c r="AS985" s="18"/>
      <c r="AT985" s="18"/>
      <c r="AU985" s="18"/>
      <c r="AV985" s="18"/>
      <c r="AW985" s="18"/>
      <c r="AX985" s="18"/>
      <c r="AY985" s="18"/>
      <c r="AZ985" s="18"/>
      <c r="BA985" s="18"/>
      <c r="BB985" s="18"/>
      <c r="BC985" s="18"/>
      <c r="BD985" s="18"/>
      <c r="BE985" s="18"/>
      <c r="BF985" s="18"/>
      <c r="BG985" s="18"/>
      <c r="BH985" s="18"/>
      <c r="BI985" s="18"/>
      <c r="BJ985" s="18"/>
      <c r="BK985" s="18"/>
      <c r="BL985" s="18"/>
      <c r="BM985" s="18"/>
      <c r="BN985" s="18"/>
      <c r="BO985" s="18"/>
      <c r="BP985" s="18"/>
      <c r="BQ985" s="18"/>
      <c r="BR985" s="18"/>
      <c r="BS985" s="18"/>
      <c r="BT985" s="18"/>
      <c r="BU985" s="18"/>
      <c r="BV985" s="18"/>
      <c r="BW985" s="18"/>
      <c r="BX985" s="18"/>
      <c r="BY985" s="18"/>
      <c r="BZ985" s="18"/>
      <c r="CA985" s="18"/>
      <c r="CB985" s="18"/>
      <c r="CC985" s="18"/>
      <c r="CD985" s="18"/>
      <c r="CE985" s="18"/>
      <c r="CF985" s="18"/>
      <c r="CG985" s="18"/>
      <c r="CH985" s="18"/>
      <c r="CI985" s="18"/>
      <c r="CJ985" s="18"/>
      <c r="CK985" s="18"/>
      <c r="CL985" s="18"/>
      <c r="CM985" s="18"/>
      <c r="CN985" s="18"/>
      <c r="CO985" s="18"/>
      <c r="CP985" s="18"/>
      <c r="CQ985" s="18"/>
      <c r="CR985" s="18"/>
      <c r="CS985" s="18"/>
      <c r="CT985" s="18"/>
      <c r="CU985" s="18"/>
    </row>
    <row r="986" spans="1:99">
      <c r="A986" s="19"/>
      <c r="B986" s="19"/>
      <c r="C986" s="19"/>
      <c r="D986" s="19"/>
      <c r="E986" s="19"/>
      <c r="F986" s="19"/>
      <c r="G986" s="19"/>
      <c r="H986" s="19"/>
      <c r="I986" s="19"/>
      <c r="J986" s="19"/>
      <c r="K986" s="18"/>
      <c r="L986" s="18"/>
      <c r="M986" s="18"/>
      <c r="N986" s="18"/>
      <c r="O986" s="18"/>
      <c r="P986" s="18"/>
      <c r="Q986" s="18"/>
      <c r="R986" s="18"/>
      <c r="S986" s="18"/>
      <c r="T986" s="18"/>
      <c r="U986" s="18"/>
      <c r="V986" s="18"/>
      <c r="W986" s="18"/>
      <c r="X986" s="18"/>
      <c r="Y986" s="18"/>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c r="BC986" s="18"/>
      <c r="BD986" s="18"/>
      <c r="BE986" s="18"/>
      <c r="BF986" s="18"/>
      <c r="BG986" s="18"/>
      <c r="BH986" s="18"/>
      <c r="BI986" s="18"/>
      <c r="BJ986" s="18"/>
      <c r="BK986" s="18"/>
      <c r="BL986" s="18"/>
      <c r="BM986" s="18"/>
      <c r="BN986" s="18"/>
      <c r="BO986" s="18"/>
      <c r="BP986" s="18"/>
      <c r="BQ986" s="18"/>
      <c r="BR986" s="18"/>
      <c r="BS986" s="18"/>
      <c r="BT986" s="18"/>
      <c r="BU986" s="18"/>
      <c r="BV986" s="18"/>
      <c r="BW986" s="18"/>
      <c r="BX986" s="18"/>
      <c r="BY986" s="18"/>
      <c r="BZ986" s="18"/>
      <c r="CA986" s="18"/>
      <c r="CB986" s="18"/>
      <c r="CC986" s="18"/>
      <c r="CD986" s="18"/>
      <c r="CE986" s="18"/>
      <c r="CF986" s="18"/>
      <c r="CG986" s="18"/>
      <c r="CH986" s="18"/>
      <c r="CI986" s="18"/>
      <c r="CJ986" s="18"/>
      <c r="CK986" s="18"/>
      <c r="CL986" s="18"/>
      <c r="CM986" s="18"/>
      <c r="CN986" s="18"/>
      <c r="CO986" s="18"/>
      <c r="CP986" s="18"/>
      <c r="CQ986" s="18"/>
      <c r="CR986" s="18"/>
      <c r="CS986" s="18"/>
      <c r="CT986" s="18"/>
      <c r="CU986" s="18"/>
    </row>
    <row r="987" spans="1:99">
      <c r="A987" s="19"/>
      <c r="B987" s="19"/>
      <c r="C987" s="19"/>
      <c r="D987" s="19"/>
      <c r="E987" s="19"/>
      <c r="F987" s="19"/>
      <c r="G987" s="19"/>
      <c r="H987" s="19"/>
      <c r="I987" s="19"/>
      <c r="J987" s="19"/>
      <c r="K987" s="18"/>
      <c r="L987" s="18"/>
      <c r="M987" s="18"/>
      <c r="N987" s="18"/>
      <c r="O987" s="18"/>
      <c r="P987" s="18"/>
      <c r="Q987" s="18"/>
      <c r="R987" s="18"/>
      <c r="S987" s="18"/>
      <c r="T987" s="18"/>
      <c r="U987" s="18"/>
      <c r="V987" s="18"/>
      <c r="W987" s="18"/>
      <c r="X987" s="18"/>
      <c r="Y987" s="18"/>
      <c r="Z987" s="18"/>
      <c r="AA987" s="18"/>
      <c r="AB987" s="18"/>
      <c r="AC987" s="18"/>
      <c r="AD987" s="18"/>
      <c r="AE987" s="18"/>
      <c r="AF987" s="18"/>
      <c r="AG987" s="18"/>
      <c r="AH987" s="18"/>
      <c r="AI987" s="18"/>
      <c r="AJ987" s="18"/>
      <c r="AK987" s="18"/>
      <c r="AL987" s="18"/>
      <c r="AM987" s="18"/>
      <c r="AN987" s="18"/>
      <c r="AO987" s="18"/>
      <c r="AP987" s="18"/>
      <c r="AQ987" s="18"/>
      <c r="AR987" s="18"/>
      <c r="AS987" s="18"/>
      <c r="AT987" s="18"/>
      <c r="AU987" s="18"/>
      <c r="AV987" s="18"/>
      <c r="AW987" s="18"/>
      <c r="AX987" s="18"/>
      <c r="AY987" s="18"/>
      <c r="AZ987" s="18"/>
      <c r="BA987" s="18"/>
      <c r="BB987" s="18"/>
      <c r="BC987" s="18"/>
      <c r="BD987" s="18"/>
      <c r="BE987" s="18"/>
      <c r="BF987" s="18"/>
      <c r="BG987" s="18"/>
      <c r="BH987" s="18"/>
      <c r="BI987" s="18"/>
      <c r="BJ987" s="18"/>
      <c r="BK987" s="18"/>
      <c r="BL987" s="18"/>
      <c r="BM987" s="18"/>
      <c r="BN987" s="18"/>
      <c r="BO987" s="18"/>
      <c r="BP987" s="18"/>
      <c r="BQ987" s="18"/>
      <c r="BR987" s="18"/>
      <c r="BS987" s="18"/>
      <c r="BT987" s="18"/>
      <c r="BU987" s="18"/>
      <c r="BV987" s="18"/>
      <c r="BW987" s="18"/>
      <c r="BX987" s="18"/>
      <c r="BY987" s="18"/>
      <c r="BZ987" s="18"/>
      <c r="CA987" s="18"/>
      <c r="CB987" s="18"/>
      <c r="CC987" s="18"/>
      <c r="CD987" s="18"/>
      <c r="CE987" s="18"/>
      <c r="CF987" s="18"/>
      <c r="CG987" s="18"/>
      <c r="CH987" s="18"/>
      <c r="CI987" s="18"/>
      <c r="CJ987" s="18"/>
      <c r="CK987" s="18"/>
      <c r="CL987" s="18"/>
      <c r="CM987" s="18"/>
      <c r="CN987" s="18"/>
      <c r="CO987" s="18"/>
      <c r="CP987" s="18"/>
      <c r="CQ987" s="18"/>
      <c r="CR987" s="18"/>
      <c r="CS987" s="18"/>
      <c r="CT987" s="18"/>
      <c r="CU987" s="18"/>
    </row>
    <row r="988" spans="1:99">
      <c r="A988" s="19"/>
      <c r="B988" s="19"/>
      <c r="C988" s="19"/>
      <c r="D988" s="19"/>
      <c r="E988" s="19"/>
      <c r="F988" s="19"/>
      <c r="G988" s="19"/>
      <c r="H988" s="19"/>
      <c r="I988" s="19"/>
      <c r="J988" s="19"/>
      <c r="K988" s="18"/>
      <c r="L988" s="18"/>
      <c r="M988" s="18"/>
      <c r="N988" s="18"/>
      <c r="O988" s="18"/>
      <c r="P988" s="18"/>
      <c r="Q988" s="18"/>
      <c r="R988" s="18"/>
      <c r="S988" s="18"/>
      <c r="T988" s="18"/>
      <c r="U988" s="18"/>
      <c r="V988" s="18"/>
      <c r="W988" s="18"/>
      <c r="X988" s="18"/>
      <c r="Y988" s="18"/>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c r="BC988" s="18"/>
      <c r="BD988" s="18"/>
      <c r="BE988" s="18"/>
      <c r="BF988" s="18"/>
      <c r="BG988" s="18"/>
      <c r="BH988" s="18"/>
      <c r="BI988" s="18"/>
      <c r="BJ988" s="18"/>
      <c r="BK988" s="18"/>
      <c r="BL988" s="18"/>
      <c r="BM988" s="18"/>
      <c r="BN988" s="18"/>
      <c r="BO988" s="18"/>
      <c r="BP988" s="18"/>
      <c r="BQ988" s="18"/>
      <c r="BR988" s="18"/>
      <c r="BS988" s="18"/>
      <c r="BT988" s="18"/>
      <c r="BU988" s="18"/>
      <c r="BV988" s="18"/>
      <c r="BW988" s="18"/>
      <c r="BX988" s="18"/>
      <c r="BY988" s="18"/>
      <c r="BZ988" s="18"/>
      <c r="CA988" s="18"/>
      <c r="CB988" s="18"/>
      <c r="CC988" s="18"/>
      <c r="CD988" s="18"/>
      <c r="CE988" s="18"/>
      <c r="CF988" s="18"/>
      <c r="CG988" s="18"/>
      <c r="CH988" s="18"/>
      <c r="CI988" s="18"/>
      <c r="CJ988" s="18"/>
      <c r="CK988" s="18"/>
      <c r="CL988" s="18"/>
      <c r="CM988" s="18"/>
      <c r="CN988" s="18"/>
      <c r="CO988" s="18"/>
      <c r="CP988" s="18"/>
      <c r="CQ988" s="18"/>
      <c r="CR988" s="18"/>
      <c r="CS988" s="18"/>
      <c r="CT988" s="18"/>
      <c r="CU988" s="18"/>
    </row>
    <row r="989" spans="1:99">
      <c r="A989" s="19"/>
      <c r="B989" s="19"/>
      <c r="C989" s="19"/>
      <c r="D989" s="19"/>
      <c r="E989" s="19"/>
      <c r="F989" s="19"/>
      <c r="G989" s="19"/>
      <c r="H989" s="19"/>
      <c r="I989" s="19"/>
      <c r="J989" s="19"/>
      <c r="K989" s="18"/>
      <c r="L989" s="18"/>
      <c r="M989" s="18"/>
      <c r="N989" s="18"/>
      <c r="O989" s="18"/>
      <c r="P989" s="18"/>
      <c r="Q989" s="18"/>
      <c r="R989" s="18"/>
      <c r="S989" s="18"/>
      <c r="T989" s="18"/>
      <c r="U989" s="18"/>
      <c r="V989" s="18"/>
      <c r="W989" s="18"/>
      <c r="X989" s="18"/>
      <c r="Y989" s="18"/>
      <c r="Z989" s="18"/>
      <c r="AA989" s="18"/>
      <c r="AB989" s="18"/>
      <c r="AC989" s="18"/>
      <c r="AD989" s="18"/>
      <c r="AE989" s="18"/>
      <c r="AF989" s="18"/>
      <c r="AG989" s="18"/>
      <c r="AH989" s="18"/>
      <c r="AI989" s="18"/>
      <c r="AJ989" s="18"/>
      <c r="AK989" s="18"/>
      <c r="AL989" s="18"/>
      <c r="AM989" s="18"/>
      <c r="AN989" s="18"/>
      <c r="AO989" s="18"/>
      <c r="AP989" s="18"/>
      <c r="AQ989" s="18"/>
      <c r="AR989" s="18"/>
      <c r="AS989" s="18"/>
      <c r="AT989" s="18"/>
      <c r="AU989" s="18"/>
      <c r="AV989" s="18"/>
      <c r="AW989" s="18"/>
      <c r="AX989" s="18"/>
      <c r="AY989" s="18"/>
      <c r="AZ989" s="18"/>
      <c r="BA989" s="18"/>
      <c r="BB989" s="18"/>
      <c r="BC989" s="18"/>
      <c r="BD989" s="18"/>
      <c r="BE989" s="18"/>
      <c r="BF989" s="18"/>
      <c r="BG989" s="18"/>
      <c r="BH989" s="18"/>
      <c r="BI989" s="18"/>
      <c r="BJ989" s="18"/>
      <c r="BK989" s="18"/>
      <c r="BL989" s="18"/>
      <c r="BM989" s="18"/>
      <c r="BN989" s="18"/>
      <c r="BO989" s="18"/>
      <c r="BP989" s="18"/>
      <c r="BQ989" s="18"/>
      <c r="BR989" s="18"/>
      <c r="BS989" s="18"/>
      <c r="BT989" s="18"/>
      <c r="BU989" s="18"/>
      <c r="BV989" s="18"/>
      <c r="BW989" s="18"/>
      <c r="BX989" s="18"/>
      <c r="BY989" s="18"/>
      <c r="BZ989" s="18"/>
      <c r="CA989" s="18"/>
      <c r="CB989" s="18"/>
      <c r="CC989" s="18"/>
      <c r="CD989" s="18"/>
      <c r="CE989" s="18"/>
      <c r="CF989" s="18"/>
      <c r="CG989" s="18"/>
      <c r="CH989" s="18"/>
      <c r="CI989" s="18"/>
      <c r="CJ989" s="18"/>
      <c r="CK989" s="18"/>
      <c r="CL989" s="18"/>
      <c r="CM989" s="18"/>
      <c r="CN989" s="18"/>
      <c r="CO989" s="18"/>
      <c r="CP989" s="18"/>
      <c r="CQ989" s="18"/>
      <c r="CR989" s="18"/>
      <c r="CS989" s="18"/>
      <c r="CT989" s="18"/>
      <c r="CU989" s="18"/>
    </row>
    <row r="990" spans="1:99">
      <c r="A990" s="19"/>
      <c r="B990" s="19"/>
      <c r="C990" s="19"/>
      <c r="D990" s="19"/>
      <c r="E990" s="19"/>
      <c r="F990" s="19"/>
      <c r="G990" s="19"/>
      <c r="H990" s="19"/>
      <c r="I990" s="19"/>
      <c r="J990" s="19"/>
      <c r="K990" s="18"/>
      <c r="L990" s="18"/>
      <c r="M990" s="18"/>
      <c r="N990" s="18"/>
      <c r="O990" s="18"/>
      <c r="P990" s="18"/>
      <c r="Q990" s="18"/>
      <c r="R990" s="18"/>
      <c r="S990" s="18"/>
      <c r="T990" s="18"/>
      <c r="U990" s="18"/>
      <c r="V990" s="18"/>
      <c r="W990" s="18"/>
      <c r="X990" s="18"/>
      <c r="Y990" s="18"/>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c r="BC990" s="18"/>
      <c r="BD990" s="18"/>
      <c r="BE990" s="18"/>
      <c r="BF990" s="18"/>
      <c r="BG990" s="18"/>
      <c r="BH990" s="18"/>
      <c r="BI990" s="18"/>
      <c r="BJ990" s="18"/>
      <c r="BK990" s="18"/>
      <c r="BL990" s="18"/>
      <c r="BM990" s="18"/>
      <c r="BN990" s="18"/>
      <c r="BO990" s="18"/>
      <c r="BP990" s="18"/>
      <c r="BQ990" s="18"/>
      <c r="BR990" s="18"/>
      <c r="BS990" s="18"/>
      <c r="BT990" s="18"/>
      <c r="BU990" s="18"/>
      <c r="BV990" s="18"/>
      <c r="BW990" s="18"/>
      <c r="BX990" s="18"/>
      <c r="BY990" s="18"/>
      <c r="BZ990" s="18"/>
      <c r="CA990" s="18"/>
      <c r="CB990" s="18"/>
      <c r="CC990" s="18"/>
      <c r="CD990" s="18"/>
      <c r="CE990" s="18"/>
      <c r="CF990" s="18"/>
      <c r="CG990" s="18"/>
      <c r="CH990" s="18"/>
      <c r="CI990" s="18"/>
      <c r="CJ990" s="18"/>
      <c r="CK990" s="18"/>
      <c r="CL990" s="18"/>
      <c r="CM990" s="18"/>
      <c r="CN990" s="18"/>
      <c r="CO990" s="18"/>
      <c r="CP990" s="18"/>
      <c r="CQ990" s="18"/>
      <c r="CR990" s="18"/>
      <c r="CS990" s="18"/>
      <c r="CT990" s="18"/>
      <c r="CU990" s="18"/>
    </row>
    <row r="991" spans="1:99">
      <c r="A991" s="19"/>
      <c r="B991" s="19"/>
      <c r="C991" s="19"/>
      <c r="D991" s="19"/>
      <c r="E991" s="19"/>
      <c r="F991" s="19"/>
      <c r="G991" s="19"/>
      <c r="H991" s="19"/>
      <c r="I991" s="19"/>
      <c r="J991" s="19"/>
      <c r="K991" s="18"/>
      <c r="L991" s="18"/>
      <c r="M991" s="18"/>
      <c r="N991" s="18"/>
      <c r="O991" s="18"/>
      <c r="P991" s="18"/>
      <c r="Q991" s="18"/>
      <c r="R991" s="18"/>
      <c r="S991" s="18"/>
      <c r="T991" s="18"/>
      <c r="U991" s="18"/>
      <c r="V991" s="18"/>
      <c r="W991" s="18"/>
      <c r="X991" s="18"/>
      <c r="Y991" s="18"/>
      <c r="Z991" s="18"/>
      <c r="AA991" s="18"/>
      <c r="AB991" s="18"/>
      <c r="AC991" s="18"/>
      <c r="AD991" s="18"/>
      <c r="AE991" s="18"/>
      <c r="AF991" s="18"/>
      <c r="AG991" s="18"/>
      <c r="AH991" s="18"/>
      <c r="AI991" s="18"/>
      <c r="AJ991" s="18"/>
      <c r="AK991" s="18"/>
      <c r="AL991" s="18"/>
      <c r="AM991" s="18"/>
      <c r="AN991" s="18"/>
      <c r="AO991" s="18"/>
      <c r="AP991" s="18"/>
      <c r="AQ991" s="18"/>
      <c r="AR991" s="18"/>
      <c r="AS991" s="18"/>
      <c r="AT991" s="18"/>
      <c r="AU991" s="18"/>
      <c r="AV991" s="18"/>
      <c r="AW991" s="18"/>
      <c r="AX991" s="18"/>
      <c r="AY991" s="18"/>
      <c r="AZ991" s="18"/>
      <c r="BA991" s="18"/>
      <c r="BB991" s="18"/>
      <c r="BC991" s="18"/>
      <c r="BD991" s="18"/>
      <c r="BE991" s="18"/>
      <c r="BF991" s="18"/>
      <c r="BG991" s="18"/>
      <c r="BH991" s="18"/>
      <c r="BI991" s="18"/>
      <c r="BJ991" s="18"/>
      <c r="BK991" s="18"/>
      <c r="BL991" s="18"/>
      <c r="BM991" s="18"/>
      <c r="BN991" s="18"/>
      <c r="BO991" s="18"/>
      <c r="BP991" s="18"/>
      <c r="BQ991" s="18"/>
      <c r="BR991" s="18"/>
      <c r="BS991" s="18"/>
      <c r="BT991" s="18"/>
      <c r="BU991" s="18"/>
      <c r="BV991" s="18"/>
      <c r="BW991" s="18"/>
      <c r="BX991" s="18"/>
      <c r="BY991" s="18"/>
      <c r="BZ991" s="18"/>
      <c r="CA991" s="18"/>
      <c r="CB991" s="18"/>
      <c r="CC991" s="18"/>
      <c r="CD991" s="18"/>
      <c r="CE991" s="18"/>
      <c r="CF991" s="18"/>
      <c r="CG991" s="18"/>
      <c r="CH991" s="18"/>
      <c r="CI991" s="18"/>
      <c r="CJ991" s="18"/>
      <c r="CK991" s="18"/>
      <c r="CL991" s="18"/>
      <c r="CM991" s="18"/>
      <c r="CN991" s="18"/>
      <c r="CO991" s="18"/>
      <c r="CP991" s="18"/>
      <c r="CQ991" s="18"/>
      <c r="CR991" s="18"/>
      <c r="CS991" s="18"/>
      <c r="CT991" s="18"/>
      <c r="CU991" s="18"/>
    </row>
    <row r="992" spans="1:99">
      <c r="A992" s="19"/>
      <c r="B992" s="19"/>
      <c r="C992" s="19"/>
      <c r="D992" s="19"/>
      <c r="E992" s="19"/>
      <c r="F992" s="19"/>
      <c r="G992" s="19"/>
      <c r="H992" s="19"/>
      <c r="I992" s="19"/>
      <c r="J992" s="19"/>
      <c r="K992" s="18"/>
      <c r="L992" s="18"/>
      <c r="M992" s="18"/>
      <c r="N992" s="18"/>
      <c r="O992" s="18"/>
      <c r="P992" s="18"/>
      <c r="Q992" s="18"/>
      <c r="R992" s="18"/>
      <c r="S992" s="18"/>
      <c r="T992" s="18"/>
      <c r="U992" s="18"/>
      <c r="V992" s="18"/>
      <c r="W992" s="18"/>
      <c r="X992" s="18"/>
      <c r="Y992" s="18"/>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c r="BC992" s="18"/>
      <c r="BD992" s="18"/>
      <c r="BE992" s="18"/>
      <c r="BF992" s="18"/>
      <c r="BG992" s="18"/>
      <c r="BH992" s="18"/>
      <c r="BI992" s="18"/>
      <c r="BJ992" s="18"/>
      <c r="BK992" s="18"/>
      <c r="BL992" s="18"/>
      <c r="BM992" s="18"/>
      <c r="BN992" s="18"/>
      <c r="BO992" s="18"/>
      <c r="BP992" s="18"/>
      <c r="BQ992" s="18"/>
      <c r="BR992" s="18"/>
      <c r="BS992" s="18"/>
      <c r="BT992" s="18"/>
      <c r="BU992" s="18"/>
      <c r="BV992" s="18"/>
      <c r="BW992" s="18"/>
      <c r="BX992" s="18"/>
      <c r="BY992" s="18"/>
      <c r="BZ992" s="18"/>
      <c r="CA992" s="18"/>
      <c r="CB992" s="18"/>
      <c r="CC992" s="18"/>
      <c r="CD992" s="18"/>
      <c r="CE992" s="18"/>
      <c r="CF992" s="18"/>
      <c r="CG992" s="18"/>
      <c r="CH992" s="18"/>
      <c r="CI992" s="18"/>
      <c r="CJ992" s="18"/>
      <c r="CK992" s="18"/>
      <c r="CL992" s="18"/>
      <c r="CM992" s="18"/>
      <c r="CN992" s="18"/>
      <c r="CO992" s="18"/>
      <c r="CP992" s="18"/>
      <c r="CQ992" s="18"/>
      <c r="CR992" s="18"/>
      <c r="CS992" s="18"/>
      <c r="CT992" s="18"/>
      <c r="CU992" s="18"/>
    </row>
    <row r="993" spans="1:99">
      <c r="A993" s="19"/>
      <c r="B993" s="19"/>
      <c r="C993" s="19"/>
      <c r="D993" s="19"/>
      <c r="E993" s="19"/>
      <c r="F993" s="19"/>
      <c r="G993" s="19"/>
      <c r="H993" s="19"/>
      <c r="I993" s="19"/>
      <c r="J993" s="19"/>
      <c r="K993" s="18"/>
      <c r="L993" s="18"/>
      <c r="M993" s="18"/>
      <c r="N993" s="18"/>
      <c r="O993" s="18"/>
      <c r="P993" s="18"/>
      <c r="Q993" s="18"/>
      <c r="R993" s="18"/>
      <c r="S993" s="18"/>
      <c r="T993" s="18"/>
      <c r="U993" s="18"/>
      <c r="V993" s="18"/>
      <c r="W993" s="18"/>
      <c r="X993" s="18"/>
      <c r="Y993" s="18"/>
      <c r="Z993" s="18"/>
      <c r="AA993" s="18"/>
      <c r="AB993" s="18"/>
      <c r="AC993" s="18"/>
      <c r="AD993" s="18"/>
      <c r="AE993" s="18"/>
      <c r="AF993" s="18"/>
      <c r="AG993" s="18"/>
      <c r="AH993" s="18"/>
      <c r="AI993" s="18"/>
      <c r="AJ993" s="18"/>
      <c r="AK993" s="18"/>
      <c r="AL993" s="18"/>
      <c r="AM993" s="18"/>
      <c r="AN993" s="18"/>
      <c r="AO993" s="18"/>
      <c r="AP993" s="18"/>
      <c r="AQ993" s="18"/>
      <c r="AR993" s="18"/>
      <c r="AS993" s="18"/>
      <c r="AT993" s="18"/>
      <c r="AU993" s="18"/>
      <c r="AV993" s="18"/>
      <c r="AW993" s="18"/>
      <c r="AX993" s="18"/>
      <c r="AY993" s="18"/>
      <c r="AZ993" s="18"/>
      <c r="BA993" s="18"/>
      <c r="BB993" s="18"/>
      <c r="BC993" s="18"/>
      <c r="BD993" s="18"/>
      <c r="BE993" s="18"/>
      <c r="BF993" s="18"/>
      <c r="BG993" s="18"/>
      <c r="BH993" s="18"/>
      <c r="BI993" s="18"/>
      <c r="BJ993" s="18"/>
      <c r="BK993" s="18"/>
      <c r="BL993" s="18"/>
      <c r="BM993" s="18"/>
      <c r="BN993" s="18"/>
      <c r="BO993" s="18"/>
      <c r="BP993" s="18"/>
      <c r="BQ993" s="18"/>
      <c r="BR993" s="18"/>
      <c r="BS993" s="18"/>
      <c r="BT993" s="18"/>
      <c r="BU993" s="18"/>
      <c r="BV993" s="18"/>
      <c r="BW993" s="18"/>
      <c r="BX993" s="18"/>
      <c r="BY993" s="18"/>
      <c r="BZ993" s="18"/>
      <c r="CA993" s="18"/>
      <c r="CB993" s="18"/>
      <c r="CC993" s="18"/>
      <c r="CD993" s="18"/>
      <c r="CE993" s="18"/>
      <c r="CF993" s="18"/>
      <c r="CG993" s="18"/>
      <c r="CH993" s="18"/>
      <c r="CI993" s="18"/>
      <c r="CJ993" s="18"/>
      <c r="CK993" s="18"/>
      <c r="CL993" s="18"/>
      <c r="CM993" s="18"/>
      <c r="CN993" s="18"/>
      <c r="CO993" s="18"/>
      <c r="CP993" s="18"/>
      <c r="CQ993" s="18"/>
      <c r="CR993" s="18"/>
      <c r="CS993" s="18"/>
      <c r="CT993" s="18"/>
      <c r="CU993" s="18"/>
    </row>
    <row r="994" spans="1:99">
      <c r="A994" s="19"/>
      <c r="B994" s="19"/>
      <c r="C994" s="19"/>
      <c r="D994" s="19"/>
      <c r="E994" s="19"/>
      <c r="F994" s="19"/>
      <c r="G994" s="19"/>
      <c r="H994" s="19"/>
      <c r="I994" s="19"/>
      <c r="J994" s="19"/>
      <c r="K994" s="18"/>
      <c r="L994" s="18"/>
      <c r="M994" s="18"/>
      <c r="N994" s="18"/>
      <c r="O994" s="18"/>
      <c r="P994" s="18"/>
      <c r="Q994" s="18"/>
      <c r="R994" s="18"/>
      <c r="S994" s="18"/>
      <c r="T994" s="18"/>
      <c r="U994" s="18"/>
      <c r="V994" s="18"/>
      <c r="W994" s="18"/>
      <c r="X994" s="18"/>
      <c r="Y994" s="18"/>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c r="BC994" s="18"/>
      <c r="BD994" s="18"/>
      <c r="BE994" s="18"/>
      <c r="BF994" s="18"/>
      <c r="BG994" s="18"/>
      <c r="BH994" s="18"/>
      <c r="BI994" s="18"/>
      <c r="BJ994" s="18"/>
      <c r="BK994" s="18"/>
      <c r="BL994" s="18"/>
      <c r="BM994" s="18"/>
      <c r="BN994" s="18"/>
      <c r="BO994" s="18"/>
      <c r="BP994" s="18"/>
      <c r="BQ994" s="18"/>
      <c r="BR994" s="18"/>
      <c r="BS994" s="18"/>
      <c r="BT994" s="18"/>
      <c r="BU994" s="18"/>
      <c r="BV994" s="18"/>
      <c r="BW994" s="18"/>
      <c r="BX994" s="18"/>
      <c r="BY994" s="18"/>
      <c r="BZ994" s="18"/>
      <c r="CA994" s="18"/>
      <c r="CB994" s="18"/>
      <c r="CC994" s="18"/>
      <c r="CD994" s="18"/>
      <c r="CE994" s="18"/>
      <c r="CF994" s="18"/>
      <c r="CG994" s="18"/>
      <c r="CH994" s="18"/>
      <c r="CI994" s="18"/>
      <c r="CJ994" s="18"/>
      <c r="CK994" s="18"/>
      <c r="CL994" s="18"/>
      <c r="CM994" s="18"/>
      <c r="CN994" s="18"/>
      <c r="CO994" s="18"/>
      <c r="CP994" s="18"/>
      <c r="CQ994" s="18"/>
      <c r="CR994" s="18"/>
      <c r="CS994" s="18"/>
      <c r="CT994" s="18"/>
      <c r="CU994" s="18"/>
    </row>
    <row r="995" spans="1:99">
      <c r="A995" s="19"/>
      <c r="B995" s="19"/>
      <c r="C995" s="19"/>
      <c r="D995" s="19"/>
      <c r="E995" s="19"/>
      <c r="F995" s="19"/>
      <c r="G995" s="19"/>
      <c r="H995" s="19"/>
      <c r="I995" s="19"/>
      <c r="J995" s="19"/>
      <c r="K995" s="18"/>
      <c r="L995" s="18"/>
      <c r="M995" s="18"/>
      <c r="N995" s="18"/>
      <c r="O995" s="18"/>
      <c r="P995" s="18"/>
      <c r="Q995" s="18"/>
      <c r="R995" s="18"/>
      <c r="S995" s="18"/>
      <c r="T995" s="18"/>
      <c r="U995" s="18"/>
      <c r="V995" s="18"/>
      <c r="W995" s="18"/>
      <c r="X995" s="18"/>
      <c r="Y995" s="18"/>
      <c r="Z995" s="18"/>
      <c r="AA995" s="18"/>
      <c r="AB995" s="18"/>
      <c r="AC995" s="18"/>
      <c r="AD995" s="18"/>
      <c r="AE995" s="18"/>
      <c r="AF995" s="18"/>
      <c r="AG995" s="18"/>
      <c r="AH995" s="18"/>
      <c r="AI995" s="18"/>
      <c r="AJ995" s="18"/>
      <c r="AK995" s="18"/>
      <c r="AL995" s="18"/>
      <c r="AM995" s="18"/>
      <c r="AN995" s="18"/>
      <c r="AO995" s="18"/>
      <c r="AP995" s="18"/>
      <c r="AQ995" s="18"/>
      <c r="AR995" s="18"/>
      <c r="AS995" s="18"/>
      <c r="AT995" s="18"/>
      <c r="AU995" s="18"/>
      <c r="AV995" s="18"/>
      <c r="AW995" s="18"/>
      <c r="AX995" s="18"/>
      <c r="AY995" s="18"/>
      <c r="AZ995" s="18"/>
      <c r="BA995" s="18"/>
      <c r="BB995" s="18"/>
      <c r="BC995" s="18"/>
      <c r="BD995" s="18"/>
      <c r="BE995" s="18"/>
      <c r="BF995" s="18"/>
      <c r="BG995" s="18"/>
      <c r="BH995" s="18"/>
      <c r="BI995" s="18"/>
      <c r="BJ995" s="18"/>
      <c r="BK995" s="18"/>
      <c r="BL995" s="18"/>
      <c r="BM995" s="18"/>
      <c r="BN995" s="18"/>
      <c r="BO995" s="18"/>
      <c r="BP995" s="18"/>
      <c r="BQ995" s="18"/>
      <c r="BR995" s="18"/>
      <c r="BS995" s="18"/>
      <c r="BT995" s="18"/>
      <c r="BU995" s="18"/>
      <c r="BV995" s="18"/>
      <c r="BW995" s="18"/>
      <c r="BX995" s="18"/>
      <c r="BY995" s="18"/>
      <c r="BZ995" s="18"/>
      <c r="CA995" s="18"/>
      <c r="CB995" s="18"/>
      <c r="CC995" s="18"/>
      <c r="CD995" s="18"/>
      <c r="CE995" s="18"/>
      <c r="CF995" s="18"/>
      <c r="CG995" s="18"/>
      <c r="CH995" s="18"/>
      <c r="CI995" s="18"/>
      <c r="CJ995" s="18"/>
      <c r="CK995" s="18"/>
      <c r="CL995" s="18"/>
      <c r="CM995" s="18"/>
      <c r="CN995" s="18"/>
      <c r="CO995" s="18"/>
      <c r="CP995" s="18"/>
      <c r="CQ995" s="18"/>
      <c r="CR995" s="18"/>
      <c r="CS995" s="18"/>
      <c r="CT995" s="18"/>
      <c r="CU995" s="18"/>
    </row>
    <row r="996" spans="1:99">
      <c r="A996" s="19"/>
      <c r="B996" s="19"/>
      <c r="C996" s="19"/>
      <c r="D996" s="19"/>
      <c r="E996" s="19"/>
      <c r="F996" s="19"/>
      <c r="G996" s="19"/>
      <c r="H996" s="19"/>
      <c r="I996" s="19"/>
      <c r="J996" s="19"/>
      <c r="K996" s="18"/>
      <c r="L996" s="18"/>
      <c r="M996" s="18"/>
      <c r="N996" s="18"/>
      <c r="O996" s="18"/>
      <c r="P996" s="18"/>
      <c r="Q996" s="18"/>
      <c r="R996" s="18"/>
      <c r="S996" s="18"/>
      <c r="T996" s="18"/>
      <c r="U996" s="18"/>
      <c r="V996" s="18"/>
      <c r="W996" s="18"/>
      <c r="X996" s="18"/>
      <c r="Y996" s="18"/>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c r="BC996" s="18"/>
      <c r="BD996" s="18"/>
      <c r="BE996" s="18"/>
      <c r="BF996" s="18"/>
      <c r="BG996" s="18"/>
      <c r="BH996" s="18"/>
      <c r="BI996" s="18"/>
      <c r="BJ996" s="18"/>
      <c r="BK996" s="18"/>
      <c r="BL996" s="18"/>
      <c r="BM996" s="18"/>
      <c r="BN996" s="18"/>
      <c r="BO996" s="18"/>
      <c r="BP996" s="18"/>
      <c r="BQ996" s="18"/>
      <c r="BR996" s="18"/>
      <c r="BS996" s="18"/>
      <c r="BT996" s="18"/>
      <c r="BU996" s="18"/>
      <c r="BV996" s="18"/>
      <c r="BW996" s="18"/>
      <c r="BX996" s="18"/>
      <c r="BY996" s="18"/>
      <c r="BZ996" s="18"/>
      <c r="CA996" s="18"/>
      <c r="CB996" s="18"/>
      <c r="CC996" s="18"/>
      <c r="CD996" s="18"/>
      <c r="CE996" s="18"/>
      <c r="CF996" s="18"/>
      <c r="CG996" s="18"/>
      <c r="CH996" s="18"/>
      <c r="CI996" s="18"/>
      <c r="CJ996" s="18"/>
      <c r="CK996" s="18"/>
      <c r="CL996" s="18"/>
      <c r="CM996" s="18"/>
      <c r="CN996" s="18"/>
      <c r="CO996" s="18"/>
      <c r="CP996" s="18"/>
      <c r="CQ996" s="18"/>
      <c r="CR996" s="18"/>
      <c r="CS996" s="18"/>
      <c r="CT996" s="18"/>
      <c r="CU996" s="18"/>
    </row>
    <row r="997" spans="1:99">
      <c r="A997" s="19"/>
      <c r="B997" s="19"/>
      <c r="C997" s="19"/>
      <c r="D997" s="19"/>
      <c r="E997" s="19"/>
      <c r="F997" s="19"/>
      <c r="G997" s="19"/>
      <c r="H997" s="19"/>
      <c r="I997" s="19"/>
      <c r="J997" s="19"/>
      <c r="K997" s="18"/>
      <c r="L997" s="18"/>
      <c r="M997" s="18"/>
      <c r="N997" s="18"/>
      <c r="O997" s="18"/>
      <c r="P997" s="18"/>
      <c r="Q997" s="18"/>
      <c r="R997" s="18"/>
      <c r="S997" s="18"/>
      <c r="T997" s="18"/>
      <c r="U997" s="18"/>
      <c r="V997" s="18"/>
      <c r="W997" s="18"/>
      <c r="X997" s="18"/>
      <c r="Y997" s="18"/>
      <c r="Z997" s="18"/>
      <c r="AA997" s="18"/>
      <c r="AB997" s="18"/>
      <c r="AC997" s="18"/>
      <c r="AD997" s="18"/>
      <c r="AE997" s="18"/>
      <c r="AF997" s="18"/>
      <c r="AG997" s="18"/>
      <c r="AH997" s="18"/>
      <c r="AI997" s="18"/>
      <c r="AJ997" s="18"/>
      <c r="AK997" s="18"/>
      <c r="AL997" s="18"/>
      <c r="AM997" s="18"/>
      <c r="AN997" s="18"/>
      <c r="AO997" s="18"/>
      <c r="AP997" s="18"/>
      <c r="AQ997" s="18"/>
      <c r="AR997" s="18"/>
      <c r="AS997" s="18"/>
      <c r="AT997" s="18"/>
      <c r="AU997" s="18"/>
      <c r="AV997" s="18"/>
      <c r="AW997" s="18"/>
      <c r="AX997" s="18"/>
      <c r="AY997" s="18"/>
      <c r="AZ997" s="18"/>
      <c r="BA997" s="18"/>
      <c r="BB997" s="18"/>
      <c r="BC997" s="18"/>
      <c r="BD997" s="18"/>
      <c r="BE997" s="18"/>
      <c r="BF997" s="18"/>
      <c r="BG997" s="18"/>
      <c r="BH997" s="18"/>
      <c r="BI997" s="18"/>
      <c r="BJ997" s="18"/>
      <c r="BK997" s="18"/>
      <c r="BL997" s="18"/>
      <c r="BM997" s="18"/>
      <c r="BN997" s="18"/>
      <c r="BO997" s="18"/>
      <c r="BP997" s="18"/>
      <c r="BQ997" s="18"/>
      <c r="BR997" s="18"/>
      <c r="BS997" s="18"/>
      <c r="BT997" s="18"/>
      <c r="BU997" s="18"/>
      <c r="BV997" s="18"/>
      <c r="BW997" s="18"/>
      <c r="BX997" s="18"/>
      <c r="BY997" s="18"/>
      <c r="BZ997" s="18"/>
      <c r="CA997" s="18"/>
      <c r="CB997" s="18"/>
      <c r="CC997" s="18"/>
      <c r="CD997" s="18"/>
      <c r="CE997" s="18"/>
      <c r="CF997" s="18"/>
      <c r="CG997" s="18"/>
      <c r="CH997" s="18"/>
      <c r="CI997" s="18"/>
      <c r="CJ997" s="18"/>
      <c r="CK997" s="18"/>
      <c r="CL997" s="18"/>
      <c r="CM997" s="18"/>
      <c r="CN997" s="18"/>
      <c r="CO997" s="18"/>
      <c r="CP997" s="18"/>
      <c r="CQ997" s="18"/>
      <c r="CR997" s="18"/>
      <c r="CS997" s="18"/>
      <c r="CT997" s="18"/>
      <c r="CU997" s="18"/>
    </row>
    <row r="998" spans="1:99">
      <c r="A998" s="19"/>
      <c r="B998" s="19"/>
      <c r="C998" s="19"/>
      <c r="D998" s="19"/>
      <c r="E998" s="19"/>
      <c r="F998" s="19"/>
      <c r="G998" s="19"/>
      <c r="H998" s="19"/>
      <c r="I998" s="19"/>
      <c r="J998" s="19"/>
      <c r="K998" s="18"/>
      <c r="L998" s="18"/>
      <c r="M998" s="18"/>
      <c r="N998" s="18"/>
      <c r="O998" s="18"/>
      <c r="P998" s="18"/>
      <c r="Q998" s="18"/>
      <c r="R998" s="18"/>
      <c r="S998" s="18"/>
      <c r="T998" s="18"/>
      <c r="U998" s="18"/>
      <c r="V998" s="18"/>
      <c r="W998" s="18"/>
      <c r="X998" s="18"/>
      <c r="Y998" s="18"/>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c r="BC998" s="18"/>
      <c r="BD998" s="18"/>
      <c r="BE998" s="18"/>
      <c r="BF998" s="18"/>
      <c r="BG998" s="18"/>
      <c r="BH998" s="18"/>
      <c r="BI998" s="18"/>
      <c r="BJ998" s="18"/>
      <c r="BK998" s="18"/>
      <c r="BL998" s="18"/>
      <c r="BM998" s="18"/>
      <c r="BN998" s="18"/>
      <c r="BO998" s="18"/>
      <c r="BP998" s="18"/>
      <c r="BQ998" s="18"/>
      <c r="BR998" s="18"/>
      <c r="BS998" s="18"/>
      <c r="BT998" s="18"/>
      <c r="BU998" s="18"/>
      <c r="BV998" s="18"/>
      <c r="BW998" s="18"/>
      <c r="BX998" s="18"/>
      <c r="BY998" s="18"/>
      <c r="BZ998" s="18"/>
      <c r="CA998" s="18"/>
      <c r="CB998" s="18"/>
      <c r="CC998" s="18"/>
      <c r="CD998" s="18"/>
      <c r="CE998" s="18"/>
      <c r="CF998" s="18"/>
      <c r="CG998" s="18"/>
      <c r="CH998" s="18"/>
      <c r="CI998" s="18"/>
      <c r="CJ998" s="18"/>
      <c r="CK998" s="18"/>
      <c r="CL998" s="18"/>
      <c r="CM998" s="18"/>
      <c r="CN998" s="18"/>
      <c r="CO998" s="18"/>
      <c r="CP998" s="18"/>
      <c r="CQ998" s="18"/>
      <c r="CR998" s="18"/>
      <c r="CS998" s="18"/>
      <c r="CT998" s="18"/>
      <c r="CU998" s="18"/>
    </row>
    <row r="999" spans="1:99">
      <c r="A999" s="19"/>
      <c r="B999" s="19"/>
      <c r="C999" s="19"/>
      <c r="D999" s="19"/>
      <c r="E999" s="19"/>
      <c r="F999" s="19"/>
      <c r="G999" s="19"/>
      <c r="H999" s="19"/>
      <c r="I999" s="19"/>
      <c r="J999" s="19"/>
      <c r="K999" s="18"/>
      <c r="L999" s="18"/>
      <c r="M999" s="18"/>
      <c r="N999" s="18"/>
      <c r="O999" s="18"/>
      <c r="P999" s="18"/>
      <c r="Q999" s="18"/>
      <c r="R999" s="18"/>
      <c r="S999" s="18"/>
      <c r="T999" s="18"/>
      <c r="U999" s="18"/>
      <c r="V999" s="18"/>
      <c r="W999" s="18"/>
      <c r="X999" s="18"/>
      <c r="Y999" s="18"/>
      <c r="Z999" s="18"/>
      <c r="AA999" s="18"/>
      <c r="AB999" s="18"/>
      <c r="AC999" s="18"/>
      <c r="AD999" s="18"/>
      <c r="AE999" s="18"/>
      <c r="AF999" s="18"/>
      <c r="AG999" s="18"/>
      <c r="AH999" s="18"/>
      <c r="AI999" s="18"/>
      <c r="AJ999" s="18"/>
      <c r="AK999" s="18"/>
      <c r="AL999" s="18"/>
      <c r="AM999" s="18"/>
      <c r="AN999" s="18"/>
      <c r="AO999" s="18"/>
      <c r="AP999" s="18"/>
      <c r="AQ999" s="18"/>
      <c r="AR999" s="18"/>
      <c r="AS999" s="18"/>
      <c r="AT999" s="18"/>
      <c r="AU999" s="18"/>
      <c r="AV999" s="18"/>
      <c r="AW999" s="18"/>
      <c r="AX999" s="18"/>
      <c r="AY999" s="18"/>
      <c r="AZ999" s="18"/>
      <c r="BA999" s="18"/>
      <c r="BB999" s="18"/>
      <c r="BC999" s="18"/>
      <c r="BD999" s="18"/>
      <c r="BE999" s="18"/>
      <c r="BF999" s="18"/>
      <c r="BG999" s="18"/>
      <c r="BH999" s="18"/>
      <c r="BI999" s="18"/>
      <c r="BJ999" s="18"/>
      <c r="BK999" s="18"/>
      <c r="BL999" s="18"/>
      <c r="BM999" s="18"/>
      <c r="BN999" s="18"/>
      <c r="BO999" s="18"/>
      <c r="BP999" s="18"/>
      <c r="BQ999" s="18"/>
      <c r="BR999" s="18"/>
      <c r="BS999" s="18"/>
      <c r="BT999" s="18"/>
      <c r="BU999" s="18"/>
      <c r="BV999" s="18"/>
      <c r="BW999" s="18"/>
      <c r="BX999" s="18"/>
      <c r="BY999" s="18"/>
      <c r="BZ999" s="18"/>
      <c r="CA999" s="18"/>
      <c r="CB999" s="18"/>
      <c r="CC999" s="18"/>
      <c r="CD999" s="18"/>
      <c r="CE999" s="18"/>
      <c r="CF999" s="18"/>
      <c r="CG999" s="18"/>
      <c r="CH999" s="18"/>
      <c r="CI999" s="18"/>
      <c r="CJ999" s="18"/>
      <c r="CK999" s="18"/>
      <c r="CL999" s="18"/>
      <c r="CM999" s="18"/>
      <c r="CN999" s="18"/>
      <c r="CO999" s="18"/>
      <c r="CP999" s="18"/>
      <c r="CQ999" s="18"/>
      <c r="CR999" s="18"/>
      <c r="CS999" s="18"/>
      <c r="CT999" s="18"/>
      <c r="CU999" s="18"/>
    </row>
    <row r="1000" spans="1:99">
      <c r="A1000" s="19"/>
      <c r="B1000" s="19"/>
      <c r="C1000" s="19"/>
      <c r="D1000" s="19"/>
      <c r="E1000" s="19"/>
      <c r="F1000" s="19"/>
      <c r="G1000" s="19"/>
      <c r="H1000" s="19"/>
      <c r="I1000" s="19"/>
      <c r="J1000" s="19"/>
      <c r="K1000" s="18"/>
      <c r="L1000" s="18"/>
      <c r="M1000" s="18"/>
      <c r="N1000" s="18"/>
      <c r="O1000" s="18"/>
      <c r="P1000" s="18"/>
      <c r="Q1000" s="18"/>
      <c r="R1000" s="18"/>
      <c r="S1000" s="18"/>
      <c r="T1000" s="18"/>
      <c r="U1000" s="18"/>
      <c r="V1000" s="18"/>
      <c r="W1000" s="18"/>
      <c r="X1000" s="18"/>
      <c r="Y1000" s="18"/>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c r="BC1000" s="18"/>
      <c r="BD1000" s="18"/>
      <c r="BE1000" s="18"/>
      <c r="BF1000" s="18"/>
      <c r="BG1000" s="18"/>
      <c r="BH1000" s="18"/>
      <c r="BI1000" s="18"/>
      <c r="BJ1000" s="18"/>
      <c r="BK1000" s="18"/>
      <c r="BL1000" s="18"/>
      <c r="BM1000" s="18"/>
      <c r="BN1000" s="18"/>
      <c r="BO1000" s="18"/>
      <c r="BP1000" s="18"/>
      <c r="BQ1000" s="18"/>
      <c r="BR1000" s="18"/>
      <c r="BS1000" s="18"/>
      <c r="BT1000" s="18"/>
      <c r="BU1000" s="18"/>
      <c r="BV1000" s="18"/>
      <c r="BW1000" s="18"/>
      <c r="BX1000" s="18"/>
      <c r="BY1000" s="18"/>
      <c r="BZ1000" s="18"/>
      <c r="CA1000" s="18"/>
      <c r="CB1000" s="18"/>
      <c r="CC1000" s="18"/>
      <c r="CD1000" s="18"/>
      <c r="CE1000" s="18"/>
      <c r="CF1000" s="18"/>
      <c r="CG1000" s="18"/>
      <c r="CH1000" s="18"/>
      <c r="CI1000" s="18"/>
      <c r="CJ1000" s="18"/>
      <c r="CK1000" s="18"/>
      <c r="CL1000" s="18"/>
      <c r="CM1000" s="18"/>
      <c r="CN1000" s="18"/>
      <c r="CO1000" s="18"/>
      <c r="CP1000" s="18"/>
      <c r="CQ1000" s="18"/>
      <c r="CR1000" s="18"/>
      <c r="CS1000" s="18"/>
      <c r="CT1000" s="18"/>
      <c r="CU1000" s="18"/>
    </row>
    <row r="1001" spans="1:99">
      <c r="A1001" s="19"/>
      <c r="B1001" s="19"/>
      <c r="C1001" s="19"/>
      <c r="D1001" s="19"/>
      <c r="E1001" s="19"/>
      <c r="F1001" s="19"/>
      <c r="G1001" s="19"/>
      <c r="H1001" s="19"/>
      <c r="I1001" s="19"/>
      <c r="J1001" s="19"/>
      <c r="K1001" s="18"/>
      <c r="L1001" s="18"/>
      <c r="M1001" s="18"/>
      <c r="N1001" s="18"/>
      <c r="O1001" s="18"/>
      <c r="P1001" s="18"/>
      <c r="Q1001" s="18"/>
      <c r="R1001" s="18"/>
      <c r="S1001" s="18"/>
      <c r="T1001" s="18"/>
      <c r="U1001" s="18"/>
      <c r="V1001" s="18"/>
      <c r="W1001" s="18"/>
      <c r="X1001" s="18"/>
      <c r="Y1001" s="18"/>
      <c r="Z1001" s="18"/>
      <c r="AA1001" s="18"/>
      <c r="AB1001" s="18"/>
      <c r="AC1001" s="18"/>
      <c r="AD1001" s="18"/>
      <c r="AE1001" s="18"/>
      <c r="AF1001" s="18"/>
      <c r="AG1001" s="18"/>
      <c r="AH1001" s="18"/>
      <c r="AI1001" s="18"/>
      <c r="AJ1001" s="18"/>
      <c r="AK1001" s="18"/>
      <c r="AL1001" s="18"/>
      <c r="AM1001" s="18"/>
      <c r="AN1001" s="18"/>
      <c r="AO1001" s="18"/>
      <c r="AP1001" s="18"/>
      <c r="AQ1001" s="18"/>
      <c r="AR1001" s="18"/>
      <c r="AS1001" s="18"/>
      <c r="AT1001" s="18"/>
      <c r="AU1001" s="18"/>
      <c r="AV1001" s="18"/>
      <c r="AW1001" s="18"/>
      <c r="AX1001" s="18"/>
      <c r="AY1001" s="18"/>
      <c r="AZ1001" s="18"/>
      <c r="BA1001" s="18"/>
      <c r="BB1001" s="18"/>
      <c r="BC1001" s="18"/>
      <c r="BD1001" s="18"/>
      <c r="BE1001" s="18"/>
      <c r="BF1001" s="18"/>
      <c r="BG1001" s="18"/>
      <c r="BH1001" s="18"/>
      <c r="BI1001" s="18"/>
      <c r="BJ1001" s="18"/>
      <c r="BK1001" s="18"/>
      <c r="BL1001" s="18"/>
      <c r="BM1001" s="18"/>
      <c r="BN1001" s="18"/>
      <c r="BO1001" s="18"/>
      <c r="BP1001" s="18"/>
      <c r="BQ1001" s="18"/>
      <c r="BR1001" s="18"/>
      <c r="BS1001" s="18"/>
      <c r="BT1001" s="18"/>
      <c r="BU1001" s="18"/>
      <c r="BV1001" s="18"/>
      <c r="BW1001" s="18"/>
      <c r="BX1001" s="18"/>
      <c r="BY1001" s="18"/>
      <c r="BZ1001" s="18"/>
      <c r="CA1001" s="18"/>
      <c r="CB1001" s="18"/>
      <c r="CC1001" s="18"/>
      <c r="CD1001" s="18"/>
      <c r="CE1001" s="18"/>
      <c r="CF1001" s="18"/>
      <c r="CG1001" s="18"/>
      <c r="CH1001" s="18"/>
      <c r="CI1001" s="18"/>
      <c r="CJ1001" s="18"/>
      <c r="CK1001" s="18"/>
      <c r="CL1001" s="18"/>
      <c r="CM1001" s="18"/>
      <c r="CN1001" s="18"/>
      <c r="CO1001" s="18"/>
      <c r="CP1001" s="18"/>
      <c r="CQ1001" s="18"/>
      <c r="CR1001" s="18"/>
      <c r="CS1001" s="18"/>
      <c r="CT1001" s="18"/>
      <c r="CU1001" s="18"/>
    </row>
    <row r="1002" spans="1:99">
      <c r="A1002" s="19"/>
      <c r="B1002" s="19"/>
      <c r="C1002" s="19"/>
      <c r="D1002" s="19"/>
      <c r="E1002" s="19"/>
      <c r="F1002" s="19"/>
      <c r="G1002" s="19"/>
      <c r="H1002" s="19"/>
      <c r="I1002" s="19"/>
      <c r="J1002" s="19"/>
      <c r="K1002" s="18"/>
      <c r="L1002" s="18"/>
      <c r="M1002" s="18"/>
      <c r="N1002" s="18"/>
      <c r="O1002" s="18"/>
      <c r="P1002" s="18"/>
      <c r="Q1002" s="18"/>
      <c r="R1002" s="18"/>
      <c r="S1002" s="18"/>
      <c r="T1002" s="18"/>
      <c r="U1002" s="18"/>
      <c r="V1002" s="18"/>
      <c r="W1002" s="18"/>
      <c r="X1002" s="18"/>
      <c r="Y1002" s="18"/>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c r="BC1002" s="18"/>
      <c r="BD1002" s="18"/>
      <c r="BE1002" s="18"/>
      <c r="BF1002" s="18"/>
      <c r="BG1002" s="18"/>
      <c r="BH1002" s="18"/>
      <c r="BI1002" s="18"/>
      <c r="BJ1002" s="18"/>
      <c r="BK1002" s="18"/>
      <c r="BL1002" s="18"/>
      <c r="BM1002" s="18"/>
      <c r="BN1002" s="18"/>
      <c r="BO1002" s="18"/>
      <c r="BP1002" s="18"/>
      <c r="BQ1002" s="18"/>
      <c r="BR1002" s="18"/>
      <c r="BS1002" s="18"/>
      <c r="BT1002" s="18"/>
      <c r="BU1002" s="18"/>
      <c r="BV1002" s="18"/>
      <c r="BW1002" s="18"/>
      <c r="BX1002" s="18"/>
      <c r="BY1002" s="18"/>
      <c r="BZ1002" s="18"/>
      <c r="CA1002" s="18"/>
      <c r="CB1002" s="18"/>
      <c r="CC1002" s="18"/>
      <c r="CD1002" s="18"/>
      <c r="CE1002" s="18"/>
      <c r="CF1002" s="18"/>
      <c r="CG1002" s="18"/>
      <c r="CH1002" s="18"/>
      <c r="CI1002" s="18"/>
      <c r="CJ1002" s="18"/>
      <c r="CK1002" s="18"/>
      <c r="CL1002" s="18"/>
      <c r="CM1002" s="18"/>
      <c r="CN1002" s="18"/>
      <c r="CO1002" s="18"/>
      <c r="CP1002" s="18"/>
      <c r="CQ1002" s="18"/>
      <c r="CR1002" s="18"/>
      <c r="CS1002" s="18"/>
      <c r="CT1002" s="18"/>
      <c r="CU1002" s="18"/>
    </row>
    <row r="1003" spans="1:99">
      <c r="A1003" s="19"/>
      <c r="B1003" s="19"/>
      <c r="C1003" s="19"/>
      <c r="D1003" s="19"/>
      <c r="E1003" s="19"/>
      <c r="F1003" s="19"/>
      <c r="G1003" s="19"/>
      <c r="H1003" s="19"/>
      <c r="I1003" s="19"/>
      <c r="J1003" s="19"/>
      <c r="K1003" s="18"/>
      <c r="L1003" s="18"/>
      <c r="M1003" s="18"/>
      <c r="N1003" s="18"/>
      <c r="O1003" s="18"/>
      <c r="P1003" s="18"/>
      <c r="Q1003" s="18"/>
      <c r="R1003" s="18"/>
      <c r="S1003" s="18"/>
      <c r="T1003" s="18"/>
      <c r="U1003" s="18"/>
      <c r="V1003" s="18"/>
      <c r="W1003" s="18"/>
      <c r="X1003" s="18"/>
      <c r="Y1003" s="18"/>
      <c r="Z1003" s="18"/>
      <c r="AA1003" s="18"/>
      <c r="AB1003" s="18"/>
      <c r="AC1003" s="18"/>
      <c r="AD1003" s="18"/>
      <c r="AE1003" s="18"/>
      <c r="AF1003" s="18"/>
      <c r="AG1003" s="18"/>
      <c r="AH1003" s="18"/>
      <c r="AI1003" s="18"/>
      <c r="AJ1003" s="18"/>
      <c r="AK1003" s="18"/>
      <c r="AL1003" s="18"/>
      <c r="AM1003" s="18"/>
      <c r="AN1003" s="18"/>
      <c r="AO1003" s="18"/>
      <c r="AP1003" s="18"/>
      <c r="AQ1003" s="18"/>
      <c r="AR1003" s="18"/>
      <c r="AS1003" s="18"/>
      <c r="AT1003" s="18"/>
      <c r="AU1003" s="18"/>
      <c r="AV1003" s="18"/>
      <c r="AW1003" s="18"/>
      <c r="AX1003" s="18"/>
      <c r="AY1003" s="18"/>
      <c r="AZ1003" s="18"/>
      <c r="BA1003" s="18"/>
      <c r="BB1003" s="18"/>
      <c r="BC1003" s="18"/>
      <c r="BD1003" s="18"/>
      <c r="BE1003" s="18"/>
      <c r="BF1003" s="18"/>
      <c r="BG1003" s="18"/>
      <c r="BH1003" s="18"/>
      <c r="BI1003" s="18"/>
      <c r="BJ1003" s="18"/>
      <c r="BK1003" s="18"/>
      <c r="BL1003" s="18"/>
      <c r="BM1003" s="18"/>
      <c r="BN1003" s="18"/>
      <c r="BO1003" s="18"/>
      <c r="BP1003" s="18"/>
      <c r="BQ1003" s="18"/>
      <c r="BR1003" s="18"/>
      <c r="BS1003" s="18"/>
      <c r="BT1003" s="18"/>
      <c r="BU1003" s="18"/>
      <c r="BV1003" s="18"/>
      <c r="BW1003" s="18"/>
      <c r="BX1003" s="18"/>
      <c r="BY1003" s="18"/>
      <c r="BZ1003" s="18"/>
      <c r="CA1003" s="18"/>
      <c r="CB1003" s="18"/>
      <c r="CC1003" s="18"/>
      <c r="CD1003" s="18"/>
      <c r="CE1003" s="18"/>
      <c r="CF1003" s="18"/>
      <c r="CG1003" s="18"/>
      <c r="CH1003" s="18"/>
      <c r="CI1003" s="18"/>
      <c r="CJ1003" s="18"/>
      <c r="CK1003" s="18"/>
      <c r="CL1003" s="18"/>
      <c r="CM1003" s="18"/>
      <c r="CN1003" s="18"/>
      <c r="CO1003" s="18"/>
      <c r="CP1003" s="18"/>
      <c r="CQ1003" s="18"/>
      <c r="CR1003" s="18"/>
      <c r="CS1003" s="18"/>
      <c r="CT1003" s="18"/>
      <c r="CU1003" s="18"/>
    </row>
    <row r="1004" spans="1:99">
      <c r="A1004" s="19"/>
      <c r="B1004" s="19"/>
      <c r="C1004" s="19"/>
      <c r="D1004" s="19"/>
      <c r="E1004" s="19"/>
      <c r="F1004" s="19"/>
      <c r="G1004" s="19"/>
      <c r="H1004" s="19"/>
      <c r="I1004" s="19"/>
      <c r="J1004" s="19"/>
      <c r="K1004" s="18"/>
      <c r="L1004" s="18"/>
      <c r="M1004" s="18"/>
      <c r="N1004" s="18"/>
      <c r="O1004" s="18"/>
      <c r="P1004" s="18"/>
      <c r="Q1004" s="18"/>
      <c r="R1004" s="18"/>
      <c r="S1004" s="18"/>
      <c r="T1004" s="18"/>
      <c r="U1004" s="18"/>
      <c r="V1004" s="18"/>
      <c r="W1004" s="18"/>
      <c r="X1004" s="18"/>
      <c r="Y1004" s="18"/>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c r="BC1004" s="18"/>
      <c r="BD1004" s="18"/>
      <c r="BE1004" s="18"/>
      <c r="BF1004" s="18"/>
      <c r="BG1004" s="18"/>
      <c r="BH1004" s="18"/>
      <c r="BI1004" s="18"/>
      <c r="BJ1004" s="18"/>
      <c r="BK1004" s="18"/>
      <c r="BL1004" s="18"/>
      <c r="BM1004" s="18"/>
      <c r="BN1004" s="18"/>
      <c r="BO1004" s="18"/>
      <c r="BP1004" s="18"/>
      <c r="BQ1004" s="18"/>
      <c r="BR1004" s="18"/>
      <c r="BS1004" s="18"/>
      <c r="BT1004" s="18"/>
      <c r="BU1004" s="18"/>
      <c r="BV1004" s="18"/>
      <c r="BW1004" s="18"/>
      <c r="BX1004" s="18"/>
      <c r="BY1004" s="18"/>
      <c r="BZ1004" s="18"/>
      <c r="CA1004" s="18"/>
      <c r="CB1004" s="18"/>
      <c r="CC1004" s="18"/>
      <c r="CD1004" s="18"/>
      <c r="CE1004" s="18"/>
      <c r="CF1004" s="18"/>
      <c r="CG1004" s="18"/>
      <c r="CH1004" s="18"/>
      <c r="CI1004" s="18"/>
      <c r="CJ1004" s="18"/>
      <c r="CK1004" s="18"/>
      <c r="CL1004" s="18"/>
      <c r="CM1004" s="18"/>
      <c r="CN1004" s="18"/>
      <c r="CO1004" s="18"/>
      <c r="CP1004" s="18"/>
      <c r="CQ1004" s="18"/>
      <c r="CR1004" s="18"/>
      <c r="CS1004" s="18"/>
      <c r="CT1004" s="18"/>
      <c r="CU1004" s="18"/>
    </row>
    <row r="1005" spans="1:99">
      <c r="A1005" s="19"/>
      <c r="B1005" s="19"/>
      <c r="C1005" s="19"/>
      <c r="D1005" s="19"/>
      <c r="E1005" s="19"/>
      <c r="F1005" s="19"/>
      <c r="G1005" s="19"/>
      <c r="H1005" s="19"/>
      <c r="I1005" s="19"/>
      <c r="J1005" s="19"/>
      <c r="K1005" s="18"/>
      <c r="L1005" s="18"/>
      <c r="M1005" s="18"/>
      <c r="N1005" s="18"/>
      <c r="O1005" s="18"/>
      <c r="P1005" s="18"/>
      <c r="Q1005" s="18"/>
      <c r="R1005" s="18"/>
      <c r="S1005" s="18"/>
      <c r="T1005" s="18"/>
      <c r="U1005" s="18"/>
      <c r="V1005" s="18"/>
      <c r="W1005" s="18"/>
      <c r="X1005" s="18"/>
      <c r="Y1005" s="18"/>
      <c r="Z1005" s="18"/>
      <c r="AA1005" s="18"/>
      <c r="AB1005" s="18"/>
      <c r="AC1005" s="18"/>
      <c r="AD1005" s="18"/>
      <c r="AE1005" s="18"/>
      <c r="AF1005" s="18"/>
      <c r="AG1005" s="18"/>
      <c r="AH1005" s="18"/>
      <c r="AI1005" s="18"/>
      <c r="AJ1005" s="18"/>
      <c r="AK1005" s="18"/>
      <c r="AL1005" s="18"/>
      <c r="AM1005" s="18"/>
      <c r="AN1005" s="18"/>
      <c r="AO1005" s="18"/>
      <c r="AP1005" s="18"/>
      <c r="AQ1005" s="18"/>
      <c r="AR1005" s="18"/>
      <c r="AS1005" s="18"/>
      <c r="AT1005" s="18"/>
      <c r="AU1005" s="18"/>
      <c r="AV1005" s="18"/>
      <c r="AW1005" s="18"/>
      <c r="AX1005" s="18"/>
      <c r="AY1005" s="18"/>
      <c r="AZ1005" s="18"/>
      <c r="BA1005" s="18"/>
      <c r="BB1005" s="18"/>
      <c r="BC1005" s="18"/>
      <c r="BD1005" s="18"/>
      <c r="BE1005" s="18"/>
      <c r="BF1005" s="18"/>
      <c r="BG1005" s="18"/>
      <c r="BH1005" s="18"/>
      <c r="BI1005" s="18"/>
      <c r="BJ1005" s="18"/>
      <c r="BK1005" s="18"/>
      <c r="BL1005" s="18"/>
      <c r="BM1005" s="18"/>
      <c r="BN1005" s="18"/>
      <c r="BO1005" s="18"/>
      <c r="BP1005" s="18"/>
      <c r="BQ1005" s="18"/>
      <c r="BR1005" s="18"/>
      <c r="BS1005" s="18"/>
      <c r="BT1005" s="18"/>
      <c r="BU1005" s="18"/>
      <c r="BV1005" s="18"/>
      <c r="BW1005" s="18"/>
      <c r="BX1005" s="18"/>
      <c r="BY1005" s="18"/>
      <c r="BZ1005" s="18"/>
      <c r="CA1005" s="18"/>
      <c r="CB1005" s="18"/>
      <c r="CC1005" s="18"/>
      <c r="CD1005" s="18"/>
      <c r="CE1005" s="18"/>
      <c r="CF1005" s="18"/>
      <c r="CG1005" s="18"/>
      <c r="CH1005" s="18"/>
      <c r="CI1005" s="18"/>
      <c r="CJ1005" s="18"/>
      <c r="CK1005" s="18"/>
      <c r="CL1005" s="18"/>
      <c r="CM1005" s="18"/>
      <c r="CN1005" s="18"/>
      <c r="CO1005" s="18"/>
      <c r="CP1005" s="18"/>
      <c r="CQ1005" s="18"/>
      <c r="CR1005" s="18"/>
      <c r="CS1005" s="18"/>
      <c r="CT1005" s="18"/>
      <c r="CU1005" s="18"/>
    </row>
    <row r="1006" spans="1:99">
      <c r="A1006" s="19"/>
      <c r="B1006" s="19"/>
      <c r="C1006" s="19"/>
      <c r="D1006" s="19"/>
      <c r="E1006" s="19"/>
      <c r="F1006" s="19"/>
      <c r="G1006" s="19"/>
      <c r="H1006" s="19"/>
      <c r="I1006" s="19"/>
      <c r="J1006" s="19"/>
      <c r="K1006" s="18"/>
      <c r="L1006" s="18"/>
      <c r="M1006" s="18"/>
      <c r="N1006" s="18"/>
      <c r="O1006" s="18"/>
      <c r="P1006" s="18"/>
      <c r="Q1006" s="18"/>
      <c r="R1006" s="18"/>
      <c r="S1006" s="18"/>
      <c r="T1006" s="18"/>
      <c r="U1006" s="18"/>
      <c r="V1006" s="18"/>
      <c r="W1006" s="18"/>
      <c r="X1006" s="18"/>
      <c r="Y1006" s="18"/>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c r="BC1006" s="18"/>
      <c r="BD1006" s="18"/>
      <c r="BE1006" s="18"/>
      <c r="BF1006" s="18"/>
      <c r="BG1006" s="18"/>
      <c r="BH1006" s="18"/>
      <c r="BI1006" s="18"/>
      <c r="BJ1006" s="18"/>
      <c r="BK1006" s="18"/>
      <c r="BL1006" s="18"/>
      <c r="BM1006" s="18"/>
      <c r="BN1006" s="18"/>
      <c r="BO1006" s="18"/>
      <c r="BP1006" s="18"/>
      <c r="BQ1006" s="18"/>
      <c r="BR1006" s="18"/>
      <c r="BS1006" s="18"/>
      <c r="BT1006" s="18"/>
      <c r="BU1006" s="18"/>
      <c r="BV1006" s="18"/>
      <c r="BW1006" s="18"/>
      <c r="BX1006" s="18"/>
      <c r="BY1006" s="18"/>
      <c r="BZ1006" s="18"/>
      <c r="CA1006" s="18"/>
      <c r="CB1006" s="18"/>
      <c r="CC1006" s="18"/>
      <c r="CD1006" s="18"/>
      <c r="CE1006" s="18"/>
      <c r="CF1006" s="18"/>
      <c r="CG1006" s="18"/>
      <c r="CH1006" s="18"/>
      <c r="CI1006" s="18"/>
      <c r="CJ1006" s="18"/>
      <c r="CK1006" s="18"/>
      <c r="CL1006" s="18"/>
      <c r="CM1006" s="18"/>
      <c r="CN1006" s="18"/>
      <c r="CO1006" s="18"/>
      <c r="CP1006" s="18"/>
      <c r="CQ1006" s="18"/>
      <c r="CR1006" s="18"/>
      <c r="CS1006" s="18"/>
      <c r="CT1006" s="18"/>
      <c r="CU1006" s="18"/>
    </row>
    <row r="1007" spans="1:99">
      <c r="A1007" s="19"/>
      <c r="B1007" s="19"/>
      <c r="C1007" s="19"/>
      <c r="D1007" s="19"/>
      <c r="E1007" s="19"/>
      <c r="F1007" s="19"/>
      <c r="G1007" s="19"/>
      <c r="H1007" s="19"/>
      <c r="I1007" s="19"/>
      <c r="J1007" s="19"/>
      <c r="K1007" s="18"/>
      <c r="L1007" s="18"/>
      <c r="M1007" s="18"/>
      <c r="N1007" s="18"/>
      <c r="O1007" s="18"/>
      <c r="P1007" s="18"/>
      <c r="Q1007" s="18"/>
      <c r="R1007" s="18"/>
      <c r="S1007" s="18"/>
      <c r="T1007" s="18"/>
      <c r="U1007" s="18"/>
      <c r="V1007" s="18"/>
      <c r="W1007" s="18"/>
      <c r="X1007" s="18"/>
      <c r="Y1007" s="18"/>
      <c r="Z1007" s="18"/>
      <c r="AA1007" s="18"/>
      <c r="AB1007" s="18"/>
      <c r="AC1007" s="18"/>
      <c r="AD1007" s="18"/>
      <c r="AE1007" s="18"/>
      <c r="AF1007" s="18"/>
      <c r="AG1007" s="18"/>
      <c r="AH1007" s="18"/>
      <c r="AI1007" s="18"/>
      <c r="AJ1007" s="18"/>
      <c r="AK1007" s="18"/>
      <c r="AL1007" s="18"/>
      <c r="AM1007" s="18"/>
      <c r="AN1007" s="18"/>
      <c r="AO1007" s="18"/>
      <c r="AP1007" s="18"/>
      <c r="AQ1007" s="18"/>
      <c r="AR1007" s="18"/>
      <c r="AS1007" s="18"/>
      <c r="AT1007" s="18"/>
      <c r="AU1007" s="18"/>
      <c r="AV1007" s="18"/>
      <c r="AW1007" s="18"/>
      <c r="AX1007" s="18"/>
      <c r="AY1007" s="18"/>
      <c r="AZ1007" s="18"/>
      <c r="BA1007" s="18"/>
      <c r="BB1007" s="18"/>
      <c r="BC1007" s="18"/>
      <c r="BD1007" s="18"/>
      <c r="BE1007" s="18"/>
      <c r="BF1007" s="18"/>
      <c r="BG1007" s="18"/>
      <c r="BH1007" s="18"/>
      <c r="BI1007" s="18"/>
      <c r="BJ1007" s="18"/>
      <c r="BK1007" s="18"/>
      <c r="BL1007" s="18"/>
      <c r="BM1007" s="18"/>
      <c r="BN1007" s="18"/>
      <c r="BO1007" s="18"/>
      <c r="BP1007" s="18"/>
      <c r="BQ1007" s="18"/>
      <c r="BR1007" s="18"/>
      <c r="BS1007" s="18"/>
      <c r="BT1007" s="18"/>
      <c r="BU1007" s="18"/>
      <c r="BV1007" s="18"/>
      <c r="BW1007" s="18"/>
      <c r="BX1007" s="18"/>
      <c r="BY1007" s="18"/>
      <c r="BZ1007" s="18"/>
      <c r="CA1007" s="18"/>
      <c r="CB1007" s="18"/>
      <c r="CC1007" s="18"/>
      <c r="CD1007" s="18"/>
      <c r="CE1007" s="18"/>
      <c r="CF1007" s="18"/>
      <c r="CG1007" s="18"/>
      <c r="CH1007" s="18"/>
      <c r="CI1007" s="18"/>
      <c r="CJ1007" s="18"/>
      <c r="CK1007" s="18"/>
      <c r="CL1007" s="18"/>
      <c r="CM1007" s="18"/>
      <c r="CN1007" s="18"/>
      <c r="CO1007" s="18"/>
      <c r="CP1007" s="18"/>
      <c r="CQ1007" s="18"/>
      <c r="CR1007" s="18"/>
      <c r="CS1007" s="18"/>
      <c r="CT1007" s="18"/>
      <c r="CU1007" s="18"/>
    </row>
    <row r="1008" spans="1:99">
      <c r="A1008" s="19"/>
      <c r="B1008" s="19"/>
      <c r="C1008" s="19"/>
      <c r="D1008" s="19"/>
      <c r="E1008" s="19"/>
      <c r="F1008" s="19"/>
      <c r="G1008" s="19"/>
      <c r="H1008" s="19"/>
      <c r="I1008" s="19"/>
      <c r="J1008" s="19"/>
      <c r="K1008" s="18"/>
      <c r="L1008" s="18"/>
      <c r="M1008" s="18"/>
      <c r="N1008" s="18"/>
      <c r="O1008" s="18"/>
      <c r="P1008" s="18"/>
      <c r="Q1008" s="18"/>
      <c r="R1008" s="18"/>
      <c r="S1008" s="18"/>
      <c r="T1008" s="18"/>
      <c r="U1008" s="18"/>
      <c r="V1008" s="18"/>
      <c r="W1008" s="18"/>
      <c r="X1008" s="18"/>
      <c r="Y1008" s="18"/>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c r="BC1008" s="18"/>
      <c r="BD1008" s="18"/>
      <c r="BE1008" s="18"/>
      <c r="BF1008" s="18"/>
      <c r="BG1008" s="18"/>
      <c r="BH1008" s="18"/>
      <c r="BI1008" s="18"/>
      <c r="BJ1008" s="18"/>
      <c r="BK1008" s="18"/>
      <c r="BL1008" s="18"/>
      <c r="BM1008" s="18"/>
      <c r="BN1008" s="18"/>
      <c r="BO1008" s="18"/>
      <c r="BP1008" s="18"/>
      <c r="BQ1008" s="18"/>
      <c r="BR1008" s="18"/>
      <c r="BS1008" s="18"/>
      <c r="BT1008" s="18"/>
      <c r="BU1008" s="18"/>
      <c r="BV1008" s="18"/>
      <c r="BW1008" s="18"/>
      <c r="BX1008" s="18"/>
      <c r="BY1008" s="18"/>
      <c r="BZ1008" s="18"/>
      <c r="CA1008" s="18"/>
      <c r="CB1008" s="18"/>
      <c r="CC1008" s="18"/>
      <c r="CD1008" s="18"/>
      <c r="CE1008" s="18"/>
      <c r="CF1008" s="18"/>
      <c r="CG1008" s="18"/>
      <c r="CH1008" s="18"/>
      <c r="CI1008" s="18"/>
      <c r="CJ1008" s="18"/>
      <c r="CK1008" s="18"/>
      <c r="CL1008" s="18"/>
      <c r="CM1008" s="18"/>
      <c r="CN1008" s="18"/>
      <c r="CO1008" s="18"/>
      <c r="CP1008" s="18"/>
      <c r="CQ1008" s="18"/>
      <c r="CR1008" s="18"/>
      <c r="CS1008" s="18"/>
      <c r="CT1008" s="18"/>
      <c r="CU1008" s="18"/>
    </row>
    <row r="1009" spans="1:99">
      <c r="A1009" s="19"/>
      <c r="B1009" s="19"/>
      <c r="C1009" s="19"/>
      <c r="D1009" s="19"/>
      <c r="E1009" s="19"/>
      <c r="F1009" s="19"/>
      <c r="G1009" s="19"/>
      <c r="H1009" s="19"/>
      <c r="I1009" s="19"/>
      <c r="J1009" s="19"/>
      <c r="K1009" s="18"/>
      <c r="L1009" s="18"/>
      <c r="M1009" s="18"/>
      <c r="N1009" s="18"/>
      <c r="O1009" s="18"/>
      <c r="P1009" s="18"/>
      <c r="Q1009" s="18"/>
      <c r="R1009" s="18"/>
      <c r="S1009" s="18"/>
      <c r="T1009" s="18"/>
      <c r="U1009" s="18"/>
      <c r="V1009" s="18"/>
      <c r="W1009" s="18"/>
      <c r="X1009" s="18"/>
      <c r="Y1009" s="18"/>
      <c r="Z1009" s="18"/>
      <c r="AA1009" s="18"/>
      <c r="AB1009" s="18"/>
      <c r="AC1009" s="18"/>
      <c r="AD1009" s="18"/>
      <c r="AE1009" s="18"/>
      <c r="AF1009" s="18"/>
      <c r="AG1009" s="18"/>
      <c r="AH1009" s="18"/>
      <c r="AI1009" s="18"/>
      <c r="AJ1009" s="18"/>
      <c r="AK1009" s="18"/>
      <c r="AL1009" s="18"/>
      <c r="AM1009" s="18"/>
      <c r="AN1009" s="18"/>
      <c r="AO1009" s="18"/>
      <c r="AP1009" s="18"/>
      <c r="AQ1009" s="18"/>
      <c r="AR1009" s="18"/>
      <c r="AS1009" s="18"/>
      <c r="AT1009" s="18"/>
      <c r="AU1009" s="18"/>
      <c r="AV1009" s="18"/>
      <c r="AW1009" s="18"/>
      <c r="AX1009" s="18"/>
      <c r="AY1009" s="18"/>
      <c r="AZ1009" s="18"/>
      <c r="BA1009" s="18"/>
      <c r="BB1009" s="18"/>
      <c r="BC1009" s="18"/>
      <c r="BD1009" s="18"/>
      <c r="BE1009" s="18"/>
      <c r="BF1009" s="18"/>
      <c r="BG1009" s="18"/>
      <c r="BH1009" s="18"/>
      <c r="BI1009" s="18"/>
      <c r="BJ1009" s="18"/>
      <c r="BK1009" s="18"/>
      <c r="BL1009" s="18"/>
      <c r="BM1009" s="18"/>
      <c r="BN1009" s="18"/>
      <c r="BO1009" s="18"/>
      <c r="BP1009" s="18"/>
      <c r="BQ1009" s="18"/>
      <c r="BR1009" s="18"/>
      <c r="BS1009" s="18"/>
      <c r="BT1009" s="18"/>
      <c r="BU1009" s="18"/>
      <c r="BV1009" s="18"/>
      <c r="BW1009" s="18"/>
      <c r="BX1009" s="18"/>
      <c r="BY1009" s="18"/>
      <c r="BZ1009" s="18"/>
      <c r="CA1009" s="18"/>
      <c r="CB1009" s="18"/>
      <c r="CC1009" s="18"/>
      <c r="CD1009" s="18"/>
      <c r="CE1009" s="18"/>
      <c r="CF1009" s="18"/>
      <c r="CG1009" s="18"/>
      <c r="CH1009" s="18"/>
      <c r="CI1009" s="18"/>
      <c r="CJ1009" s="18"/>
      <c r="CK1009" s="18"/>
      <c r="CL1009" s="18"/>
      <c r="CM1009" s="18"/>
      <c r="CN1009" s="18"/>
      <c r="CO1009" s="18"/>
      <c r="CP1009" s="18"/>
      <c r="CQ1009" s="18"/>
      <c r="CR1009" s="18"/>
      <c r="CS1009" s="18"/>
      <c r="CT1009" s="18"/>
      <c r="CU1009" s="18"/>
    </row>
    <row r="1010" spans="1:99">
      <c r="A1010" s="19"/>
      <c r="B1010" s="19"/>
      <c r="C1010" s="19"/>
      <c r="D1010" s="19"/>
      <c r="E1010" s="19"/>
      <c r="F1010" s="19"/>
      <c r="G1010" s="19"/>
      <c r="H1010" s="19"/>
      <c r="I1010" s="19"/>
      <c r="J1010" s="19"/>
      <c r="K1010" s="18"/>
      <c r="L1010" s="18"/>
      <c r="M1010" s="18"/>
      <c r="N1010" s="18"/>
      <c r="O1010" s="18"/>
      <c r="P1010" s="18"/>
      <c r="Q1010" s="18"/>
      <c r="R1010" s="18"/>
      <c r="S1010" s="18"/>
      <c r="T1010" s="18"/>
      <c r="U1010" s="18"/>
      <c r="V1010" s="18"/>
      <c r="W1010" s="18"/>
      <c r="X1010" s="18"/>
      <c r="Y1010" s="18"/>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c r="BC1010" s="18"/>
      <c r="BD1010" s="18"/>
      <c r="BE1010" s="18"/>
      <c r="BF1010" s="18"/>
      <c r="BG1010" s="18"/>
      <c r="BH1010" s="18"/>
      <c r="BI1010" s="18"/>
      <c r="BJ1010" s="18"/>
      <c r="BK1010" s="18"/>
      <c r="BL1010" s="18"/>
      <c r="BM1010" s="18"/>
      <c r="BN1010" s="18"/>
      <c r="BO1010" s="18"/>
      <c r="BP1010" s="18"/>
      <c r="BQ1010" s="18"/>
      <c r="BR1010" s="18"/>
      <c r="BS1010" s="18"/>
      <c r="BT1010" s="18"/>
      <c r="BU1010" s="18"/>
      <c r="BV1010" s="18"/>
      <c r="BW1010" s="18"/>
      <c r="BX1010" s="18"/>
      <c r="BY1010" s="18"/>
      <c r="BZ1010" s="18"/>
      <c r="CA1010" s="18"/>
      <c r="CB1010" s="18"/>
      <c r="CC1010" s="18"/>
      <c r="CD1010" s="18"/>
      <c r="CE1010" s="18"/>
      <c r="CF1010" s="18"/>
      <c r="CG1010" s="18"/>
      <c r="CH1010" s="18"/>
      <c r="CI1010" s="18"/>
      <c r="CJ1010" s="18"/>
      <c r="CK1010" s="18"/>
      <c r="CL1010" s="18"/>
      <c r="CM1010" s="18"/>
      <c r="CN1010" s="18"/>
      <c r="CO1010" s="18"/>
      <c r="CP1010" s="18"/>
      <c r="CQ1010" s="18"/>
      <c r="CR1010" s="18"/>
      <c r="CS1010" s="18"/>
      <c r="CT1010" s="18"/>
      <c r="CU1010" s="18"/>
    </row>
    <row r="1011" spans="1:99">
      <c r="A1011" s="19"/>
      <c r="B1011" s="19"/>
      <c r="C1011" s="19"/>
      <c r="D1011" s="19"/>
      <c r="E1011" s="19"/>
      <c r="F1011" s="19"/>
      <c r="G1011" s="19"/>
      <c r="H1011" s="19"/>
      <c r="I1011" s="19"/>
      <c r="J1011" s="19"/>
      <c r="K1011" s="18"/>
      <c r="L1011" s="18"/>
      <c r="M1011" s="18"/>
      <c r="N1011" s="18"/>
      <c r="O1011" s="18"/>
      <c r="P1011" s="18"/>
      <c r="Q1011" s="18"/>
      <c r="R1011" s="18"/>
      <c r="S1011" s="18"/>
      <c r="T1011" s="18"/>
      <c r="U1011" s="18"/>
      <c r="V1011" s="18"/>
      <c r="W1011" s="18"/>
      <c r="X1011" s="18"/>
      <c r="Y1011" s="18"/>
      <c r="Z1011" s="18"/>
      <c r="AA1011" s="18"/>
      <c r="AB1011" s="18"/>
      <c r="AC1011" s="18"/>
      <c r="AD1011" s="18"/>
      <c r="AE1011" s="18"/>
      <c r="AF1011" s="18"/>
      <c r="AG1011" s="18"/>
      <c r="AH1011" s="18"/>
      <c r="AI1011" s="18"/>
      <c r="AJ1011" s="18"/>
      <c r="AK1011" s="18"/>
      <c r="AL1011" s="18"/>
      <c r="AM1011" s="18"/>
      <c r="AN1011" s="18"/>
      <c r="AO1011" s="18"/>
      <c r="AP1011" s="18"/>
      <c r="AQ1011" s="18"/>
      <c r="AR1011" s="18"/>
      <c r="AS1011" s="18"/>
      <c r="AT1011" s="18"/>
      <c r="AU1011" s="18"/>
      <c r="AV1011" s="18"/>
      <c r="AW1011" s="18"/>
      <c r="AX1011" s="18"/>
      <c r="AY1011" s="18"/>
      <c r="AZ1011" s="18"/>
      <c r="BA1011" s="18"/>
      <c r="BB1011" s="18"/>
      <c r="BC1011" s="18"/>
      <c r="BD1011" s="18"/>
      <c r="BE1011" s="18"/>
      <c r="BF1011" s="18"/>
      <c r="BG1011" s="18"/>
      <c r="BH1011" s="18"/>
      <c r="BI1011" s="18"/>
      <c r="BJ1011" s="18"/>
      <c r="BK1011" s="18"/>
      <c r="BL1011" s="18"/>
      <c r="BM1011" s="18"/>
      <c r="BN1011" s="18"/>
      <c r="BO1011" s="18"/>
      <c r="BP1011" s="18"/>
      <c r="BQ1011" s="18"/>
      <c r="BR1011" s="18"/>
      <c r="BS1011" s="18"/>
      <c r="BT1011" s="18"/>
      <c r="BU1011" s="18"/>
      <c r="BV1011" s="18"/>
      <c r="BW1011" s="18"/>
      <c r="BX1011" s="18"/>
      <c r="BY1011" s="18"/>
      <c r="BZ1011" s="18"/>
      <c r="CA1011" s="18"/>
      <c r="CB1011" s="18"/>
      <c r="CC1011" s="18"/>
      <c r="CD1011" s="18"/>
      <c r="CE1011" s="18"/>
      <c r="CF1011" s="18"/>
      <c r="CG1011" s="18"/>
      <c r="CH1011" s="18"/>
      <c r="CI1011" s="18"/>
      <c r="CJ1011" s="18"/>
      <c r="CK1011" s="18"/>
      <c r="CL1011" s="18"/>
      <c r="CM1011" s="18"/>
      <c r="CN1011" s="18"/>
      <c r="CO1011" s="18"/>
      <c r="CP1011" s="18"/>
      <c r="CQ1011" s="18"/>
      <c r="CR1011" s="18"/>
      <c r="CS1011" s="18"/>
      <c r="CT1011" s="18"/>
      <c r="CU1011" s="18"/>
    </row>
    <row r="1012" spans="1:99">
      <c r="A1012" s="19"/>
      <c r="B1012" s="19"/>
      <c r="C1012" s="19"/>
      <c r="D1012" s="19"/>
      <c r="E1012" s="19"/>
      <c r="F1012" s="19"/>
      <c r="G1012" s="19"/>
      <c r="H1012" s="19"/>
      <c r="I1012" s="19"/>
      <c r="J1012" s="19"/>
      <c r="K1012" s="18"/>
      <c r="L1012" s="18"/>
      <c r="M1012" s="18"/>
      <c r="N1012" s="18"/>
      <c r="O1012" s="18"/>
      <c r="P1012" s="18"/>
      <c r="Q1012" s="18"/>
      <c r="R1012" s="18"/>
      <c r="S1012" s="18"/>
      <c r="T1012" s="18"/>
      <c r="U1012" s="18"/>
      <c r="V1012" s="18"/>
      <c r="W1012" s="18"/>
      <c r="X1012" s="18"/>
      <c r="Y1012" s="18"/>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c r="BC1012" s="18"/>
      <c r="BD1012" s="18"/>
      <c r="BE1012" s="18"/>
      <c r="BF1012" s="18"/>
      <c r="BG1012" s="18"/>
      <c r="BH1012" s="18"/>
      <c r="BI1012" s="18"/>
      <c r="BJ1012" s="18"/>
      <c r="BK1012" s="18"/>
      <c r="BL1012" s="18"/>
      <c r="BM1012" s="18"/>
      <c r="BN1012" s="18"/>
      <c r="BO1012" s="18"/>
      <c r="BP1012" s="18"/>
      <c r="BQ1012" s="18"/>
      <c r="BR1012" s="18"/>
      <c r="BS1012" s="18"/>
      <c r="BT1012" s="18"/>
      <c r="BU1012" s="18"/>
      <c r="BV1012" s="18"/>
      <c r="BW1012" s="18"/>
      <c r="BX1012" s="18"/>
      <c r="BY1012" s="18"/>
      <c r="BZ1012" s="18"/>
      <c r="CA1012" s="18"/>
      <c r="CB1012" s="18"/>
      <c r="CC1012" s="18"/>
      <c r="CD1012" s="18"/>
      <c r="CE1012" s="18"/>
      <c r="CF1012" s="18"/>
      <c r="CG1012" s="18"/>
      <c r="CH1012" s="18"/>
      <c r="CI1012" s="18"/>
      <c r="CJ1012" s="18"/>
      <c r="CK1012" s="18"/>
      <c r="CL1012" s="18"/>
      <c r="CM1012" s="18"/>
      <c r="CN1012" s="18"/>
      <c r="CO1012" s="18"/>
      <c r="CP1012" s="18"/>
      <c r="CQ1012" s="18"/>
      <c r="CR1012" s="18"/>
      <c r="CS1012" s="18"/>
      <c r="CT1012" s="18"/>
      <c r="CU1012" s="18"/>
    </row>
    <row r="1013" spans="1:99">
      <c r="A1013" s="19"/>
      <c r="B1013" s="19"/>
      <c r="C1013" s="19"/>
      <c r="D1013" s="19"/>
      <c r="E1013" s="19"/>
      <c r="F1013" s="19"/>
      <c r="G1013" s="19"/>
      <c r="H1013" s="19"/>
      <c r="I1013" s="19"/>
      <c r="J1013" s="19"/>
      <c r="K1013" s="18"/>
      <c r="L1013" s="18"/>
      <c r="M1013" s="18"/>
      <c r="N1013" s="18"/>
      <c r="O1013" s="18"/>
      <c r="P1013" s="18"/>
      <c r="Q1013" s="18"/>
      <c r="R1013" s="18"/>
      <c r="S1013" s="18"/>
      <c r="T1013" s="18"/>
      <c r="U1013" s="18"/>
      <c r="V1013" s="18"/>
      <c r="W1013" s="18"/>
      <c r="X1013" s="18"/>
      <c r="Y1013" s="18"/>
      <c r="Z1013" s="18"/>
      <c r="AA1013" s="18"/>
      <c r="AB1013" s="18"/>
      <c r="AC1013" s="18"/>
      <c r="AD1013" s="18"/>
      <c r="AE1013" s="18"/>
      <c r="AF1013" s="18"/>
      <c r="AG1013" s="18"/>
      <c r="AH1013" s="18"/>
      <c r="AI1013" s="18"/>
      <c r="AJ1013" s="18"/>
      <c r="AK1013" s="18"/>
      <c r="AL1013" s="18"/>
      <c r="AM1013" s="18"/>
      <c r="AN1013" s="18"/>
      <c r="AO1013" s="18"/>
      <c r="AP1013" s="18"/>
      <c r="AQ1013" s="18"/>
      <c r="AR1013" s="18"/>
      <c r="AS1013" s="18"/>
      <c r="AT1013" s="18"/>
      <c r="AU1013" s="18"/>
      <c r="AV1013" s="18"/>
      <c r="AW1013" s="18"/>
      <c r="AX1013" s="18"/>
      <c r="AY1013" s="18"/>
      <c r="AZ1013" s="18"/>
      <c r="BA1013" s="18"/>
      <c r="BB1013" s="18"/>
      <c r="BC1013" s="18"/>
      <c r="BD1013" s="18"/>
      <c r="BE1013" s="18"/>
      <c r="BF1013" s="18"/>
      <c r="BG1013" s="18"/>
      <c r="BH1013" s="18"/>
      <c r="BI1013" s="18"/>
      <c r="BJ1013" s="18"/>
      <c r="BK1013" s="18"/>
      <c r="BL1013" s="18"/>
      <c r="BM1013" s="18"/>
      <c r="BN1013" s="18"/>
      <c r="BO1013" s="18"/>
      <c r="BP1013" s="18"/>
      <c r="BQ1013" s="18"/>
      <c r="BR1013" s="18"/>
      <c r="BS1013" s="18"/>
      <c r="BT1013" s="18"/>
      <c r="BU1013" s="18"/>
      <c r="BV1013" s="18"/>
      <c r="BW1013" s="18"/>
      <c r="BX1013" s="18"/>
      <c r="BY1013" s="18"/>
      <c r="BZ1013" s="18"/>
      <c r="CA1013" s="18"/>
      <c r="CB1013" s="18"/>
      <c r="CC1013" s="18"/>
      <c r="CD1013" s="18"/>
      <c r="CE1013" s="18"/>
      <c r="CF1013" s="18"/>
      <c r="CG1013" s="18"/>
      <c r="CH1013" s="18"/>
      <c r="CI1013" s="18"/>
      <c r="CJ1013" s="18"/>
      <c r="CK1013" s="18"/>
      <c r="CL1013" s="18"/>
      <c r="CM1013" s="18"/>
      <c r="CN1013" s="18"/>
      <c r="CO1013" s="18"/>
      <c r="CP1013" s="18"/>
      <c r="CQ1013" s="18"/>
      <c r="CR1013" s="18"/>
      <c r="CS1013" s="18"/>
      <c r="CT1013" s="18"/>
      <c r="CU1013" s="18"/>
    </row>
    <row r="1014" spans="1:99">
      <c r="A1014" s="19"/>
      <c r="B1014" s="19"/>
      <c r="C1014" s="19"/>
      <c r="D1014" s="19"/>
      <c r="E1014" s="19"/>
      <c r="F1014" s="19"/>
      <c r="G1014" s="19"/>
      <c r="H1014" s="19"/>
      <c r="I1014" s="19"/>
      <c r="J1014" s="19"/>
      <c r="K1014" s="18"/>
      <c r="L1014" s="18"/>
      <c r="M1014" s="18"/>
      <c r="N1014" s="18"/>
      <c r="O1014" s="18"/>
      <c r="P1014" s="18"/>
      <c r="Q1014" s="18"/>
      <c r="R1014" s="18"/>
      <c r="S1014" s="18"/>
      <c r="T1014" s="18"/>
      <c r="U1014" s="18"/>
      <c r="V1014" s="18"/>
      <c r="W1014" s="18"/>
      <c r="X1014" s="18"/>
      <c r="Y1014" s="18"/>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c r="BC1014" s="18"/>
      <c r="BD1014" s="18"/>
      <c r="BE1014" s="18"/>
      <c r="BF1014" s="18"/>
      <c r="BG1014" s="18"/>
      <c r="BH1014" s="18"/>
      <c r="BI1014" s="18"/>
      <c r="BJ1014" s="18"/>
      <c r="BK1014" s="18"/>
      <c r="BL1014" s="18"/>
      <c r="BM1014" s="18"/>
      <c r="BN1014" s="18"/>
      <c r="BO1014" s="18"/>
      <c r="BP1014" s="18"/>
      <c r="BQ1014" s="18"/>
      <c r="BR1014" s="18"/>
      <c r="BS1014" s="18"/>
      <c r="BT1014" s="18"/>
      <c r="BU1014" s="18"/>
      <c r="BV1014" s="18"/>
      <c r="BW1014" s="18"/>
      <c r="BX1014" s="18"/>
      <c r="BY1014" s="18"/>
      <c r="BZ1014" s="18"/>
      <c r="CA1014" s="18"/>
      <c r="CB1014" s="18"/>
      <c r="CC1014" s="18"/>
      <c r="CD1014" s="18"/>
      <c r="CE1014" s="18"/>
      <c r="CF1014" s="18"/>
      <c r="CG1014" s="18"/>
      <c r="CH1014" s="18"/>
      <c r="CI1014" s="18"/>
      <c r="CJ1014" s="18"/>
      <c r="CK1014" s="18"/>
      <c r="CL1014" s="18"/>
      <c r="CM1014" s="18"/>
      <c r="CN1014" s="18"/>
      <c r="CO1014" s="18"/>
      <c r="CP1014" s="18"/>
      <c r="CQ1014" s="18"/>
      <c r="CR1014" s="18"/>
      <c r="CS1014" s="18"/>
      <c r="CT1014" s="18"/>
      <c r="CU1014" s="18"/>
    </row>
    <row r="1015" spans="1:99">
      <c r="A1015" s="19"/>
      <c r="B1015" s="19"/>
      <c r="C1015" s="19"/>
      <c r="D1015" s="19"/>
      <c r="E1015" s="19"/>
      <c r="F1015" s="19"/>
      <c r="G1015" s="19"/>
      <c r="H1015" s="19"/>
      <c r="I1015" s="19"/>
      <c r="J1015" s="19"/>
      <c r="K1015" s="18"/>
      <c r="L1015" s="18"/>
      <c r="M1015" s="18"/>
      <c r="N1015" s="18"/>
      <c r="O1015" s="18"/>
      <c r="P1015" s="18"/>
      <c r="Q1015" s="18"/>
      <c r="R1015" s="18"/>
      <c r="S1015" s="18"/>
      <c r="T1015" s="18"/>
      <c r="U1015" s="18"/>
      <c r="V1015" s="18"/>
      <c r="W1015" s="18"/>
      <c r="X1015" s="18"/>
      <c r="Y1015" s="18"/>
      <c r="Z1015" s="18"/>
      <c r="AA1015" s="18"/>
      <c r="AB1015" s="18"/>
      <c r="AC1015" s="18"/>
      <c r="AD1015" s="18"/>
      <c r="AE1015" s="18"/>
      <c r="AF1015" s="18"/>
      <c r="AG1015" s="18"/>
      <c r="AH1015" s="18"/>
      <c r="AI1015" s="18"/>
      <c r="AJ1015" s="18"/>
      <c r="AK1015" s="18"/>
      <c r="AL1015" s="18"/>
      <c r="AM1015" s="18"/>
      <c r="AN1015" s="18"/>
      <c r="AO1015" s="18"/>
      <c r="AP1015" s="18"/>
      <c r="AQ1015" s="18"/>
      <c r="AR1015" s="18"/>
      <c r="AS1015" s="18"/>
      <c r="AT1015" s="18"/>
      <c r="AU1015" s="18"/>
      <c r="AV1015" s="18"/>
      <c r="AW1015" s="18"/>
      <c r="AX1015" s="18"/>
      <c r="AY1015" s="18"/>
      <c r="AZ1015" s="18"/>
      <c r="BA1015" s="18"/>
      <c r="BB1015" s="18"/>
      <c r="BC1015" s="18"/>
      <c r="BD1015" s="18"/>
      <c r="BE1015" s="18"/>
      <c r="BF1015" s="18"/>
      <c r="BG1015" s="18"/>
      <c r="BH1015" s="18"/>
      <c r="BI1015" s="18"/>
      <c r="BJ1015" s="18"/>
      <c r="BK1015" s="18"/>
      <c r="BL1015" s="18"/>
      <c r="BM1015" s="18"/>
      <c r="BN1015" s="18"/>
      <c r="BO1015" s="18"/>
      <c r="BP1015" s="18"/>
      <c r="BQ1015" s="18"/>
      <c r="BR1015" s="18"/>
      <c r="BS1015" s="18"/>
      <c r="BT1015" s="18"/>
      <c r="BU1015" s="18"/>
      <c r="BV1015" s="18"/>
      <c r="BW1015" s="18"/>
      <c r="BX1015" s="18"/>
      <c r="BY1015" s="18"/>
      <c r="BZ1015" s="18"/>
      <c r="CA1015" s="18"/>
      <c r="CB1015" s="18"/>
      <c r="CC1015" s="18"/>
      <c r="CD1015" s="18"/>
      <c r="CE1015" s="18"/>
      <c r="CF1015" s="18"/>
      <c r="CG1015" s="18"/>
      <c r="CH1015" s="18"/>
      <c r="CI1015" s="18"/>
      <c r="CJ1015" s="18"/>
      <c r="CK1015" s="18"/>
      <c r="CL1015" s="18"/>
      <c r="CM1015" s="18"/>
      <c r="CN1015" s="18"/>
      <c r="CO1015" s="18"/>
      <c r="CP1015" s="18"/>
      <c r="CQ1015" s="18"/>
      <c r="CR1015" s="18"/>
      <c r="CS1015" s="18"/>
      <c r="CT1015" s="18"/>
      <c r="CU1015" s="18"/>
    </row>
    <row r="1016" spans="1:99">
      <c r="A1016" s="19"/>
      <c r="B1016" s="19"/>
      <c r="C1016" s="19"/>
      <c r="D1016" s="19"/>
      <c r="E1016" s="19"/>
      <c r="F1016" s="19"/>
      <c r="G1016" s="19"/>
      <c r="H1016" s="19"/>
      <c r="I1016" s="19"/>
      <c r="J1016" s="19"/>
      <c r="K1016" s="18"/>
      <c r="L1016" s="18"/>
      <c r="M1016" s="18"/>
      <c r="N1016" s="18"/>
      <c r="O1016" s="18"/>
      <c r="P1016" s="18"/>
      <c r="Q1016" s="18"/>
      <c r="R1016" s="18"/>
      <c r="S1016" s="18"/>
      <c r="T1016" s="18"/>
      <c r="U1016" s="18"/>
      <c r="V1016" s="18"/>
      <c r="W1016" s="18"/>
      <c r="X1016" s="18"/>
      <c r="Y1016" s="18"/>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c r="BC1016" s="18"/>
      <c r="BD1016" s="18"/>
      <c r="BE1016" s="18"/>
      <c r="BF1016" s="18"/>
      <c r="BG1016" s="18"/>
      <c r="BH1016" s="18"/>
      <c r="BI1016" s="18"/>
      <c r="BJ1016" s="18"/>
      <c r="BK1016" s="18"/>
      <c r="BL1016" s="18"/>
      <c r="BM1016" s="18"/>
      <c r="BN1016" s="18"/>
      <c r="BO1016" s="18"/>
      <c r="BP1016" s="18"/>
      <c r="BQ1016" s="18"/>
      <c r="BR1016" s="18"/>
      <c r="BS1016" s="18"/>
      <c r="BT1016" s="18"/>
      <c r="BU1016" s="18"/>
      <c r="BV1016" s="18"/>
      <c r="BW1016" s="18"/>
      <c r="BX1016" s="18"/>
      <c r="BY1016" s="18"/>
      <c r="BZ1016" s="18"/>
      <c r="CA1016" s="18"/>
      <c r="CB1016" s="18"/>
      <c r="CC1016" s="18"/>
      <c r="CD1016" s="18"/>
      <c r="CE1016" s="18"/>
      <c r="CF1016" s="18"/>
      <c r="CG1016" s="18"/>
      <c r="CH1016" s="18"/>
      <c r="CI1016" s="18"/>
      <c r="CJ1016" s="18"/>
      <c r="CK1016" s="18"/>
      <c r="CL1016" s="18"/>
      <c r="CM1016" s="18"/>
      <c r="CN1016" s="18"/>
      <c r="CO1016" s="18"/>
      <c r="CP1016" s="18"/>
      <c r="CQ1016" s="18"/>
      <c r="CR1016" s="18"/>
      <c r="CS1016" s="18"/>
      <c r="CT1016" s="18"/>
      <c r="CU1016" s="18"/>
    </row>
    <row r="1017" spans="1:99">
      <c r="A1017" s="19"/>
      <c r="B1017" s="19"/>
      <c r="C1017" s="19"/>
      <c r="D1017" s="19"/>
      <c r="E1017" s="19"/>
      <c r="F1017" s="19"/>
      <c r="G1017" s="19"/>
      <c r="H1017" s="19"/>
      <c r="I1017" s="19"/>
      <c r="J1017" s="19"/>
      <c r="K1017" s="18"/>
      <c r="L1017" s="18"/>
      <c r="M1017" s="18"/>
      <c r="N1017" s="18"/>
      <c r="O1017" s="18"/>
      <c r="P1017" s="18"/>
      <c r="Q1017" s="18"/>
      <c r="R1017" s="18"/>
      <c r="S1017" s="18"/>
      <c r="T1017" s="18"/>
      <c r="U1017" s="18"/>
      <c r="V1017" s="18"/>
      <c r="W1017" s="18"/>
      <c r="X1017" s="18"/>
      <c r="Y1017" s="18"/>
      <c r="Z1017" s="18"/>
      <c r="AA1017" s="18"/>
      <c r="AB1017" s="18"/>
      <c r="AC1017" s="18"/>
      <c r="AD1017" s="18"/>
      <c r="AE1017" s="18"/>
      <c r="AF1017" s="18"/>
      <c r="AG1017" s="18"/>
      <c r="AH1017" s="18"/>
      <c r="AI1017" s="18"/>
      <c r="AJ1017" s="18"/>
      <c r="AK1017" s="18"/>
      <c r="AL1017" s="18"/>
      <c r="AM1017" s="18"/>
      <c r="AN1017" s="18"/>
      <c r="AO1017" s="18"/>
      <c r="AP1017" s="18"/>
      <c r="AQ1017" s="18"/>
      <c r="AR1017" s="18"/>
      <c r="AS1017" s="18"/>
      <c r="AT1017" s="18"/>
      <c r="AU1017" s="18"/>
      <c r="AV1017" s="18"/>
      <c r="AW1017" s="18"/>
      <c r="AX1017" s="18"/>
      <c r="AY1017" s="18"/>
      <c r="AZ1017" s="18"/>
      <c r="BA1017" s="18"/>
      <c r="BB1017" s="18"/>
      <c r="BC1017" s="18"/>
      <c r="BD1017" s="18"/>
      <c r="BE1017" s="18"/>
      <c r="BF1017" s="18"/>
      <c r="BG1017" s="18"/>
      <c r="BH1017" s="18"/>
      <c r="BI1017" s="18"/>
      <c r="BJ1017" s="18"/>
      <c r="BK1017" s="18"/>
      <c r="BL1017" s="18"/>
      <c r="BM1017" s="18"/>
      <c r="BN1017" s="18"/>
      <c r="BO1017" s="18"/>
      <c r="BP1017" s="18"/>
      <c r="BQ1017" s="18"/>
      <c r="BR1017" s="18"/>
      <c r="BS1017" s="18"/>
      <c r="BT1017" s="18"/>
      <c r="BU1017" s="18"/>
      <c r="BV1017" s="18"/>
      <c r="BW1017" s="18"/>
      <c r="BX1017" s="18"/>
      <c r="BY1017" s="18"/>
      <c r="BZ1017" s="18"/>
      <c r="CA1017" s="18"/>
      <c r="CB1017" s="18"/>
      <c r="CC1017" s="18"/>
      <c r="CD1017" s="18"/>
      <c r="CE1017" s="18"/>
      <c r="CF1017" s="18"/>
      <c r="CG1017" s="18"/>
      <c r="CH1017" s="18"/>
      <c r="CI1017" s="18"/>
      <c r="CJ1017" s="18"/>
      <c r="CK1017" s="18"/>
      <c r="CL1017" s="18"/>
      <c r="CM1017" s="18"/>
      <c r="CN1017" s="18"/>
      <c r="CO1017" s="18"/>
      <c r="CP1017" s="18"/>
      <c r="CQ1017" s="18"/>
      <c r="CR1017" s="18"/>
      <c r="CS1017" s="18"/>
      <c r="CT1017" s="18"/>
      <c r="CU1017" s="18"/>
    </row>
    <row r="1018" spans="1:99">
      <c r="A1018" s="19"/>
      <c r="B1018" s="19"/>
      <c r="C1018" s="19"/>
      <c r="D1018" s="19"/>
      <c r="E1018" s="19"/>
      <c r="F1018" s="19"/>
      <c r="G1018" s="19"/>
      <c r="H1018" s="19"/>
      <c r="I1018" s="19"/>
      <c r="J1018" s="19"/>
      <c r="K1018" s="18"/>
      <c r="L1018" s="18"/>
      <c r="M1018" s="18"/>
      <c r="N1018" s="18"/>
      <c r="O1018" s="18"/>
      <c r="P1018" s="18"/>
      <c r="Q1018" s="18"/>
      <c r="R1018" s="18"/>
      <c r="S1018" s="18"/>
      <c r="T1018" s="18"/>
      <c r="U1018" s="18"/>
      <c r="V1018" s="18"/>
      <c r="W1018" s="18"/>
      <c r="X1018" s="18"/>
      <c r="Y1018" s="18"/>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c r="BC1018" s="18"/>
      <c r="BD1018" s="18"/>
      <c r="BE1018" s="18"/>
      <c r="BF1018" s="18"/>
      <c r="BG1018" s="18"/>
      <c r="BH1018" s="18"/>
      <c r="BI1018" s="18"/>
      <c r="BJ1018" s="18"/>
      <c r="BK1018" s="18"/>
      <c r="BL1018" s="18"/>
      <c r="BM1018" s="18"/>
      <c r="BN1018" s="18"/>
      <c r="BO1018" s="18"/>
      <c r="BP1018" s="18"/>
      <c r="BQ1018" s="18"/>
      <c r="BR1018" s="18"/>
      <c r="BS1018" s="18"/>
      <c r="BT1018" s="18"/>
      <c r="BU1018" s="18"/>
      <c r="BV1018" s="18"/>
      <c r="BW1018" s="18"/>
      <c r="BX1018" s="18"/>
      <c r="BY1018" s="18"/>
      <c r="BZ1018" s="18"/>
      <c r="CA1018" s="18"/>
      <c r="CB1018" s="18"/>
      <c r="CC1018" s="18"/>
      <c r="CD1018" s="18"/>
      <c r="CE1018" s="18"/>
      <c r="CF1018" s="18"/>
      <c r="CG1018" s="18"/>
      <c r="CH1018" s="18"/>
      <c r="CI1018" s="18"/>
      <c r="CJ1018" s="18"/>
      <c r="CK1018" s="18"/>
      <c r="CL1018" s="18"/>
      <c r="CM1018" s="18"/>
      <c r="CN1018" s="18"/>
      <c r="CO1018" s="18"/>
      <c r="CP1018" s="18"/>
      <c r="CQ1018" s="18"/>
      <c r="CR1018" s="18"/>
      <c r="CS1018" s="18"/>
      <c r="CT1018" s="18"/>
      <c r="CU1018" s="18"/>
    </row>
    <row r="1019" spans="1:99">
      <c r="A1019" s="19"/>
      <c r="B1019" s="19"/>
      <c r="C1019" s="19"/>
      <c r="D1019" s="19"/>
      <c r="E1019" s="19"/>
      <c r="F1019" s="19"/>
      <c r="G1019" s="19"/>
      <c r="H1019" s="19"/>
      <c r="I1019" s="19"/>
      <c r="J1019" s="19"/>
      <c r="K1019" s="18"/>
      <c r="L1019" s="18"/>
      <c r="M1019" s="18"/>
      <c r="N1019" s="18"/>
      <c r="O1019" s="18"/>
      <c r="P1019" s="18"/>
      <c r="Q1019" s="18"/>
      <c r="R1019" s="18"/>
      <c r="S1019" s="18"/>
      <c r="T1019" s="18"/>
      <c r="U1019" s="18"/>
      <c r="V1019" s="18"/>
      <c r="W1019" s="18"/>
      <c r="X1019" s="18"/>
      <c r="Y1019" s="18"/>
      <c r="Z1019" s="18"/>
      <c r="AA1019" s="18"/>
      <c r="AB1019" s="18"/>
      <c r="AC1019" s="18"/>
      <c r="AD1019" s="18"/>
      <c r="AE1019" s="18"/>
      <c r="AF1019" s="18"/>
      <c r="AG1019" s="18"/>
      <c r="AH1019" s="18"/>
      <c r="AI1019" s="18"/>
      <c r="AJ1019" s="18"/>
      <c r="AK1019" s="18"/>
      <c r="AL1019" s="18"/>
      <c r="AM1019" s="18"/>
      <c r="AN1019" s="18"/>
      <c r="AO1019" s="18"/>
      <c r="AP1019" s="18"/>
      <c r="AQ1019" s="18"/>
      <c r="AR1019" s="18"/>
      <c r="AS1019" s="18"/>
      <c r="AT1019" s="18"/>
      <c r="AU1019" s="18"/>
      <c r="AV1019" s="18"/>
      <c r="AW1019" s="18"/>
      <c r="AX1019" s="18"/>
      <c r="AY1019" s="18"/>
      <c r="AZ1019" s="18"/>
      <c r="BA1019" s="18"/>
      <c r="BB1019" s="18"/>
      <c r="BC1019" s="18"/>
      <c r="BD1019" s="18"/>
      <c r="BE1019" s="18"/>
      <c r="BF1019" s="18"/>
      <c r="BG1019" s="18"/>
      <c r="BH1019" s="18"/>
      <c r="BI1019" s="18"/>
      <c r="BJ1019" s="18"/>
      <c r="BK1019" s="18"/>
      <c r="BL1019" s="18"/>
      <c r="BM1019" s="18"/>
      <c r="BN1019" s="18"/>
      <c r="BO1019" s="18"/>
      <c r="BP1019" s="18"/>
      <c r="BQ1019" s="18"/>
      <c r="BR1019" s="18"/>
      <c r="BS1019" s="18"/>
      <c r="BT1019" s="18"/>
      <c r="BU1019" s="18"/>
      <c r="BV1019" s="18"/>
      <c r="BW1019" s="18"/>
      <c r="BX1019" s="18"/>
      <c r="BY1019" s="18"/>
      <c r="BZ1019" s="18"/>
      <c r="CA1019" s="18"/>
      <c r="CB1019" s="18"/>
      <c r="CC1019" s="18"/>
      <c r="CD1019" s="18"/>
      <c r="CE1019" s="18"/>
      <c r="CF1019" s="18"/>
      <c r="CG1019" s="18"/>
      <c r="CH1019" s="18"/>
      <c r="CI1019" s="18"/>
      <c r="CJ1019" s="18"/>
      <c r="CK1019" s="18"/>
      <c r="CL1019" s="18"/>
      <c r="CM1019" s="18"/>
      <c r="CN1019" s="18"/>
      <c r="CO1019" s="18"/>
      <c r="CP1019" s="18"/>
      <c r="CQ1019" s="18"/>
      <c r="CR1019" s="18"/>
      <c r="CS1019" s="18"/>
      <c r="CT1019" s="18"/>
      <c r="CU1019" s="18"/>
    </row>
    <row r="1020" spans="1:99">
      <c r="A1020" s="19"/>
      <c r="B1020" s="19"/>
      <c r="C1020" s="19"/>
      <c r="D1020" s="19"/>
      <c r="E1020" s="19"/>
      <c r="F1020" s="19"/>
      <c r="G1020" s="19"/>
      <c r="H1020" s="19"/>
      <c r="I1020" s="19"/>
      <c r="J1020" s="19"/>
      <c r="K1020" s="18"/>
      <c r="L1020" s="18"/>
      <c r="M1020" s="18"/>
      <c r="N1020" s="18"/>
      <c r="O1020" s="18"/>
      <c r="P1020" s="18"/>
      <c r="Q1020" s="18"/>
      <c r="R1020" s="18"/>
      <c r="S1020" s="18"/>
      <c r="T1020" s="18"/>
      <c r="U1020" s="18"/>
      <c r="V1020" s="18"/>
      <c r="W1020" s="18"/>
      <c r="X1020" s="18"/>
      <c r="Y1020" s="18"/>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c r="BC1020" s="18"/>
      <c r="BD1020" s="18"/>
      <c r="BE1020" s="18"/>
      <c r="BF1020" s="18"/>
      <c r="BG1020" s="18"/>
      <c r="BH1020" s="18"/>
      <c r="BI1020" s="18"/>
      <c r="BJ1020" s="18"/>
      <c r="BK1020" s="18"/>
      <c r="BL1020" s="18"/>
      <c r="BM1020" s="18"/>
      <c r="BN1020" s="18"/>
      <c r="BO1020" s="18"/>
      <c r="BP1020" s="18"/>
      <c r="BQ1020" s="18"/>
      <c r="BR1020" s="18"/>
      <c r="BS1020" s="18"/>
      <c r="BT1020" s="18"/>
      <c r="BU1020" s="18"/>
      <c r="BV1020" s="18"/>
      <c r="BW1020" s="18"/>
      <c r="BX1020" s="18"/>
      <c r="BY1020" s="18"/>
      <c r="BZ1020" s="18"/>
      <c r="CA1020" s="18"/>
      <c r="CB1020" s="18"/>
      <c r="CC1020" s="18"/>
      <c r="CD1020" s="18"/>
      <c r="CE1020" s="18"/>
      <c r="CF1020" s="18"/>
      <c r="CG1020" s="18"/>
      <c r="CH1020" s="18"/>
      <c r="CI1020" s="18"/>
      <c r="CJ1020" s="18"/>
      <c r="CK1020" s="18"/>
      <c r="CL1020" s="18"/>
      <c r="CM1020" s="18"/>
      <c r="CN1020" s="18"/>
      <c r="CO1020" s="18"/>
      <c r="CP1020" s="18"/>
      <c r="CQ1020" s="18"/>
      <c r="CR1020" s="18"/>
      <c r="CS1020" s="18"/>
      <c r="CT1020" s="18"/>
      <c r="CU1020" s="18"/>
    </row>
    <row r="1021" spans="1:99">
      <c r="A1021" s="19"/>
      <c r="B1021" s="19"/>
      <c r="C1021" s="19"/>
      <c r="D1021" s="19"/>
      <c r="E1021" s="19"/>
      <c r="F1021" s="19"/>
      <c r="G1021" s="19"/>
      <c r="H1021" s="19"/>
      <c r="I1021" s="19"/>
      <c r="J1021" s="19"/>
      <c r="K1021" s="18"/>
      <c r="L1021" s="18"/>
      <c r="M1021" s="18"/>
      <c r="N1021" s="18"/>
      <c r="O1021" s="18"/>
      <c r="P1021" s="18"/>
      <c r="Q1021" s="18"/>
      <c r="R1021" s="18"/>
      <c r="S1021" s="18"/>
      <c r="T1021" s="18"/>
      <c r="U1021" s="18"/>
      <c r="V1021" s="18"/>
      <c r="W1021" s="18"/>
      <c r="X1021" s="18"/>
      <c r="Y1021" s="18"/>
      <c r="Z1021" s="18"/>
      <c r="AA1021" s="18"/>
      <c r="AB1021" s="18"/>
      <c r="AC1021" s="18"/>
      <c r="AD1021" s="18"/>
      <c r="AE1021" s="18"/>
      <c r="AF1021" s="18"/>
      <c r="AG1021" s="18"/>
      <c r="AH1021" s="18"/>
      <c r="AI1021" s="18"/>
      <c r="AJ1021" s="18"/>
      <c r="AK1021" s="18"/>
      <c r="AL1021" s="18"/>
      <c r="AM1021" s="18"/>
      <c r="AN1021" s="18"/>
      <c r="AO1021" s="18"/>
      <c r="AP1021" s="18"/>
      <c r="AQ1021" s="18"/>
      <c r="AR1021" s="18"/>
      <c r="AS1021" s="18"/>
      <c r="AT1021" s="18"/>
      <c r="AU1021" s="18"/>
      <c r="AV1021" s="18"/>
      <c r="AW1021" s="18"/>
      <c r="AX1021" s="18"/>
      <c r="AY1021" s="18"/>
      <c r="AZ1021" s="18"/>
      <c r="BA1021" s="18"/>
      <c r="BB1021" s="18"/>
      <c r="BC1021" s="18"/>
      <c r="BD1021" s="18"/>
      <c r="BE1021" s="18"/>
      <c r="BF1021" s="18"/>
      <c r="BG1021" s="18"/>
      <c r="BH1021" s="18"/>
      <c r="BI1021" s="18"/>
      <c r="BJ1021" s="18"/>
      <c r="BK1021" s="18"/>
      <c r="BL1021" s="18"/>
      <c r="BM1021" s="18"/>
      <c r="BN1021" s="18"/>
      <c r="BO1021" s="18"/>
      <c r="BP1021" s="18"/>
      <c r="BQ1021" s="18"/>
      <c r="BR1021" s="18"/>
      <c r="BS1021" s="18"/>
      <c r="BT1021" s="18"/>
      <c r="BU1021" s="18"/>
      <c r="BV1021" s="18"/>
      <c r="BW1021" s="18"/>
      <c r="BX1021" s="18"/>
      <c r="BY1021" s="18"/>
      <c r="BZ1021" s="18"/>
      <c r="CA1021" s="18"/>
      <c r="CB1021" s="18"/>
      <c r="CC1021" s="18"/>
      <c r="CD1021" s="18"/>
      <c r="CE1021" s="18"/>
      <c r="CF1021" s="18"/>
      <c r="CG1021" s="18"/>
      <c r="CH1021" s="18"/>
      <c r="CI1021" s="18"/>
      <c r="CJ1021" s="18"/>
      <c r="CK1021" s="18"/>
      <c r="CL1021" s="18"/>
      <c r="CM1021" s="18"/>
      <c r="CN1021" s="18"/>
      <c r="CO1021" s="18"/>
      <c r="CP1021" s="18"/>
      <c r="CQ1021" s="18"/>
      <c r="CR1021" s="18"/>
      <c r="CS1021" s="18"/>
      <c r="CT1021" s="18"/>
      <c r="CU1021" s="18"/>
    </row>
    <row r="1022" spans="1:99">
      <c r="A1022" s="19"/>
      <c r="B1022" s="19"/>
      <c r="C1022" s="19"/>
      <c r="D1022" s="19"/>
      <c r="E1022" s="19"/>
      <c r="F1022" s="19"/>
      <c r="G1022" s="19"/>
      <c r="H1022" s="19"/>
      <c r="I1022" s="19"/>
      <c r="J1022" s="19"/>
      <c r="K1022" s="18"/>
      <c r="L1022" s="18"/>
      <c r="M1022" s="18"/>
      <c r="N1022" s="18"/>
      <c r="O1022" s="18"/>
      <c r="P1022" s="18"/>
      <c r="Q1022" s="18"/>
      <c r="R1022" s="18"/>
      <c r="S1022" s="18"/>
      <c r="T1022" s="18"/>
      <c r="U1022" s="18"/>
      <c r="V1022" s="18"/>
      <c r="W1022" s="18"/>
      <c r="X1022" s="18"/>
      <c r="Y1022" s="18"/>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c r="BC1022" s="18"/>
      <c r="BD1022" s="18"/>
      <c r="BE1022" s="18"/>
      <c r="BF1022" s="18"/>
      <c r="BG1022" s="18"/>
      <c r="BH1022" s="18"/>
      <c r="BI1022" s="18"/>
      <c r="BJ1022" s="18"/>
      <c r="BK1022" s="18"/>
      <c r="BL1022" s="18"/>
      <c r="BM1022" s="18"/>
      <c r="BN1022" s="18"/>
      <c r="BO1022" s="18"/>
      <c r="BP1022" s="18"/>
      <c r="BQ1022" s="18"/>
      <c r="BR1022" s="18"/>
      <c r="BS1022" s="18"/>
      <c r="BT1022" s="18"/>
      <c r="BU1022" s="18"/>
      <c r="BV1022" s="18"/>
      <c r="BW1022" s="18"/>
      <c r="BX1022" s="18"/>
      <c r="BY1022" s="18"/>
      <c r="BZ1022" s="18"/>
      <c r="CA1022" s="18"/>
      <c r="CB1022" s="18"/>
      <c r="CC1022" s="18"/>
      <c r="CD1022" s="18"/>
      <c r="CE1022" s="18"/>
      <c r="CF1022" s="18"/>
      <c r="CG1022" s="18"/>
      <c r="CH1022" s="18"/>
      <c r="CI1022" s="18"/>
      <c r="CJ1022" s="18"/>
      <c r="CK1022" s="18"/>
      <c r="CL1022" s="18"/>
      <c r="CM1022" s="18"/>
      <c r="CN1022" s="18"/>
      <c r="CO1022" s="18"/>
      <c r="CP1022" s="18"/>
      <c r="CQ1022" s="18"/>
      <c r="CR1022" s="18"/>
      <c r="CS1022" s="18"/>
      <c r="CT1022" s="18"/>
      <c r="CU1022" s="18"/>
    </row>
    <row r="1023" spans="1:99">
      <c r="A1023" s="19"/>
      <c r="B1023" s="19"/>
      <c r="C1023" s="19"/>
      <c r="D1023" s="19"/>
      <c r="E1023" s="19"/>
      <c r="F1023" s="19"/>
      <c r="G1023" s="19"/>
      <c r="H1023" s="19"/>
      <c r="I1023" s="19"/>
      <c r="J1023" s="19"/>
      <c r="K1023" s="18"/>
      <c r="L1023" s="18"/>
      <c r="M1023" s="18"/>
      <c r="N1023" s="18"/>
      <c r="O1023" s="18"/>
      <c r="P1023" s="18"/>
      <c r="Q1023" s="18"/>
      <c r="R1023" s="18"/>
      <c r="S1023" s="18"/>
      <c r="T1023" s="18"/>
      <c r="U1023" s="18"/>
      <c r="V1023" s="18"/>
      <c r="W1023" s="18"/>
      <c r="X1023" s="18"/>
      <c r="Y1023" s="18"/>
      <c r="Z1023" s="18"/>
      <c r="AA1023" s="18"/>
      <c r="AB1023" s="18"/>
      <c r="AC1023" s="18"/>
      <c r="AD1023" s="18"/>
      <c r="AE1023" s="18"/>
      <c r="AF1023" s="18"/>
      <c r="AG1023" s="18"/>
      <c r="AH1023" s="18"/>
      <c r="AI1023" s="18"/>
      <c r="AJ1023" s="18"/>
      <c r="AK1023" s="18"/>
      <c r="AL1023" s="18"/>
      <c r="AM1023" s="18"/>
      <c r="AN1023" s="18"/>
      <c r="AO1023" s="18"/>
      <c r="AP1023" s="18"/>
      <c r="AQ1023" s="18"/>
      <c r="AR1023" s="18"/>
      <c r="AS1023" s="18"/>
      <c r="AT1023" s="18"/>
      <c r="AU1023" s="18"/>
      <c r="AV1023" s="18"/>
      <c r="AW1023" s="18"/>
      <c r="AX1023" s="18"/>
      <c r="AY1023" s="18"/>
      <c r="AZ1023" s="18"/>
      <c r="BA1023" s="18"/>
      <c r="BB1023" s="18"/>
      <c r="BC1023" s="18"/>
      <c r="BD1023" s="18"/>
      <c r="BE1023" s="18"/>
      <c r="BF1023" s="18"/>
      <c r="BG1023" s="18"/>
      <c r="BH1023" s="18"/>
      <c r="BI1023" s="18"/>
      <c r="BJ1023" s="18"/>
      <c r="BK1023" s="18"/>
      <c r="BL1023" s="18"/>
      <c r="BM1023" s="18"/>
      <c r="BN1023" s="18"/>
      <c r="BO1023" s="18"/>
      <c r="BP1023" s="18"/>
      <c r="BQ1023" s="18"/>
      <c r="BR1023" s="18"/>
      <c r="BS1023" s="18"/>
      <c r="BT1023" s="18"/>
      <c r="BU1023" s="18"/>
      <c r="BV1023" s="18"/>
      <c r="BW1023" s="18"/>
      <c r="BX1023" s="18"/>
      <c r="BY1023" s="18"/>
      <c r="BZ1023" s="18"/>
      <c r="CA1023" s="18"/>
      <c r="CB1023" s="18"/>
      <c r="CC1023" s="18"/>
      <c r="CD1023" s="18"/>
      <c r="CE1023" s="18"/>
      <c r="CF1023" s="18"/>
      <c r="CG1023" s="18"/>
      <c r="CH1023" s="18"/>
      <c r="CI1023" s="18"/>
      <c r="CJ1023" s="18"/>
      <c r="CK1023" s="18"/>
      <c r="CL1023" s="18"/>
      <c r="CM1023" s="18"/>
      <c r="CN1023" s="18"/>
      <c r="CO1023" s="18"/>
      <c r="CP1023" s="18"/>
      <c r="CQ1023" s="18"/>
      <c r="CR1023" s="18"/>
      <c r="CS1023" s="18"/>
      <c r="CT1023" s="18"/>
      <c r="CU1023" s="18"/>
    </row>
    <row r="1024" spans="1:99">
      <c r="A1024" s="19"/>
      <c r="B1024" s="19"/>
      <c r="C1024" s="19"/>
      <c r="D1024" s="19"/>
      <c r="E1024" s="19"/>
      <c r="F1024" s="19"/>
      <c r="G1024" s="19"/>
      <c r="H1024" s="19"/>
      <c r="I1024" s="19"/>
      <c r="J1024" s="19"/>
      <c r="K1024" s="18"/>
      <c r="L1024" s="18"/>
      <c r="M1024" s="18"/>
      <c r="N1024" s="18"/>
      <c r="O1024" s="18"/>
      <c r="P1024" s="18"/>
      <c r="Q1024" s="18"/>
      <c r="R1024" s="18"/>
      <c r="S1024" s="18"/>
      <c r="T1024" s="18"/>
      <c r="U1024" s="18"/>
      <c r="V1024" s="18"/>
      <c r="W1024" s="18"/>
      <c r="X1024" s="18"/>
      <c r="Y1024" s="18"/>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c r="BC1024" s="18"/>
      <c r="BD1024" s="18"/>
      <c r="BE1024" s="18"/>
      <c r="BF1024" s="18"/>
      <c r="BG1024" s="18"/>
      <c r="BH1024" s="18"/>
      <c r="BI1024" s="18"/>
      <c r="BJ1024" s="18"/>
      <c r="BK1024" s="18"/>
      <c r="BL1024" s="18"/>
      <c r="BM1024" s="18"/>
      <c r="BN1024" s="18"/>
      <c r="BO1024" s="18"/>
      <c r="BP1024" s="18"/>
      <c r="BQ1024" s="18"/>
      <c r="BR1024" s="18"/>
      <c r="BS1024" s="18"/>
      <c r="BT1024" s="18"/>
      <c r="BU1024" s="18"/>
      <c r="BV1024" s="18"/>
      <c r="BW1024" s="18"/>
      <c r="BX1024" s="18"/>
      <c r="BY1024" s="18"/>
      <c r="BZ1024" s="18"/>
      <c r="CA1024" s="18"/>
      <c r="CB1024" s="18"/>
      <c r="CC1024" s="18"/>
      <c r="CD1024" s="18"/>
      <c r="CE1024" s="18"/>
      <c r="CF1024" s="18"/>
      <c r="CG1024" s="18"/>
      <c r="CH1024" s="18"/>
      <c r="CI1024" s="18"/>
      <c r="CJ1024" s="18"/>
      <c r="CK1024" s="18"/>
      <c r="CL1024" s="18"/>
      <c r="CM1024" s="18"/>
      <c r="CN1024" s="18"/>
      <c r="CO1024" s="18"/>
      <c r="CP1024" s="18"/>
      <c r="CQ1024" s="18"/>
      <c r="CR1024" s="18"/>
      <c r="CS1024" s="18"/>
      <c r="CT1024" s="18"/>
      <c r="CU1024" s="18"/>
    </row>
    <row r="1025" spans="1:99">
      <c r="A1025" s="19"/>
      <c r="B1025" s="19"/>
      <c r="C1025" s="19"/>
      <c r="D1025" s="19"/>
      <c r="E1025" s="19"/>
      <c r="F1025" s="19"/>
      <c r="G1025" s="19"/>
      <c r="H1025" s="19"/>
      <c r="I1025" s="19"/>
      <c r="J1025" s="19"/>
      <c r="K1025" s="18"/>
      <c r="L1025" s="18"/>
      <c r="M1025" s="18"/>
      <c r="N1025" s="18"/>
      <c r="O1025" s="18"/>
      <c r="P1025" s="18"/>
      <c r="Q1025" s="18"/>
      <c r="R1025" s="18"/>
      <c r="S1025" s="18"/>
      <c r="T1025" s="18"/>
      <c r="U1025" s="18"/>
      <c r="V1025" s="18"/>
      <c r="W1025" s="18"/>
      <c r="X1025" s="18"/>
      <c r="Y1025" s="18"/>
      <c r="Z1025" s="18"/>
      <c r="AA1025" s="18"/>
      <c r="AB1025" s="18"/>
      <c r="AC1025" s="18"/>
      <c r="AD1025" s="18"/>
      <c r="AE1025" s="18"/>
      <c r="AF1025" s="18"/>
      <c r="AG1025" s="18"/>
      <c r="AH1025" s="18"/>
      <c r="AI1025" s="18"/>
      <c r="AJ1025" s="18"/>
      <c r="AK1025" s="18"/>
      <c r="AL1025" s="18"/>
      <c r="AM1025" s="18"/>
      <c r="AN1025" s="18"/>
      <c r="AO1025" s="18"/>
      <c r="AP1025" s="18"/>
      <c r="AQ1025" s="18"/>
      <c r="AR1025" s="18"/>
      <c r="AS1025" s="18"/>
      <c r="AT1025" s="18"/>
      <c r="AU1025" s="18"/>
      <c r="AV1025" s="18"/>
      <c r="AW1025" s="18"/>
      <c r="AX1025" s="18"/>
      <c r="AY1025" s="18"/>
      <c r="AZ1025" s="18"/>
      <c r="BA1025" s="18"/>
      <c r="BB1025" s="18"/>
      <c r="BC1025" s="18"/>
      <c r="BD1025" s="18"/>
      <c r="BE1025" s="18"/>
      <c r="BF1025" s="18"/>
      <c r="BG1025" s="18"/>
      <c r="BH1025" s="18"/>
      <c r="BI1025" s="18"/>
      <c r="BJ1025" s="18"/>
      <c r="BK1025" s="18"/>
      <c r="BL1025" s="18"/>
      <c r="BM1025" s="18"/>
      <c r="BN1025" s="18"/>
      <c r="BO1025" s="18"/>
      <c r="BP1025" s="18"/>
      <c r="BQ1025" s="18"/>
      <c r="BR1025" s="18"/>
      <c r="BS1025" s="18"/>
      <c r="BT1025" s="18"/>
      <c r="BU1025" s="18"/>
      <c r="BV1025" s="18"/>
      <c r="BW1025" s="18"/>
      <c r="BX1025" s="18"/>
      <c r="BY1025" s="18"/>
      <c r="BZ1025" s="18"/>
      <c r="CA1025" s="18"/>
      <c r="CB1025" s="18"/>
      <c r="CC1025" s="18"/>
      <c r="CD1025" s="18"/>
      <c r="CE1025" s="18"/>
      <c r="CF1025" s="18"/>
      <c r="CG1025" s="18"/>
      <c r="CH1025" s="18"/>
      <c r="CI1025" s="18"/>
      <c r="CJ1025" s="18"/>
      <c r="CK1025" s="18"/>
      <c r="CL1025" s="18"/>
      <c r="CM1025" s="18"/>
      <c r="CN1025" s="18"/>
      <c r="CO1025" s="18"/>
      <c r="CP1025" s="18"/>
      <c r="CQ1025" s="18"/>
      <c r="CR1025" s="18"/>
      <c r="CS1025" s="18"/>
      <c r="CT1025" s="18"/>
      <c r="CU1025" s="18"/>
    </row>
    <row r="1026" spans="1:99">
      <c r="A1026" s="19"/>
      <c r="B1026" s="19"/>
      <c r="C1026" s="19"/>
      <c r="D1026" s="19"/>
      <c r="E1026" s="19"/>
      <c r="F1026" s="19"/>
      <c r="G1026" s="19"/>
      <c r="H1026" s="19"/>
      <c r="I1026" s="19"/>
      <c r="J1026" s="19"/>
      <c r="K1026" s="18"/>
      <c r="L1026" s="18"/>
      <c r="M1026" s="18"/>
      <c r="N1026" s="18"/>
      <c r="O1026" s="18"/>
      <c r="P1026" s="18"/>
      <c r="Q1026" s="18"/>
      <c r="R1026" s="18"/>
      <c r="S1026" s="18"/>
      <c r="T1026" s="18"/>
      <c r="U1026" s="18"/>
      <c r="V1026" s="18"/>
      <c r="W1026" s="18"/>
      <c r="X1026" s="18"/>
      <c r="Y1026" s="18"/>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c r="BC1026" s="18"/>
      <c r="BD1026" s="18"/>
      <c r="BE1026" s="18"/>
      <c r="BF1026" s="18"/>
      <c r="BG1026" s="18"/>
      <c r="BH1026" s="18"/>
      <c r="BI1026" s="18"/>
      <c r="BJ1026" s="18"/>
      <c r="BK1026" s="18"/>
      <c r="BL1026" s="18"/>
      <c r="BM1026" s="18"/>
      <c r="BN1026" s="18"/>
      <c r="BO1026" s="18"/>
      <c r="BP1026" s="18"/>
      <c r="BQ1026" s="18"/>
      <c r="BR1026" s="18"/>
      <c r="BS1026" s="18"/>
      <c r="BT1026" s="18"/>
      <c r="BU1026" s="18"/>
      <c r="BV1026" s="18"/>
      <c r="BW1026" s="18"/>
      <c r="BX1026" s="18"/>
      <c r="BY1026" s="18"/>
      <c r="BZ1026" s="18"/>
      <c r="CA1026" s="18"/>
      <c r="CB1026" s="18"/>
      <c r="CC1026" s="18"/>
      <c r="CD1026" s="18"/>
      <c r="CE1026" s="18"/>
      <c r="CF1026" s="18"/>
      <c r="CG1026" s="18"/>
      <c r="CH1026" s="18"/>
      <c r="CI1026" s="18"/>
      <c r="CJ1026" s="18"/>
      <c r="CK1026" s="18"/>
      <c r="CL1026" s="18"/>
      <c r="CM1026" s="18"/>
      <c r="CN1026" s="18"/>
      <c r="CO1026" s="18"/>
      <c r="CP1026" s="18"/>
      <c r="CQ1026" s="18"/>
      <c r="CR1026" s="18"/>
      <c r="CS1026" s="18"/>
      <c r="CT1026" s="18"/>
      <c r="CU1026" s="18"/>
    </row>
    <row r="1027" spans="1:99">
      <c r="A1027" s="19"/>
      <c r="B1027" s="19"/>
      <c r="C1027" s="19"/>
      <c r="D1027" s="19"/>
      <c r="E1027" s="19"/>
      <c r="F1027" s="19"/>
      <c r="G1027" s="19"/>
      <c r="H1027" s="19"/>
      <c r="I1027" s="19"/>
      <c r="J1027" s="19"/>
      <c r="K1027" s="18"/>
      <c r="L1027" s="18"/>
      <c r="M1027" s="18"/>
      <c r="N1027" s="18"/>
      <c r="O1027" s="18"/>
      <c r="P1027" s="18"/>
      <c r="Q1027" s="18"/>
      <c r="R1027" s="18"/>
      <c r="S1027" s="18"/>
      <c r="T1027" s="18"/>
      <c r="U1027" s="18"/>
      <c r="V1027" s="18"/>
      <c r="W1027" s="18"/>
      <c r="X1027" s="18"/>
      <c r="Y1027" s="18"/>
      <c r="Z1027" s="18"/>
      <c r="AA1027" s="18"/>
      <c r="AB1027" s="18"/>
      <c r="AC1027" s="18"/>
      <c r="AD1027" s="18"/>
      <c r="AE1027" s="18"/>
      <c r="AF1027" s="18"/>
      <c r="AG1027" s="18"/>
      <c r="AH1027" s="18"/>
      <c r="AI1027" s="18"/>
      <c r="AJ1027" s="18"/>
      <c r="AK1027" s="18"/>
      <c r="AL1027" s="18"/>
      <c r="AM1027" s="18"/>
      <c r="AN1027" s="18"/>
      <c r="AO1027" s="18"/>
      <c r="AP1027" s="18"/>
      <c r="AQ1027" s="18"/>
      <c r="AR1027" s="18"/>
      <c r="AS1027" s="18"/>
      <c r="AT1027" s="18"/>
      <c r="AU1027" s="18"/>
      <c r="AV1027" s="18"/>
      <c r="AW1027" s="18"/>
      <c r="AX1027" s="18"/>
      <c r="AY1027" s="18"/>
      <c r="AZ1027" s="18"/>
      <c r="BA1027" s="18"/>
      <c r="BB1027" s="18"/>
      <c r="BC1027" s="18"/>
      <c r="BD1027" s="18"/>
      <c r="BE1027" s="18"/>
      <c r="BF1027" s="18"/>
      <c r="BG1027" s="18"/>
      <c r="BH1027" s="18"/>
      <c r="BI1027" s="18"/>
      <c r="BJ1027" s="18"/>
      <c r="BK1027" s="18"/>
      <c r="BL1027" s="18"/>
      <c r="BM1027" s="18"/>
      <c r="BN1027" s="18"/>
      <c r="BO1027" s="18"/>
      <c r="BP1027" s="18"/>
      <c r="BQ1027" s="18"/>
      <c r="BR1027" s="18"/>
      <c r="BS1027" s="18"/>
      <c r="BT1027" s="18"/>
      <c r="BU1027" s="18"/>
      <c r="BV1027" s="18"/>
      <c r="BW1027" s="18"/>
      <c r="BX1027" s="18"/>
      <c r="BY1027" s="18"/>
      <c r="BZ1027" s="18"/>
      <c r="CA1027" s="18"/>
      <c r="CB1027" s="18"/>
      <c r="CC1027" s="18"/>
      <c r="CD1027" s="18"/>
      <c r="CE1027" s="18"/>
      <c r="CF1027" s="18"/>
      <c r="CG1027" s="18"/>
      <c r="CH1027" s="18"/>
      <c r="CI1027" s="18"/>
      <c r="CJ1027" s="18"/>
      <c r="CK1027" s="18"/>
      <c r="CL1027" s="18"/>
      <c r="CM1027" s="18"/>
      <c r="CN1027" s="18"/>
      <c r="CO1027" s="18"/>
      <c r="CP1027" s="18"/>
      <c r="CQ1027" s="18"/>
      <c r="CR1027" s="18"/>
      <c r="CS1027" s="18"/>
      <c r="CT1027" s="18"/>
      <c r="CU1027" s="18"/>
    </row>
    <row r="1028" spans="1:99">
      <c r="A1028" s="19"/>
      <c r="B1028" s="19"/>
      <c r="C1028" s="19"/>
      <c r="D1028" s="19"/>
      <c r="E1028" s="19"/>
      <c r="F1028" s="19"/>
      <c r="G1028" s="19"/>
      <c r="H1028" s="19"/>
      <c r="I1028" s="19"/>
      <c r="J1028" s="19"/>
      <c r="K1028" s="18"/>
      <c r="L1028" s="18"/>
      <c r="M1028" s="18"/>
      <c r="N1028" s="18"/>
      <c r="O1028" s="18"/>
      <c r="P1028" s="18"/>
      <c r="Q1028" s="18"/>
      <c r="R1028" s="18"/>
      <c r="S1028" s="18"/>
      <c r="T1028" s="18"/>
      <c r="U1028" s="18"/>
      <c r="V1028" s="18"/>
      <c r="W1028" s="18"/>
      <c r="X1028" s="18"/>
      <c r="Y1028" s="18"/>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c r="BC1028" s="18"/>
      <c r="BD1028" s="18"/>
      <c r="BE1028" s="18"/>
      <c r="BF1028" s="18"/>
      <c r="BG1028" s="18"/>
      <c r="BH1028" s="18"/>
      <c r="BI1028" s="18"/>
      <c r="BJ1028" s="18"/>
      <c r="BK1028" s="18"/>
      <c r="BL1028" s="18"/>
      <c r="BM1028" s="18"/>
      <c r="BN1028" s="18"/>
      <c r="BO1028" s="18"/>
      <c r="BP1028" s="18"/>
      <c r="BQ1028" s="18"/>
      <c r="BR1028" s="18"/>
      <c r="BS1028" s="18"/>
      <c r="BT1028" s="18"/>
      <c r="BU1028" s="18"/>
      <c r="BV1028" s="18"/>
      <c r="BW1028" s="18"/>
      <c r="BX1028" s="18"/>
      <c r="BY1028" s="18"/>
      <c r="BZ1028" s="18"/>
      <c r="CA1028" s="18"/>
      <c r="CB1028" s="18"/>
      <c r="CC1028" s="18"/>
      <c r="CD1028" s="18"/>
      <c r="CE1028" s="18"/>
      <c r="CF1028" s="18"/>
      <c r="CG1028" s="18"/>
      <c r="CH1028" s="18"/>
      <c r="CI1028" s="18"/>
      <c r="CJ1028" s="18"/>
      <c r="CK1028" s="18"/>
      <c r="CL1028" s="18"/>
      <c r="CM1028" s="18"/>
      <c r="CN1028" s="18"/>
      <c r="CO1028" s="18"/>
      <c r="CP1028" s="18"/>
      <c r="CQ1028" s="18"/>
      <c r="CR1028" s="18"/>
      <c r="CS1028" s="18"/>
      <c r="CT1028" s="18"/>
      <c r="CU1028" s="18"/>
    </row>
    <row r="1029" spans="1:99">
      <c r="A1029" s="19"/>
      <c r="B1029" s="19"/>
      <c r="C1029" s="19"/>
      <c r="D1029" s="19"/>
      <c r="E1029" s="19"/>
      <c r="F1029" s="19"/>
      <c r="G1029" s="19"/>
      <c r="H1029" s="19"/>
      <c r="I1029" s="19"/>
      <c r="J1029" s="19"/>
      <c r="K1029" s="18"/>
      <c r="L1029" s="18"/>
      <c r="M1029" s="18"/>
      <c r="N1029" s="18"/>
      <c r="O1029" s="18"/>
      <c r="P1029" s="18"/>
      <c r="Q1029" s="18"/>
      <c r="R1029" s="18"/>
      <c r="S1029" s="18"/>
      <c r="T1029" s="18"/>
      <c r="U1029" s="18"/>
      <c r="V1029" s="18"/>
      <c r="W1029" s="18"/>
      <c r="X1029" s="18"/>
      <c r="Y1029" s="18"/>
      <c r="Z1029" s="18"/>
      <c r="AA1029" s="18"/>
      <c r="AB1029" s="18"/>
      <c r="AC1029" s="18"/>
      <c r="AD1029" s="18"/>
      <c r="AE1029" s="18"/>
      <c r="AF1029" s="18"/>
      <c r="AG1029" s="18"/>
      <c r="AH1029" s="18"/>
      <c r="AI1029" s="18"/>
      <c r="AJ1029" s="18"/>
      <c r="AK1029" s="18"/>
      <c r="AL1029" s="18"/>
      <c r="AM1029" s="18"/>
      <c r="AN1029" s="18"/>
      <c r="AO1029" s="18"/>
      <c r="AP1029" s="18"/>
      <c r="AQ1029" s="18"/>
      <c r="AR1029" s="18"/>
      <c r="AS1029" s="18"/>
      <c r="AT1029" s="18"/>
      <c r="AU1029" s="18"/>
      <c r="AV1029" s="18"/>
      <c r="AW1029" s="18"/>
      <c r="AX1029" s="18"/>
      <c r="AY1029" s="18"/>
      <c r="AZ1029" s="18"/>
      <c r="BA1029" s="18"/>
      <c r="BB1029" s="18"/>
      <c r="BC1029" s="18"/>
      <c r="BD1029" s="18"/>
      <c r="BE1029" s="18"/>
      <c r="BF1029" s="18"/>
      <c r="BG1029" s="18"/>
      <c r="BH1029" s="18"/>
      <c r="BI1029" s="18"/>
      <c r="BJ1029" s="18"/>
      <c r="BK1029" s="18"/>
      <c r="BL1029" s="18"/>
      <c r="BM1029" s="18"/>
      <c r="BN1029" s="18"/>
      <c r="BO1029" s="18"/>
      <c r="BP1029" s="18"/>
      <c r="BQ1029" s="18"/>
      <c r="BR1029" s="18"/>
      <c r="BS1029" s="18"/>
      <c r="BT1029" s="18"/>
      <c r="BU1029" s="18"/>
      <c r="BV1029" s="18"/>
      <c r="BW1029" s="18"/>
      <c r="BX1029" s="18"/>
      <c r="BY1029" s="18"/>
      <c r="BZ1029" s="18"/>
      <c r="CA1029" s="18"/>
      <c r="CB1029" s="18"/>
      <c r="CC1029" s="18"/>
      <c r="CD1029" s="18"/>
      <c r="CE1029" s="18"/>
      <c r="CF1029" s="18"/>
      <c r="CG1029" s="18"/>
      <c r="CH1029" s="18"/>
      <c r="CI1029" s="18"/>
      <c r="CJ1029" s="18"/>
      <c r="CK1029" s="18"/>
      <c r="CL1029" s="18"/>
      <c r="CM1029" s="18"/>
      <c r="CN1029" s="18"/>
      <c r="CO1029" s="18"/>
      <c r="CP1029" s="18"/>
      <c r="CQ1029" s="18"/>
      <c r="CR1029" s="18"/>
      <c r="CS1029" s="18"/>
      <c r="CT1029" s="18"/>
      <c r="CU1029" s="18"/>
    </row>
    <row r="1030" spans="1:99">
      <c r="A1030" s="19"/>
      <c r="B1030" s="19"/>
      <c r="C1030" s="19"/>
      <c r="D1030" s="19"/>
      <c r="E1030" s="19"/>
      <c r="F1030" s="19"/>
      <c r="G1030" s="19"/>
      <c r="H1030" s="19"/>
      <c r="I1030" s="19"/>
      <c r="J1030" s="19"/>
      <c r="K1030" s="18"/>
      <c r="L1030" s="18"/>
      <c r="M1030" s="18"/>
      <c r="N1030" s="18"/>
      <c r="O1030" s="18"/>
      <c r="P1030" s="18"/>
      <c r="Q1030" s="18"/>
      <c r="R1030" s="18"/>
      <c r="S1030" s="18"/>
      <c r="T1030" s="18"/>
      <c r="U1030" s="18"/>
      <c r="V1030" s="18"/>
      <c r="W1030" s="18"/>
      <c r="X1030" s="18"/>
      <c r="Y1030" s="18"/>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c r="BC1030" s="18"/>
      <c r="BD1030" s="18"/>
      <c r="BE1030" s="18"/>
      <c r="BF1030" s="18"/>
      <c r="BG1030" s="18"/>
      <c r="BH1030" s="18"/>
      <c r="BI1030" s="18"/>
      <c r="BJ1030" s="18"/>
      <c r="BK1030" s="18"/>
      <c r="BL1030" s="18"/>
      <c r="BM1030" s="18"/>
      <c r="BN1030" s="18"/>
      <c r="BO1030" s="18"/>
      <c r="BP1030" s="18"/>
      <c r="BQ1030" s="18"/>
      <c r="BR1030" s="18"/>
      <c r="BS1030" s="18"/>
      <c r="BT1030" s="18"/>
      <c r="BU1030" s="18"/>
      <c r="BV1030" s="18"/>
      <c r="BW1030" s="18"/>
      <c r="BX1030" s="18"/>
      <c r="BY1030" s="18"/>
      <c r="BZ1030" s="18"/>
      <c r="CA1030" s="18"/>
      <c r="CB1030" s="18"/>
      <c r="CC1030" s="18"/>
      <c r="CD1030" s="18"/>
      <c r="CE1030" s="18"/>
      <c r="CF1030" s="18"/>
      <c r="CG1030" s="18"/>
      <c r="CH1030" s="18"/>
      <c r="CI1030" s="18"/>
      <c r="CJ1030" s="18"/>
      <c r="CK1030" s="18"/>
      <c r="CL1030" s="18"/>
      <c r="CM1030" s="18"/>
      <c r="CN1030" s="18"/>
      <c r="CO1030" s="18"/>
      <c r="CP1030" s="18"/>
      <c r="CQ1030" s="18"/>
      <c r="CR1030" s="18"/>
      <c r="CS1030" s="18"/>
      <c r="CT1030" s="18"/>
      <c r="CU1030" s="18"/>
    </row>
    <row r="1031" spans="1:99">
      <c r="A1031" s="19"/>
      <c r="B1031" s="19"/>
      <c r="C1031" s="19"/>
      <c r="D1031" s="19"/>
      <c r="E1031" s="19"/>
      <c r="F1031" s="19"/>
      <c r="G1031" s="19"/>
      <c r="H1031" s="19"/>
      <c r="I1031" s="19"/>
      <c r="J1031" s="19"/>
      <c r="K1031" s="18"/>
      <c r="L1031" s="18"/>
      <c r="M1031" s="18"/>
      <c r="N1031" s="18"/>
      <c r="O1031" s="18"/>
      <c r="P1031" s="18"/>
      <c r="Q1031" s="18"/>
      <c r="R1031" s="18"/>
      <c r="S1031" s="18"/>
      <c r="T1031" s="18"/>
      <c r="U1031" s="18"/>
      <c r="V1031" s="18"/>
      <c r="W1031" s="18"/>
      <c r="X1031" s="18"/>
      <c r="Y1031" s="18"/>
      <c r="Z1031" s="18"/>
      <c r="AA1031" s="18"/>
      <c r="AB1031" s="18"/>
      <c r="AC1031" s="18"/>
      <c r="AD1031" s="18"/>
      <c r="AE1031" s="18"/>
      <c r="AF1031" s="18"/>
      <c r="AG1031" s="18"/>
      <c r="AH1031" s="18"/>
      <c r="AI1031" s="18"/>
      <c r="AJ1031" s="18"/>
      <c r="AK1031" s="18"/>
      <c r="AL1031" s="18"/>
      <c r="AM1031" s="18"/>
      <c r="AN1031" s="18"/>
      <c r="AO1031" s="18"/>
      <c r="AP1031" s="18"/>
      <c r="AQ1031" s="18"/>
      <c r="AR1031" s="18"/>
      <c r="AS1031" s="18"/>
      <c r="AT1031" s="18"/>
      <c r="AU1031" s="18"/>
      <c r="AV1031" s="18"/>
      <c r="AW1031" s="18"/>
      <c r="AX1031" s="18"/>
      <c r="AY1031" s="18"/>
      <c r="AZ1031" s="18"/>
      <c r="BA1031" s="18"/>
      <c r="BB1031" s="18"/>
      <c r="BC1031" s="18"/>
      <c r="BD1031" s="18"/>
      <c r="BE1031" s="18"/>
      <c r="BF1031" s="18"/>
      <c r="BG1031" s="18"/>
      <c r="BH1031" s="18"/>
      <c r="BI1031" s="18"/>
      <c r="BJ1031" s="18"/>
      <c r="BK1031" s="18"/>
      <c r="BL1031" s="18"/>
      <c r="BM1031" s="18"/>
      <c r="BN1031" s="18"/>
      <c r="BO1031" s="18"/>
      <c r="BP1031" s="18"/>
      <c r="BQ1031" s="18"/>
      <c r="BR1031" s="18"/>
      <c r="BS1031" s="18"/>
      <c r="BT1031" s="18"/>
      <c r="BU1031" s="18"/>
      <c r="BV1031" s="18"/>
      <c r="BW1031" s="18"/>
      <c r="BX1031" s="18"/>
      <c r="BY1031" s="18"/>
      <c r="BZ1031" s="18"/>
      <c r="CA1031" s="18"/>
      <c r="CB1031" s="18"/>
      <c r="CC1031" s="18"/>
      <c r="CD1031" s="18"/>
      <c r="CE1031" s="18"/>
      <c r="CF1031" s="18"/>
      <c r="CG1031" s="18"/>
      <c r="CH1031" s="18"/>
      <c r="CI1031" s="18"/>
      <c r="CJ1031" s="18"/>
      <c r="CK1031" s="18"/>
      <c r="CL1031" s="18"/>
      <c r="CM1031" s="18"/>
      <c r="CN1031" s="18"/>
      <c r="CO1031" s="18"/>
      <c r="CP1031" s="18"/>
      <c r="CQ1031" s="18"/>
      <c r="CR1031" s="18"/>
      <c r="CS1031" s="18"/>
      <c r="CT1031" s="18"/>
      <c r="CU1031" s="18"/>
    </row>
    <row r="1032" spans="1:99">
      <c r="A1032" s="19"/>
      <c r="B1032" s="19"/>
      <c r="C1032" s="19"/>
      <c r="D1032" s="19"/>
      <c r="E1032" s="19"/>
      <c r="F1032" s="19"/>
      <c r="G1032" s="19"/>
      <c r="H1032" s="19"/>
      <c r="I1032" s="19"/>
      <c r="J1032" s="19"/>
      <c r="K1032" s="18"/>
      <c r="L1032" s="18"/>
      <c r="M1032" s="18"/>
      <c r="N1032" s="18"/>
      <c r="O1032" s="18"/>
      <c r="P1032" s="18"/>
      <c r="Q1032" s="18"/>
      <c r="R1032" s="18"/>
      <c r="S1032" s="18"/>
      <c r="T1032" s="18"/>
      <c r="U1032" s="18"/>
      <c r="V1032" s="18"/>
      <c r="W1032" s="18"/>
      <c r="X1032" s="18"/>
      <c r="Y1032" s="18"/>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c r="BC1032" s="18"/>
      <c r="BD1032" s="18"/>
      <c r="BE1032" s="18"/>
      <c r="BF1032" s="18"/>
      <c r="BG1032" s="18"/>
      <c r="BH1032" s="18"/>
      <c r="BI1032" s="18"/>
      <c r="BJ1032" s="18"/>
      <c r="BK1032" s="18"/>
      <c r="BL1032" s="18"/>
      <c r="BM1032" s="18"/>
      <c r="BN1032" s="18"/>
      <c r="BO1032" s="18"/>
      <c r="BP1032" s="18"/>
      <c r="BQ1032" s="18"/>
      <c r="BR1032" s="18"/>
      <c r="BS1032" s="18"/>
      <c r="BT1032" s="18"/>
      <c r="BU1032" s="18"/>
      <c r="BV1032" s="18"/>
      <c r="BW1032" s="18"/>
      <c r="BX1032" s="18"/>
      <c r="BY1032" s="18"/>
      <c r="BZ1032" s="18"/>
      <c r="CA1032" s="18"/>
      <c r="CB1032" s="18"/>
      <c r="CC1032" s="18"/>
      <c r="CD1032" s="18"/>
      <c r="CE1032" s="18"/>
      <c r="CF1032" s="18"/>
      <c r="CG1032" s="18"/>
      <c r="CH1032" s="18"/>
      <c r="CI1032" s="18"/>
      <c r="CJ1032" s="18"/>
      <c r="CK1032" s="18"/>
      <c r="CL1032" s="18"/>
      <c r="CM1032" s="18"/>
      <c r="CN1032" s="18"/>
      <c r="CO1032" s="18"/>
      <c r="CP1032" s="18"/>
      <c r="CQ1032" s="18"/>
      <c r="CR1032" s="18"/>
      <c r="CS1032" s="18"/>
      <c r="CT1032" s="18"/>
      <c r="CU1032" s="18"/>
    </row>
    <row r="1033" spans="1:99">
      <c r="A1033" s="19"/>
      <c r="B1033" s="19"/>
      <c r="C1033" s="19"/>
      <c r="D1033" s="19"/>
      <c r="E1033" s="19"/>
      <c r="F1033" s="19"/>
      <c r="G1033" s="19"/>
      <c r="H1033" s="19"/>
      <c r="I1033" s="19"/>
      <c r="J1033" s="19"/>
      <c r="K1033" s="18"/>
      <c r="L1033" s="18"/>
      <c r="M1033" s="18"/>
      <c r="N1033" s="18"/>
      <c r="O1033" s="18"/>
      <c r="P1033" s="18"/>
      <c r="Q1033" s="18"/>
      <c r="R1033" s="18"/>
      <c r="S1033" s="18"/>
      <c r="T1033" s="18"/>
      <c r="U1033" s="18"/>
      <c r="V1033" s="18"/>
      <c r="W1033" s="18"/>
      <c r="X1033" s="18"/>
      <c r="Y1033" s="18"/>
      <c r="Z1033" s="18"/>
      <c r="AA1033" s="18"/>
      <c r="AB1033" s="18"/>
      <c r="AC1033" s="18"/>
      <c r="AD1033" s="18"/>
      <c r="AE1033" s="18"/>
      <c r="AF1033" s="18"/>
      <c r="AG1033" s="18"/>
      <c r="AH1033" s="18"/>
      <c r="AI1033" s="18"/>
      <c r="AJ1033" s="18"/>
      <c r="AK1033" s="18"/>
      <c r="AL1033" s="18"/>
      <c r="AM1033" s="18"/>
      <c r="AN1033" s="18"/>
      <c r="AO1033" s="18"/>
      <c r="AP1033" s="18"/>
      <c r="AQ1033" s="18"/>
      <c r="AR1033" s="18"/>
      <c r="AS1033" s="18"/>
      <c r="AT1033" s="18"/>
      <c r="AU1033" s="18"/>
      <c r="AV1033" s="18"/>
      <c r="AW1033" s="18"/>
      <c r="AX1033" s="18"/>
      <c r="AY1033" s="18"/>
      <c r="AZ1033" s="18"/>
      <c r="BA1033" s="18"/>
      <c r="BB1033" s="18"/>
      <c r="BC1033" s="18"/>
      <c r="BD1033" s="18"/>
      <c r="BE1033" s="18"/>
      <c r="BF1033" s="18"/>
      <c r="BG1033" s="18"/>
      <c r="BH1033" s="18"/>
      <c r="BI1033" s="18"/>
      <c r="BJ1033" s="18"/>
      <c r="BK1033" s="18"/>
      <c r="BL1033" s="18"/>
      <c r="BM1033" s="18"/>
      <c r="BN1033" s="18"/>
      <c r="BO1033" s="18"/>
      <c r="BP1033" s="18"/>
      <c r="BQ1033" s="18"/>
      <c r="BR1033" s="18"/>
      <c r="BS1033" s="18"/>
      <c r="BT1033" s="18"/>
      <c r="BU1033" s="18"/>
      <c r="BV1033" s="18"/>
      <c r="BW1033" s="18"/>
      <c r="BX1033" s="18"/>
      <c r="BY1033" s="18"/>
      <c r="BZ1033" s="18"/>
      <c r="CA1033" s="18"/>
      <c r="CB1033" s="18"/>
      <c r="CC1033" s="18"/>
      <c r="CD1033" s="18"/>
      <c r="CE1033" s="18"/>
      <c r="CF1033" s="18"/>
      <c r="CG1033" s="18"/>
      <c r="CH1033" s="18"/>
      <c r="CI1033" s="18"/>
      <c r="CJ1033" s="18"/>
      <c r="CK1033" s="18"/>
      <c r="CL1033" s="18"/>
      <c r="CM1033" s="18"/>
      <c r="CN1033" s="18"/>
      <c r="CO1033" s="18"/>
      <c r="CP1033" s="18"/>
      <c r="CQ1033" s="18"/>
      <c r="CR1033" s="18"/>
      <c r="CS1033" s="18"/>
      <c r="CT1033" s="18"/>
      <c r="CU1033" s="18"/>
    </row>
    <row r="1034" spans="1:99">
      <c r="A1034" s="19"/>
      <c r="B1034" s="19"/>
      <c r="C1034" s="19"/>
      <c r="D1034" s="19"/>
      <c r="E1034" s="19"/>
      <c r="F1034" s="19"/>
      <c r="G1034" s="19"/>
      <c r="H1034" s="19"/>
      <c r="I1034" s="19"/>
      <c r="J1034" s="19"/>
      <c r="K1034" s="18"/>
      <c r="L1034" s="18"/>
      <c r="M1034" s="18"/>
      <c r="N1034" s="18"/>
      <c r="O1034" s="18"/>
      <c r="P1034" s="18"/>
      <c r="Q1034" s="18"/>
      <c r="R1034" s="18"/>
      <c r="S1034" s="18"/>
      <c r="T1034" s="18"/>
      <c r="U1034" s="18"/>
      <c r="V1034" s="18"/>
      <c r="W1034" s="18"/>
      <c r="X1034" s="18"/>
      <c r="Y1034" s="18"/>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c r="BC1034" s="18"/>
      <c r="BD1034" s="18"/>
      <c r="BE1034" s="18"/>
      <c r="BF1034" s="18"/>
      <c r="BG1034" s="18"/>
      <c r="BH1034" s="18"/>
      <c r="BI1034" s="18"/>
      <c r="BJ1034" s="18"/>
      <c r="BK1034" s="18"/>
      <c r="BL1034" s="18"/>
      <c r="BM1034" s="18"/>
      <c r="BN1034" s="18"/>
      <c r="BO1034" s="18"/>
      <c r="BP1034" s="18"/>
      <c r="BQ1034" s="18"/>
      <c r="BR1034" s="18"/>
      <c r="BS1034" s="18"/>
      <c r="BT1034" s="18"/>
      <c r="BU1034" s="18"/>
      <c r="BV1034" s="18"/>
      <c r="BW1034" s="18"/>
      <c r="BX1034" s="18"/>
      <c r="BY1034" s="18"/>
      <c r="BZ1034" s="18"/>
      <c r="CA1034" s="18"/>
      <c r="CB1034" s="18"/>
      <c r="CC1034" s="18"/>
      <c r="CD1034" s="18"/>
      <c r="CE1034" s="18"/>
      <c r="CF1034" s="18"/>
      <c r="CG1034" s="18"/>
      <c r="CH1034" s="18"/>
      <c r="CI1034" s="18"/>
      <c r="CJ1034" s="18"/>
      <c r="CK1034" s="18"/>
      <c r="CL1034" s="18"/>
      <c r="CM1034" s="18"/>
      <c r="CN1034" s="18"/>
      <c r="CO1034" s="18"/>
      <c r="CP1034" s="18"/>
      <c r="CQ1034" s="18"/>
      <c r="CR1034" s="18"/>
      <c r="CS1034" s="18"/>
      <c r="CT1034" s="18"/>
      <c r="CU1034" s="18"/>
    </row>
    <row r="1035" spans="1:99">
      <c r="A1035" s="19"/>
      <c r="B1035" s="19"/>
      <c r="C1035" s="19"/>
      <c r="D1035" s="19"/>
      <c r="E1035" s="19"/>
      <c r="F1035" s="19"/>
      <c r="G1035" s="19"/>
      <c r="H1035" s="19"/>
      <c r="I1035" s="19"/>
      <c r="J1035" s="19"/>
      <c r="K1035" s="18"/>
      <c r="L1035" s="18"/>
      <c r="M1035" s="18"/>
      <c r="N1035" s="18"/>
      <c r="O1035" s="18"/>
      <c r="P1035" s="18"/>
      <c r="Q1035" s="18"/>
      <c r="R1035" s="18"/>
      <c r="S1035" s="18"/>
      <c r="T1035" s="18"/>
      <c r="U1035" s="18"/>
      <c r="V1035" s="18"/>
      <c r="W1035" s="18"/>
      <c r="X1035" s="18"/>
      <c r="Y1035" s="18"/>
      <c r="Z1035" s="18"/>
      <c r="AA1035" s="18"/>
      <c r="AB1035" s="18"/>
      <c r="AC1035" s="18"/>
      <c r="AD1035" s="18"/>
      <c r="AE1035" s="18"/>
      <c r="AF1035" s="18"/>
      <c r="AG1035" s="18"/>
      <c r="AH1035" s="18"/>
      <c r="AI1035" s="18"/>
      <c r="AJ1035" s="18"/>
      <c r="AK1035" s="18"/>
      <c r="AL1035" s="18"/>
      <c r="AM1035" s="18"/>
      <c r="AN1035" s="18"/>
      <c r="AO1035" s="18"/>
      <c r="AP1035" s="18"/>
      <c r="AQ1035" s="18"/>
      <c r="AR1035" s="18"/>
      <c r="AS1035" s="18"/>
      <c r="AT1035" s="18"/>
      <c r="AU1035" s="18"/>
      <c r="AV1035" s="18"/>
      <c r="AW1035" s="18"/>
      <c r="AX1035" s="18"/>
      <c r="AY1035" s="18"/>
      <c r="AZ1035" s="18"/>
      <c r="BA1035" s="18"/>
      <c r="BB1035" s="18"/>
      <c r="BC1035" s="18"/>
      <c r="BD1035" s="18"/>
      <c r="BE1035" s="18"/>
      <c r="BF1035" s="18"/>
      <c r="BG1035" s="18"/>
      <c r="BH1035" s="18"/>
      <c r="BI1035" s="18"/>
      <c r="BJ1035" s="18"/>
      <c r="BK1035" s="18"/>
      <c r="BL1035" s="18"/>
      <c r="BM1035" s="18"/>
      <c r="BN1035" s="18"/>
      <c r="BO1035" s="18"/>
      <c r="BP1035" s="18"/>
      <c r="BQ1035" s="18"/>
      <c r="BR1035" s="18"/>
      <c r="BS1035" s="18"/>
      <c r="BT1035" s="18"/>
      <c r="BU1035" s="18"/>
      <c r="BV1035" s="18"/>
      <c r="BW1035" s="18"/>
      <c r="BX1035" s="18"/>
      <c r="BY1035" s="18"/>
      <c r="BZ1035" s="18"/>
      <c r="CA1035" s="18"/>
      <c r="CB1035" s="18"/>
      <c r="CC1035" s="18"/>
      <c r="CD1035" s="18"/>
      <c r="CE1035" s="18"/>
      <c r="CF1035" s="18"/>
      <c r="CG1035" s="18"/>
      <c r="CH1035" s="18"/>
      <c r="CI1035" s="18"/>
      <c r="CJ1035" s="18"/>
      <c r="CK1035" s="18"/>
      <c r="CL1035" s="18"/>
      <c r="CM1035" s="18"/>
      <c r="CN1035" s="18"/>
      <c r="CO1035" s="18"/>
      <c r="CP1035" s="18"/>
      <c r="CQ1035" s="18"/>
      <c r="CR1035" s="18"/>
      <c r="CS1035" s="18"/>
      <c r="CT1035" s="18"/>
      <c r="CU1035" s="18"/>
    </row>
    <row r="1036" spans="1:99">
      <c r="A1036" s="19"/>
      <c r="B1036" s="19"/>
      <c r="C1036" s="19"/>
      <c r="D1036" s="19"/>
      <c r="E1036" s="19"/>
      <c r="F1036" s="19"/>
      <c r="G1036" s="19"/>
      <c r="H1036" s="19"/>
      <c r="I1036" s="19"/>
      <c r="J1036" s="19"/>
      <c r="K1036" s="18"/>
      <c r="L1036" s="18"/>
      <c r="M1036" s="18"/>
      <c r="N1036" s="18"/>
      <c r="O1036" s="18"/>
      <c r="P1036" s="18"/>
      <c r="Q1036" s="18"/>
      <c r="R1036" s="18"/>
      <c r="S1036" s="18"/>
      <c r="T1036" s="18"/>
      <c r="U1036" s="18"/>
      <c r="V1036" s="18"/>
      <c r="W1036" s="18"/>
      <c r="X1036" s="18"/>
      <c r="Y1036" s="18"/>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c r="BC1036" s="18"/>
      <c r="BD1036" s="18"/>
      <c r="BE1036" s="18"/>
      <c r="BF1036" s="18"/>
      <c r="BG1036" s="18"/>
      <c r="BH1036" s="18"/>
      <c r="BI1036" s="18"/>
      <c r="BJ1036" s="18"/>
      <c r="BK1036" s="18"/>
      <c r="BL1036" s="18"/>
      <c r="BM1036" s="18"/>
      <c r="BN1036" s="18"/>
      <c r="BO1036" s="18"/>
      <c r="BP1036" s="18"/>
      <c r="BQ1036" s="18"/>
      <c r="BR1036" s="18"/>
      <c r="BS1036" s="18"/>
      <c r="BT1036" s="18"/>
      <c r="BU1036" s="18"/>
      <c r="BV1036" s="18"/>
      <c r="BW1036" s="18"/>
      <c r="BX1036" s="18"/>
      <c r="BY1036" s="18"/>
      <c r="BZ1036" s="18"/>
      <c r="CA1036" s="18"/>
      <c r="CB1036" s="18"/>
      <c r="CC1036" s="18"/>
      <c r="CD1036" s="18"/>
      <c r="CE1036" s="18"/>
      <c r="CF1036" s="18"/>
      <c r="CG1036" s="18"/>
      <c r="CH1036" s="18"/>
      <c r="CI1036" s="18"/>
      <c r="CJ1036" s="18"/>
      <c r="CK1036" s="18"/>
      <c r="CL1036" s="18"/>
      <c r="CM1036" s="18"/>
      <c r="CN1036" s="18"/>
      <c r="CO1036" s="18"/>
      <c r="CP1036" s="18"/>
      <c r="CQ1036" s="18"/>
      <c r="CR1036" s="18"/>
      <c r="CS1036" s="18"/>
      <c r="CT1036" s="18"/>
      <c r="CU1036" s="18"/>
    </row>
    <row r="1037" spans="1:99">
      <c r="A1037" s="19"/>
      <c r="B1037" s="19"/>
      <c r="C1037" s="19"/>
      <c r="D1037" s="19"/>
      <c r="E1037" s="19"/>
      <c r="F1037" s="19"/>
      <c r="G1037" s="19"/>
      <c r="H1037" s="19"/>
      <c r="I1037" s="19"/>
      <c r="J1037" s="19"/>
      <c r="K1037" s="18"/>
      <c r="L1037" s="18"/>
      <c r="M1037" s="18"/>
      <c r="N1037" s="18"/>
      <c r="O1037" s="18"/>
      <c r="P1037" s="18"/>
      <c r="Q1037" s="18"/>
      <c r="R1037" s="18"/>
      <c r="S1037" s="18"/>
      <c r="T1037" s="18"/>
      <c r="U1037" s="18"/>
      <c r="V1037" s="18"/>
      <c r="W1037" s="18"/>
      <c r="X1037" s="18"/>
      <c r="Y1037" s="18"/>
      <c r="Z1037" s="18"/>
      <c r="AA1037" s="18"/>
      <c r="AB1037" s="18"/>
      <c r="AC1037" s="18"/>
      <c r="AD1037" s="18"/>
      <c r="AE1037" s="18"/>
      <c r="AF1037" s="18"/>
      <c r="AG1037" s="18"/>
      <c r="AH1037" s="18"/>
      <c r="AI1037" s="18"/>
      <c r="AJ1037" s="18"/>
      <c r="AK1037" s="18"/>
      <c r="AL1037" s="18"/>
      <c r="AM1037" s="18"/>
      <c r="AN1037" s="18"/>
      <c r="AO1037" s="18"/>
      <c r="AP1037" s="18"/>
      <c r="AQ1037" s="18"/>
      <c r="AR1037" s="18"/>
      <c r="AS1037" s="18"/>
      <c r="AT1037" s="18"/>
      <c r="AU1037" s="18"/>
      <c r="AV1037" s="18"/>
      <c r="AW1037" s="18"/>
      <c r="AX1037" s="18"/>
      <c r="AY1037" s="18"/>
      <c r="AZ1037" s="18"/>
      <c r="BA1037" s="18"/>
      <c r="BB1037" s="18"/>
      <c r="BC1037" s="18"/>
      <c r="BD1037" s="18"/>
      <c r="BE1037" s="18"/>
      <c r="BF1037" s="18"/>
      <c r="BG1037" s="18"/>
      <c r="BH1037" s="18"/>
      <c r="BI1037" s="18"/>
      <c r="BJ1037" s="18"/>
      <c r="BK1037" s="18"/>
      <c r="BL1037" s="18"/>
      <c r="BM1037" s="18"/>
      <c r="BN1037" s="18"/>
      <c r="BO1037" s="18"/>
      <c r="BP1037" s="18"/>
      <c r="BQ1037" s="18"/>
      <c r="BR1037" s="18"/>
      <c r="BS1037" s="18"/>
      <c r="BT1037" s="18"/>
      <c r="BU1037" s="18"/>
      <c r="BV1037" s="18"/>
      <c r="BW1037" s="18"/>
      <c r="BX1037" s="18"/>
      <c r="BY1037" s="18"/>
      <c r="BZ1037" s="18"/>
      <c r="CA1037" s="18"/>
      <c r="CB1037" s="18"/>
      <c r="CC1037" s="18"/>
      <c r="CD1037" s="18"/>
      <c r="CE1037" s="18"/>
      <c r="CF1037" s="18"/>
      <c r="CG1037" s="18"/>
      <c r="CH1037" s="18"/>
      <c r="CI1037" s="18"/>
      <c r="CJ1037" s="18"/>
      <c r="CK1037" s="18"/>
      <c r="CL1037" s="18"/>
      <c r="CM1037" s="18"/>
      <c r="CN1037" s="18"/>
      <c r="CO1037" s="18"/>
      <c r="CP1037" s="18"/>
      <c r="CQ1037" s="18"/>
      <c r="CR1037" s="18"/>
      <c r="CS1037" s="18"/>
      <c r="CT1037" s="18"/>
      <c r="CU1037" s="18"/>
    </row>
    <row r="1038" spans="1:99">
      <c r="A1038" s="19"/>
      <c r="B1038" s="19"/>
      <c r="C1038" s="19"/>
      <c r="D1038" s="19"/>
      <c r="E1038" s="19"/>
      <c r="F1038" s="19"/>
      <c r="G1038" s="19"/>
      <c r="H1038" s="19"/>
      <c r="I1038" s="19"/>
      <c r="J1038" s="19"/>
      <c r="K1038" s="18"/>
      <c r="L1038" s="18"/>
      <c r="M1038" s="18"/>
      <c r="N1038" s="18"/>
      <c r="O1038" s="18"/>
      <c r="P1038" s="18"/>
      <c r="Q1038" s="18"/>
      <c r="R1038" s="18"/>
      <c r="S1038" s="18"/>
      <c r="T1038" s="18"/>
      <c r="U1038" s="18"/>
      <c r="V1038" s="18"/>
      <c r="W1038" s="18"/>
      <c r="X1038" s="18"/>
      <c r="Y1038" s="18"/>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c r="BC1038" s="18"/>
      <c r="BD1038" s="18"/>
      <c r="BE1038" s="18"/>
      <c r="BF1038" s="18"/>
      <c r="BG1038" s="18"/>
      <c r="BH1038" s="18"/>
      <c r="BI1038" s="18"/>
      <c r="BJ1038" s="18"/>
      <c r="BK1038" s="18"/>
      <c r="BL1038" s="18"/>
      <c r="BM1038" s="18"/>
      <c r="BN1038" s="18"/>
      <c r="BO1038" s="18"/>
      <c r="BP1038" s="18"/>
      <c r="BQ1038" s="18"/>
      <c r="BR1038" s="18"/>
      <c r="BS1038" s="18"/>
      <c r="BT1038" s="18"/>
      <c r="BU1038" s="18"/>
      <c r="BV1038" s="18"/>
      <c r="BW1038" s="18"/>
      <c r="BX1038" s="18"/>
      <c r="BY1038" s="18"/>
      <c r="BZ1038" s="18"/>
      <c r="CA1038" s="18"/>
      <c r="CB1038" s="18"/>
      <c r="CC1038" s="18"/>
      <c r="CD1038" s="18"/>
      <c r="CE1038" s="18"/>
      <c r="CF1038" s="18"/>
      <c r="CG1038" s="18"/>
      <c r="CH1038" s="18"/>
      <c r="CI1038" s="18"/>
      <c r="CJ1038" s="18"/>
      <c r="CK1038" s="18"/>
      <c r="CL1038" s="18"/>
      <c r="CM1038" s="18"/>
      <c r="CN1038" s="18"/>
      <c r="CO1038" s="18"/>
      <c r="CP1038" s="18"/>
      <c r="CQ1038" s="18"/>
      <c r="CR1038" s="18"/>
      <c r="CS1038" s="18"/>
      <c r="CT1038" s="18"/>
      <c r="CU1038" s="18"/>
    </row>
    <row r="1039" spans="1:99">
      <c r="A1039" s="19"/>
      <c r="B1039" s="19"/>
      <c r="C1039" s="19"/>
      <c r="D1039" s="19"/>
      <c r="E1039" s="19"/>
      <c r="F1039" s="19"/>
      <c r="G1039" s="19"/>
      <c r="H1039" s="19"/>
      <c r="I1039" s="19"/>
      <c r="J1039" s="19"/>
      <c r="K1039" s="18"/>
      <c r="L1039" s="18"/>
      <c r="M1039" s="18"/>
      <c r="N1039" s="18"/>
      <c r="O1039" s="18"/>
      <c r="P1039" s="18"/>
      <c r="Q1039" s="18"/>
      <c r="R1039" s="18"/>
      <c r="S1039" s="18"/>
      <c r="T1039" s="18"/>
      <c r="U1039" s="18"/>
      <c r="V1039" s="18"/>
      <c r="W1039" s="18"/>
      <c r="X1039" s="18"/>
      <c r="Y1039" s="18"/>
      <c r="Z1039" s="18"/>
      <c r="AA1039" s="18"/>
      <c r="AB1039" s="18"/>
      <c r="AC1039" s="18"/>
      <c r="AD1039" s="18"/>
      <c r="AE1039" s="18"/>
      <c r="AF1039" s="18"/>
      <c r="AG1039" s="18"/>
      <c r="AH1039" s="18"/>
      <c r="AI1039" s="18"/>
      <c r="AJ1039" s="18"/>
      <c r="AK1039" s="18"/>
      <c r="AL1039" s="18"/>
      <c r="AM1039" s="18"/>
      <c r="AN1039" s="18"/>
      <c r="AO1039" s="18"/>
      <c r="AP1039" s="18"/>
      <c r="AQ1039" s="18"/>
      <c r="AR1039" s="18"/>
      <c r="AS1039" s="18"/>
      <c r="AT1039" s="18"/>
      <c r="AU1039" s="18"/>
      <c r="AV1039" s="18"/>
      <c r="AW1039" s="18"/>
      <c r="AX1039" s="18"/>
      <c r="AY1039" s="18"/>
      <c r="AZ1039" s="18"/>
      <c r="BA1039" s="18"/>
      <c r="BB1039" s="18"/>
      <c r="BC1039" s="18"/>
      <c r="BD1039" s="18"/>
      <c r="BE1039" s="18"/>
      <c r="BF1039" s="18"/>
      <c r="BG1039" s="18"/>
      <c r="BH1039" s="18"/>
      <c r="BI1039" s="18"/>
      <c r="BJ1039" s="18"/>
      <c r="BK1039" s="18"/>
      <c r="BL1039" s="18"/>
      <c r="BM1039" s="18"/>
      <c r="BN1039" s="18"/>
      <c r="BO1039" s="18"/>
      <c r="BP1039" s="18"/>
      <c r="BQ1039" s="18"/>
      <c r="BR1039" s="18"/>
      <c r="BS1039" s="18"/>
      <c r="BT1039" s="18"/>
      <c r="BU1039" s="18"/>
      <c r="BV1039" s="18"/>
      <c r="BW1039" s="18"/>
      <c r="BX1039" s="18"/>
      <c r="BY1039" s="18"/>
      <c r="BZ1039" s="18"/>
      <c r="CA1039" s="18"/>
      <c r="CB1039" s="18"/>
      <c r="CC1039" s="18"/>
      <c r="CD1039" s="18"/>
      <c r="CE1039" s="18"/>
      <c r="CF1039" s="18"/>
      <c r="CG1039" s="18"/>
      <c r="CH1039" s="18"/>
      <c r="CI1039" s="18"/>
      <c r="CJ1039" s="18"/>
      <c r="CK1039" s="18"/>
      <c r="CL1039" s="18"/>
      <c r="CM1039" s="18"/>
      <c r="CN1039" s="18"/>
      <c r="CO1039" s="18"/>
      <c r="CP1039" s="18"/>
      <c r="CQ1039" s="18"/>
      <c r="CR1039" s="18"/>
      <c r="CS1039" s="18"/>
      <c r="CT1039" s="18"/>
      <c r="CU1039" s="18"/>
    </row>
    <row r="1040" spans="1:99">
      <c r="A1040" s="19"/>
      <c r="B1040" s="19"/>
      <c r="C1040" s="19"/>
      <c r="D1040" s="19"/>
      <c r="E1040" s="19"/>
      <c r="F1040" s="19"/>
      <c r="G1040" s="19"/>
      <c r="H1040" s="19"/>
      <c r="I1040" s="19"/>
      <c r="J1040" s="19"/>
      <c r="K1040" s="18"/>
      <c r="L1040" s="18"/>
      <c r="M1040" s="18"/>
      <c r="N1040" s="18"/>
      <c r="O1040" s="18"/>
      <c r="P1040" s="18"/>
      <c r="Q1040" s="18"/>
      <c r="R1040" s="18"/>
      <c r="S1040" s="18"/>
      <c r="T1040" s="18"/>
      <c r="U1040" s="18"/>
      <c r="V1040" s="18"/>
      <c r="W1040" s="18"/>
      <c r="X1040" s="18"/>
      <c r="Y1040" s="18"/>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c r="BC1040" s="18"/>
      <c r="BD1040" s="18"/>
      <c r="BE1040" s="18"/>
      <c r="BF1040" s="18"/>
      <c r="BG1040" s="18"/>
      <c r="BH1040" s="18"/>
      <c r="BI1040" s="18"/>
      <c r="BJ1040" s="18"/>
      <c r="BK1040" s="18"/>
      <c r="BL1040" s="18"/>
      <c r="BM1040" s="18"/>
      <c r="BN1040" s="18"/>
      <c r="BO1040" s="18"/>
      <c r="BP1040" s="18"/>
      <c r="BQ1040" s="18"/>
      <c r="BR1040" s="18"/>
      <c r="BS1040" s="18"/>
      <c r="BT1040" s="18"/>
      <c r="BU1040" s="18"/>
      <c r="BV1040" s="18"/>
      <c r="BW1040" s="18"/>
      <c r="BX1040" s="18"/>
      <c r="BY1040" s="18"/>
      <c r="BZ1040" s="18"/>
      <c r="CA1040" s="18"/>
      <c r="CB1040" s="18"/>
      <c r="CC1040" s="18"/>
      <c r="CD1040" s="18"/>
      <c r="CE1040" s="18"/>
      <c r="CF1040" s="18"/>
      <c r="CG1040" s="18"/>
      <c r="CH1040" s="18"/>
      <c r="CI1040" s="18"/>
      <c r="CJ1040" s="18"/>
      <c r="CK1040" s="18"/>
      <c r="CL1040" s="18"/>
      <c r="CM1040" s="18"/>
      <c r="CN1040" s="18"/>
      <c r="CO1040" s="18"/>
      <c r="CP1040" s="18"/>
      <c r="CQ1040" s="18"/>
      <c r="CR1040" s="18"/>
      <c r="CS1040" s="18"/>
      <c r="CT1040" s="18"/>
      <c r="CU1040" s="18"/>
    </row>
    <row r="1041" spans="1:99">
      <c r="A1041" s="19"/>
      <c r="B1041" s="19"/>
      <c r="C1041" s="19"/>
      <c r="D1041" s="19"/>
      <c r="E1041" s="19"/>
      <c r="F1041" s="19"/>
      <c r="G1041" s="19"/>
      <c r="H1041" s="19"/>
      <c r="I1041" s="19"/>
      <c r="J1041" s="19"/>
      <c r="K1041" s="18"/>
      <c r="L1041" s="18"/>
      <c r="M1041" s="18"/>
      <c r="N1041" s="18"/>
      <c r="O1041" s="18"/>
      <c r="P1041" s="18"/>
      <c r="Q1041" s="18"/>
      <c r="R1041" s="18"/>
      <c r="S1041" s="18"/>
      <c r="T1041" s="18"/>
      <c r="U1041" s="18"/>
      <c r="V1041" s="18"/>
      <c r="W1041" s="18"/>
      <c r="X1041" s="18"/>
      <c r="Y1041" s="18"/>
      <c r="Z1041" s="18"/>
      <c r="AA1041" s="18"/>
      <c r="AB1041" s="18"/>
      <c r="AC1041" s="18"/>
      <c r="AD1041" s="18"/>
      <c r="AE1041" s="18"/>
      <c r="AF1041" s="18"/>
      <c r="AG1041" s="18"/>
      <c r="AH1041" s="18"/>
      <c r="AI1041" s="18"/>
      <c r="AJ1041" s="18"/>
      <c r="AK1041" s="18"/>
      <c r="AL1041" s="18"/>
      <c r="AM1041" s="18"/>
      <c r="AN1041" s="18"/>
      <c r="AO1041" s="18"/>
      <c r="AP1041" s="18"/>
      <c r="AQ1041" s="18"/>
      <c r="AR1041" s="18"/>
      <c r="AS1041" s="18"/>
      <c r="AT1041" s="18"/>
      <c r="AU1041" s="18"/>
      <c r="AV1041" s="18"/>
      <c r="AW1041" s="18"/>
      <c r="AX1041" s="18"/>
      <c r="AY1041" s="18"/>
      <c r="AZ1041" s="18"/>
      <c r="BA1041" s="18"/>
      <c r="BB1041" s="18"/>
      <c r="BC1041" s="18"/>
      <c r="BD1041" s="18"/>
      <c r="BE1041" s="18"/>
      <c r="BF1041" s="18"/>
      <c r="BG1041" s="18"/>
      <c r="BH1041" s="18"/>
      <c r="BI1041" s="18"/>
      <c r="BJ1041" s="18"/>
      <c r="BK1041" s="18"/>
      <c r="BL1041" s="18"/>
      <c r="BM1041" s="18"/>
      <c r="BN1041" s="18"/>
      <c r="BO1041" s="18"/>
      <c r="BP1041" s="18"/>
      <c r="BQ1041" s="18"/>
      <c r="BR1041" s="18"/>
      <c r="BS1041" s="18"/>
      <c r="BT1041" s="18"/>
      <c r="BU1041" s="18"/>
      <c r="BV1041" s="18"/>
      <c r="BW1041" s="18"/>
      <c r="BX1041" s="18"/>
      <c r="BY1041" s="18"/>
      <c r="BZ1041" s="18"/>
      <c r="CA1041" s="18"/>
      <c r="CB1041" s="18"/>
      <c r="CC1041" s="18"/>
      <c r="CD1041" s="18"/>
      <c r="CE1041" s="18"/>
      <c r="CF1041" s="18"/>
      <c r="CG1041" s="18"/>
      <c r="CH1041" s="18"/>
      <c r="CI1041" s="18"/>
      <c r="CJ1041" s="18"/>
      <c r="CK1041" s="18"/>
      <c r="CL1041" s="18"/>
      <c r="CM1041" s="18"/>
      <c r="CN1041" s="18"/>
      <c r="CO1041" s="18"/>
      <c r="CP1041" s="18"/>
      <c r="CQ1041" s="18"/>
      <c r="CR1041" s="18"/>
      <c r="CS1041" s="18"/>
      <c r="CT1041" s="18"/>
      <c r="CU1041" s="18"/>
    </row>
    <row r="1042" spans="1:99">
      <c r="A1042" s="19"/>
      <c r="B1042" s="19"/>
      <c r="C1042" s="19"/>
      <c r="D1042" s="19"/>
      <c r="E1042" s="19"/>
      <c r="F1042" s="19"/>
      <c r="G1042" s="19"/>
      <c r="H1042" s="19"/>
      <c r="I1042" s="19"/>
      <c r="J1042" s="19"/>
      <c r="K1042" s="18"/>
      <c r="L1042" s="18"/>
      <c r="M1042" s="18"/>
      <c r="N1042" s="18"/>
      <c r="O1042" s="18"/>
      <c r="P1042" s="18"/>
      <c r="Q1042" s="18"/>
      <c r="R1042" s="18"/>
      <c r="S1042" s="18"/>
      <c r="T1042" s="18"/>
      <c r="U1042" s="18"/>
      <c r="V1042" s="18"/>
      <c r="W1042" s="18"/>
      <c r="X1042" s="18"/>
      <c r="Y1042" s="18"/>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c r="BC1042" s="18"/>
      <c r="BD1042" s="18"/>
      <c r="BE1042" s="18"/>
      <c r="BF1042" s="18"/>
      <c r="BG1042" s="18"/>
      <c r="BH1042" s="18"/>
      <c r="BI1042" s="18"/>
      <c r="BJ1042" s="18"/>
      <c r="BK1042" s="18"/>
      <c r="BL1042" s="18"/>
      <c r="BM1042" s="18"/>
      <c r="BN1042" s="18"/>
      <c r="BO1042" s="18"/>
      <c r="BP1042" s="18"/>
      <c r="BQ1042" s="18"/>
      <c r="BR1042" s="18"/>
      <c r="BS1042" s="18"/>
      <c r="BT1042" s="18"/>
      <c r="BU1042" s="18"/>
      <c r="BV1042" s="18"/>
      <c r="BW1042" s="18"/>
      <c r="BX1042" s="18"/>
      <c r="BY1042" s="18"/>
      <c r="BZ1042" s="18"/>
      <c r="CA1042" s="18"/>
      <c r="CB1042" s="18"/>
      <c r="CC1042" s="18"/>
      <c r="CD1042" s="18"/>
      <c r="CE1042" s="18"/>
      <c r="CF1042" s="18"/>
      <c r="CG1042" s="18"/>
      <c r="CH1042" s="18"/>
      <c r="CI1042" s="18"/>
      <c r="CJ1042" s="18"/>
      <c r="CK1042" s="18"/>
      <c r="CL1042" s="18"/>
      <c r="CM1042" s="18"/>
      <c r="CN1042" s="18"/>
      <c r="CO1042" s="18"/>
      <c r="CP1042" s="18"/>
      <c r="CQ1042" s="18"/>
      <c r="CR1042" s="18"/>
      <c r="CS1042" s="18"/>
      <c r="CT1042" s="18"/>
      <c r="CU1042" s="18"/>
    </row>
    <row r="1043" spans="1:99">
      <c r="A1043" s="19"/>
      <c r="B1043" s="19"/>
      <c r="C1043" s="19"/>
      <c r="D1043" s="19"/>
      <c r="E1043" s="19"/>
      <c r="F1043" s="19"/>
      <c r="G1043" s="19"/>
      <c r="H1043" s="19"/>
      <c r="I1043" s="19"/>
      <c r="J1043" s="19"/>
      <c r="K1043" s="18"/>
      <c r="L1043" s="18"/>
      <c r="M1043" s="18"/>
      <c r="N1043" s="18"/>
      <c r="O1043" s="18"/>
      <c r="P1043" s="18"/>
      <c r="Q1043" s="18"/>
      <c r="R1043" s="18"/>
      <c r="S1043" s="18"/>
      <c r="T1043" s="18"/>
      <c r="U1043" s="18"/>
      <c r="V1043" s="18"/>
      <c r="W1043" s="18"/>
      <c r="X1043" s="18"/>
      <c r="Y1043" s="18"/>
      <c r="Z1043" s="18"/>
      <c r="AA1043" s="18"/>
      <c r="AB1043" s="18"/>
      <c r="AC1043" s="18"/>
      <c r="AD1043" s="18"/>
      <c r="AE1043" s="18"/>
      <c r="AF1043" s="18"/>
      <c r="AG1043" s="18"/>
      <c r="AH1043" s="18"/>
      <c r="AI1043" s="18"/>
      <c r="AJ1043" s="18"/>
      <c r="AK1043" s="18"/>
      <c r="AL1043" s="18"/>
      <c r="AM1043" s="18"/>
      <c r="AN1043" s="18"/>
      <c r="AO1043" s="18"/>
      <c r="AP1043" s="18"/>
      <c r="AQ1043" s="18"/>
      <c r="AR1043" s="18"/>
      <c r="AS1043" s="18"/>
      <c r="AT1043" s="18"/>
      <c r="AU1043" s="18"/>
      <c r="AV1043" s="18"/>
      <c r="AW1043" s="18"/>
      <c r="AX1043" s="18"/>
      <c r="AY1043" s="18"/>
      <c r="AZ1043" s="18"/>
      <c r="BA1043" s="18"/>
      <c r="BB1043" s="18"/>
      <c r="BC1043" s="18"/>
      <c r="BD1043" s="18"/>
      <c r="BE1043" s="18"/>
      <c r="BF1043" s="18"/>
      <c r="BG1043" s="18"/>
      <c r="BH1043" s="18"/>
      <c r="BI1043" s="18"/>
      <c r="BJ1043" s="18"/>
      <c r="BK1043" s="18"/>
      <c r="BL1043" s="18"/>
      <c r="BM1043" s="18"/>
      <c r="BN1043" s="18"/>
      <c r="BO1043" s="18"/>
      <c r="BP1043" s="18"/>
      <c r="BQ1043" s="18"/>
      <c r="BR1043" s="18"/>
      <c r="BS1043" s="18"/>
      <c r="BT1043" s="18"/>
      <c r="BU1043" s="18"/>
      <c r="BV1043" s="18"/>
      <c r="BW1043" s="18"/>
      <c r="BX1043" s="18"/>
      <c r="BY1043" s="18"/>
      <c r="BZ1043" s="18"/>
      <c r="CA1043" s="18"/>
      <c r="CB1043" s="18"/>
      <c r="CC1043" s="18"/>
      <c r="CD1043" s="18"/>
      <c r="CE1043" s="18"/>
      <c r="CF1043" s="18"/>
      <c r="CG1043" s="18"/>
      <c r="CH1043" s="18"/>
      <c r="CI1043" s="18"/>
      <c r="CJ1043" s="18"/>
      <c r="CK1043" s="18"/>
      <c r="CL1043" s="18"/>
      <c r="CM1043" s="18"/>
      <c r="CN1043" s="18"/>
      <c r="CO1043" s="18"/>
      <c r="CP1043" s="18"/>
      <c r="CQ1043" s="18"/>
      <c r="CR1043" s="18"/>
      <c r="CS1043" s="18"/>
      <c r="CT1043" s="18"/>
      <c r="CU1043" s="18"/>
    </row>
    <row r="1044" spans="1:99">
      <c r="A1044" s="19"/>
      <c r="B1044" s="19"/>
      <c r="C1044" s="19"/>
      <c r="D1044" s="19"/>
      <c r="E1044" s="19"/>
      <c r="F1044" s="19"/>
      <c r="G1044" s="19"/>
      <c r="H1044" s="19"/>
      <c r="I1044" s="19"/>
      <c r="J1044" s="19"/>
      <c r="K1044" s="18"/>
      <c r="L1044" s="18"/>
      <c r="M1044" s="18"/>
      <c r="N1044" s="18"/>
      <c r="O1044" s="18"/>
      <c r="P1044" s="18"/>
      <c r="Q1044" s="18"/>
      <c r="R1044" s="18"/>
      <c r="S1044" s="18"/>
      <c r="T1044" s="18"/>
      <c r="U1044" s="18"/>
      <c r="V1044" s="18"/>
      <c r="W1044" s="18"/>
      <c r="X1044" s="18"/>
      <c r="Y1044" s="18"/>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c r="BC1044" s="18"/>
      <c r="BD1044" s="18"/>
      <c r="BE1044" s="18"/>
      <c r="BF1044" s="18"/>
      <c r="BG1044" s="18"/>
      <c r="BH1044" s="18"/>
      <c r="BI1044" s="18"/>
      <c r="BJ1044" s="18"/>
      <c r="BK1044" s="18"/>
      <c r="BL1044" s="18"/>
      <c r="BM1044" s="18"/>
      <c r="BN1044" s="18"/>
      <c r="BO1044" s="18"/>
      <c r="BP1044" s="18"/>
      <c r="BQ1044" s="18"/>
      <c r="BR1044" s="18"/>
      <c r="BS1044" s="18"/>
      <c r="BT1044" s="18"/>
      <c r="BU1044" s="18"/>
      <c r="BV1044" s="18"/>
      <c r="BW1044" s="18"/>
      <c r="BX1044" s="18"/>
      <c r="BY1044" s="18"/>
      <c r="BZ1044" s="18"/>
      <c r="CA1044" s="18"/>
      <c r="CB1044" s="18"/>
      <c r="CC1044" s="18"/>
      <c r="CD1044" s="18"/>
      <c r="CE1044" s="18"/>
      <c r="CF1044" s="18"/>
      <c r="CG1044" s="18"/>
      <c r="CH1044" s="18"/>
      <c r="CI1044" s="18"/>
      <c r="CJ1044" s="18"/>
      <c r="CK1044" s="18"/>
      <c r="CL1044" s="18"/>
      <c r="CM1044" s="18"/>
      <c r="CN1044" s="18"/>
      <c r="CO1044" s="18"/>
      <c r="CP1044" s="18"/>
      <c r="CQ1044" s="18"/>
      <c r="CR1044" s="18"/>
      <c r="CS1044" s="18"/>
      <c r="CT1044" s="18"/>
      <c r="CU1044" s="18"/>
    </row>
    <row r="1045" spans="1:99">
      <c r="A1045" s="19"/>
      <c r="B1045" s="19"/>
      <c r="C1045" s="19"/>
      <c r="D1045" s="19"/>
      <c r="E1045" s="19"/>
      <c r="F1045" s="19"/>
      <c r="G1045" s="19"/>
      <c r="H1045" s="19"/>
      <c r="I1045" s="19"/>
      <c r="J1045" s="19"/>
      <c r="K1045" s="18"/>
      <c r="L1045" s="18"/>
      <c r="M1045" s="18"/>
      <c r="N1045" s="18"/>
      <c r="O1045" s="18"/>
      <c r="P1045" s="18"/>
      <c r="Q1045" s="18"/>
      <c r="R1045" s="18"/>
      <c r="S1045" s="18"/>
      <c r="T1045" s="18"/>
      <c r="U1045" s="18"/>
      <c r="V1045" s="18"/>
      <c r="W1045" s="18"/>
      <c r="X1045" s="18"/>
      <c r="Y1045" s="18"/>
      <c r="Z1045" s="18"/>
      <c r="AA1045" s="18"/>
      <c r="AB1045" s="18"/>
      <c r="AC1045" s="18"/>
      <c r="AD1045" s="18"/>
      <c r="AE1045" s="18"/>
      <c r="AF1045" s="18"/>
      <c r="AG1045" s="18"/>
      <c r="AH1045" s="18"/>
      <c r="AI1045" s="18"/>
      <c r="AJ1045" s="18"/>
      <c r="AK1045" s="18"/>
      <c r="AL1045" s="18"/>
      <c r="AM1045" s="18"/>
      <c r="AN1045" s="18"/>
      <c r="AO1045" s="18"/>
      <c r="AP1045" s="18"/>
      <c r="AQ1045" s="18"/>
      <c r="AR1045" s="18"/>
      <c r="AS1045" s="18"/>
      <c r="AT1045" s="18"/>
      <c r="AU1045" s="18"/>
      <c r="AV1045" s="18"/>
      <c r="AW1045" s="18"/>
      <c r="AX1045" s="18"/>
      <c r="AY1045" s="18"/>
      <c r="AZ1045" s="18"/>
      <c r="BA1045" s="18"/>
      <c r="BB1045" s="18"/>
      <c r="BC1045" s="18"/>
      <c r="BD1045" s="18"/>
      <c r="BE1045" s="18"/>
      <c r="BF1045" s="18"/>
      <c r="BG1045" s="18"/>
      <c r="BH1045" s="18"/>
      <c r="BI1045" s="18"/>
      <c r="BJ1045" s="18"/>
      <c r="BK1045" s="18"/>
      <c r="BL1045" s="18"/>
      <c r="BM1045" s="18"/>
      <c r="BN1045" s="18"/>
      <c r="BO1045" s="18"/>
      <c r="BP1045" s="18"/>
      <c r="BQ1045" s="18"/>
      <c r="BR1045" s="18"/>
      <c r="BS1045" s="18"/>
      <c r="BT1045" s="18"/>
      <c r="BU1045" s="18"/>
      <c r="BV1045" s="18"/>
      <c r="BW1045" s="18"/>
      <c r="BX1045" s="18"/>
      <c r="BY1045" s="18"/>
      <c r="BZ1045" s="18"/>
      <c r="CA1045" s="18"/>
      <c r="CB1045" s="18"/>
      <c r="CC1045" s="18"/>
      <c r="CD1045" s="18"/>
      <c r="CE1045" s="18"/>
      <c r="CF1045" s="18"/>
      <c r="CG1045" s="18"/>
      <c r="CH1045" s="18"/>
      <c r="CI1045" s="18"/>
      <c r="CJ1045" s="18"/>
      <c r="CK1045" s="18"/>
      <c r="CL1045" s="18"/>
      <c r="CM1045" s="18"/>
      <c r="CN1045" s="18"/>
      <c r="CO1045" s="18"/>
      <c r="CP1045" s="18"/>
      <c r="CQ1045" s="18"/>
      <c r="CR1045" s="18"/>
      <c r="CS1045" s="18"/>
      <c r="CT1045" s="18"/>
      <c r="CU1045" s="18"/>
    </row>
    <row r="1046" spans="1:99">
      <c r="A1046" s="19"/>
      <c r="B1046" s="19"/>
      <c r="C1046" s="19"/>
      <c r="D1046" s="19"/>
      <c r="E1046" s="19"/>
      <c r="F1046" s="19"/>
      <c r="G1046" s="19"/>
      <c r="H1046" s="19"/>
      <c r="I1046" s="19"/>
      <c r="J1046" s="19"/>
      <c r="K1046" s="18"/>
      <c r="L1046" s="18"/>
      <c r="M1046" s="18"/>
      <c r="N1046" s="18"/>
      <c r="O1046" s="18"/>
      <c r="P1046" s="18"/>
      <c r="Q1046" s="18"/>
      <c r="R1046" s="18"/>
      <c r="S1046" s="18"/>
      <c r="T1046" s="18"/>
      <c r="U1046" s="18"/>
      <c r="V1046" s="18"/>
      <c r="W1046" s="18"/>
      <c r="X1046" s="18"/>
      <c r="Y1046" s="18"/>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c r="BC1046" s="18"/>
      <c r="BD1046" s="18"/>
      <c r="BE1046" s="18"/>
      <c r="BF1046" s="18"/>
      <c r="BG1046" s="18"/>
      <c r="BH1046" s="18"/>
      <c r="BI1046" s="18"/>
      <c r="BJ1046" s="18"/>
      <c r="BK1046" s="18"/>
      <c r="BL1046" s="18"/>
      <c r="BM1046" s="18"/>
      <c r="BN1046" s="18"/>
      <c r="BO1046" s="18"/>
      <c r="BP1046" s="18"/>
      <c r="BQ1046" s="18"/>
      <c r="BR1046" s="18"/>
      <c r="BS1046" s="18"/>
      <c r="BT1046" s="18"/>
      <c r="BU1046" s="18"/>
      <c r="BV1046" s="18"/>
      <c r="BW1046" s="18"/>
      <c r="BX1046" s="18"/>
      <c r="BY1046" s="18"/>
      <c r="BZ1046" s="18"/>
      <c r="CA1046" s="18"/>
      <c r="CB1046" s="18"/>
      <c r="CC1046" s="18"/>
      <c r="CD1046" s="18"/>
      <c r="CE1046" s="18"/>
      <c r="CF1046" s="18"/>
      <c r="CG1046" s="18"/>
      <c r="CH1046" s="18"/>
      <c r="CI1046" s="18"/>
      <c r="CJ1046" s="18"/>
      <c r="CK1046" s="18"/>
      <c r="CL1046" s="18"/>
      <c r="CM1046" s="18"/>
      <c r="CN1046" s="18"/>
      <c r="CO1046" s="18"/>
      <c r="CP1046" s="18"/>
      <c r="CQ1046" s="18"/>
      <c r="CR1046" s="18"/>
      <c r="CS1046" s="18"/>
      <c r="CT1046" s="18"/>
      <c r="CU1046" s="18"/>
    </row>
    <row r="1047" spans="1:99">
      <c r="A1047" s="19"/>
      <c r="B1047" s="19"/>
      <c r="C1047" s="19"/>
      <c r="D1047" s="19"/>
      <c r="E1047" s="19"/>
      <c r="F1047" s="19"/>
      <c r="G1047" s="19"/>
      <c r="H1047" s="19"/>
      <c r="I1047" s="19"/>
      <c r="J1047" s="19"/>
      <c r="K1047" s="18"/>
      <c r="L1047" s="18"/>
      <c r="M1047" s="18"/>
      <c r="N1047" s="18"/>
      <c r="O1047" s="18"/>
      <c r="P1047" s="18"/>
      <c r="Q1047" s="18"/>
      <c r="R1047" s="18"/>
      <c r="S1047" s="18"/>
      <c r="T1047" s="18"/>
      <c r="U1047" s="18"/>
      <c r="V1047" s="18"/>
      <c r="W1047" s="18"/>
      <c r="X1047" s="18"/>
      <c r="Y1047" s="18"/>
      <c r="Z1047" s="18"/>
      <c r="AA1047" s="18"/>
      <c r="AB1047" s="18"/>
      <c r="AC1047" s="18"/>
      <c r="AD1047" s="18"/>
      <c r="AE1047" s="18"/>
      <c r="AF1047" s="18"/>
      <c r="AG1047" s="18"/>
      <c r="AH1047" s="18"/>
      <c r="AI1047" s="18"/>
      <c r="AJ1047" s="18"/>
      <c r="AK1047" s="18"/>
      <c r="AL1047" s="18"/>
      <c r="AM1047" s="18"/>
      <c r="AN1047" s="18"/>
      <c r="AO1047" s="18"/>
      <c r="AP1047" s="18"/>
      <c r="AQ1047" s="18"/>
      <c r="AR1047" s="18"/>
      <c r="AS1047" s="18"/>
      <c r="AT1047" s="18"/>
      <c r="AU1047" s="18"/>
      <c r="AV1047" s="18"/>
      <c r="AW1047" s="18"/>
      <c r="AX1047" s="18"/>
      <c r="AY1047" s="18"/>
      <c r="AZ1047" s="18"/>
      <c r="BA1047" s="18"/>
      <c r="BB1047" s="18"/>
      <c r="BC1047" s="18"/>
      <c r="BD1047" s="18"/>
      <c r="BE1047" s="18"/>
      <c r="BF1047" s="18"/>
      <c r="BG1047" s="18"/>
      <c r="BH1047" s="18"/>
      <c r="BI1047" s="18"/>
      <c r="BJ1047" s="18"/>
      <c r="BK1047" s="18"/>
      <c r="BL1047" s="18"/>
      <c r="BM1047" s="18"/>
      <c r="BN1047" s="18"/>
      <c r="BO1047" s="18"/>
      <c r="BP1047" s="18"/>
      <c r="BQ1047" s="18"/>
      <c r="BR1047" s="18"/>
      <c r="BS1047" s="18"/>
      <c r="BT1047" s="18"/>
      <c r="BU1047" s="18"/>
      <c r="BV1047" s="18"/>
      <c r="BW1047" s="18"/>
      <c r="BX1047" s="18"/>
      <c r="BY1047" s="18"/>
      <c r="BZ1047" s="18"/>
      <c r="CA1047" s="18"/>
      <c r="CB1047" s="18"/>
      <c r="CC1047" s="18"/>
      <c r="CD1047" s="18"/>
      <c r="CE1047" s="18"/>
      <c r="CF1047" s="18"/>
      <c r="CG1047" s="18"/>
      <c r="CH1047" s="18"/>
      <c r="CI1047" s="18"/>
      <c r="CJ1047" s="18"/>
      <c r="CK1047" s="18"/>
      <c r="CL1047" s="18"/>
      <c r="CM1047" s="18"/>
      <c r="CN1047" s="18"/>
      <c r="CO1047" s="18"/>
      <c r="CP1047" s="18"/>
      <c r="CQ1047" s="18"/>
      <c r="CR1047" s="18"/>
      <c r="CS1047" s="18"/>
      <c r="CT1047" s="18"/>
      <c r="CU1047" s="18"/>
    </row>
    <row r="1048" spans="1:99">
      <c r="A1048" s="19"/>
      <c r="B1048" s="19"/>
      <c r="C1048" s="19"/>
      <c r="D1048" s="19"/>
      <c r="E1048" s="19"/>
      <c r="F1048" s="19"/>
      <c r="G1048" s="19"/>
      <c r="H1048" s="19"/>
      <c r="I1048" s="19"/>
      <c r="J1048" s="19"/>
      <c r="K1048" s="18"/>
      <c r="L1048" s="18"/>
      <c r="M1048" s="18"/>
      <c r="N1048" s="18"/>
      <c r="O1048" s="18"/>
      <c r="P1048" s="18"/>
      <c r="Q1048" s="18"/>
      <c r="R1048" s="18"/>
      <c r="S1048" s="18"/>
      <c r="T1048" s="18"/>
      <c r="U1048" s="18"/>
      <c r="V1048" s="18"/>
      <c r="W1048" s="18"/>
      <c r="X1048" s="18"/>
      <c r="Y1048" s="18"/>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c r="BC1048" s="18"/>
      <c r="BD1048" s="18"/>
      <c r="BE1048" s="18"/>
      <c r="BF1048" s="18"/>
      <c r="BG1048" s="18"/>
      <c r="BH1048" s="18"/>
      <c r="BI1048" s="18"/>
      <c r="BJ1048" s="18"/>
      <c r="BK1048" s="18"/>
      <c r="BL1048" s="18"/>
      <c r="BM1048" s="18"/>
      <c r="BN1048" s="18"/>
      <c r="BO1048" s="18"/>
      <c r="BP1048" s="18"/>
      <c r="BQ1048" s="18"/>
      <c r="BR1048" s="18"/>
      <c r="BS1048" s="18"/>
      <c r="BT1048" s="18"/>
      <c r="BU1048" s="18"/>
      <c r="BV1048" s="18"/>
      <c r="BW1048" s="18"/>
      <c r="BX1048" s="18"/>
      <c r="BY1048" s="18"/>
      <c r="BZ1048" s="18"/>
      <c r="CA1048" s="18"/>
      <c r="CB1048" s="18"/>
      <c r="CC1048" s="18"/>
      <c r="CD1048" s="18"/>
      <c r="CE1048" s="18"/>
      <c r="CF1048" s="18"/>
      <c r="CG1048" s="18"/>
      <c r="CH1048" s="18"/>
      <c r="CI1048" s="18"/>
      <c r="CJ1048" s="18"/>
      <c r="CK1048" s="18"/>
      <c r="CL1048" s="18"/>
      <c r="CM1048" s="18"/>
      <c r="CN1048" s="18"/>
      <c r="CO1048" s="18"/>
      <c r="CP1048" s="18"/>
      <c r="CQ1048" s="18"/>
      <c r="CR1048" s="18"/>
      <c r="CS1048" s="18"/>
      <c r="CT1048" s="18"/>
      <c r="CU1048" s="18"/>
    </row>
    <row r="1049" spans="1:99">
      <c r="A1049" s="19"/>
      <c r="B1049" s="19"/>
      <c r="C1049" s="19"/>
      <c r="D1049" s="19"/>
      <c r="E1049" s="19"/>
      <c r="F1049" s="19"/>
      <c r="G1049" s="19"/>
      <c r="H1049" s="19"/>
      <c r="I1049" s="19"/>
      <c r="J1049" s="19"/>
      <c r="K1049" s="18"/>
      <c r="L1049" s="18"/>
      <c r="M1049" s="18"/>
      <c r="N1049" s="18"/>
      <c r="O1049" s="18"/>
      <c r="P1049" s="18"/>
      <c r="Q1049" s="18"/>
      <c r="R1049" s="18"/>
      <c r="S1049" s="18"/>
      <c r="T1049" s="18"/>
      <c r="U1049" s="18"/>
      <c r="V1049" s="18"/>
      <c r="W1049" s="18"/>
      <c r="X1049" s="18"/>
      <c r="Y1049" s="18"/>
      <c r="Z1049" s="18"/>
      <c r="AA1049" s="18"/>
      <c r="AB1049" s="18"/>
      <c r="AC1049" s="18"/>
      <c r="AD1049" s="18"/>
      <c r="AE1049" s="18"/>
      <c r="AF1049" s="18"/>
      <c r="AG1049" s="18"/>
      <c r="AH1049" s="18"/>
      <c r="AI1049" s="18"/>
      <c r="AJ1049" s="18"/>
      <c r="AK1049" s="18"/>
      <c r="AL1049" s="18"/>
      <c r="AM1049" s="18"/>
      <c r="AN1049" s="18"/>
      <c r="AO1049" s="18"/>
      <c r="AP1049" s="18"/>
      <c r="AQ1049" s="18"/>
      <c r="AR1049" s="18"/>
      <c r="AS1049" s="18"/>
      <c r="AT1049" s="18"/>
      <c r="AU1049" s="18"/>
      <c r="AV1049" s="18"/>
      <c r="AW1049" s="18"/>
      <c r="AX1049" s="18"/>
      <c r="AY1049" s="18"/>
      <c r="AZ1049" s="18"/>
      <c r="BA1049" s="18"/>
      <c r="BB1049" s="18"/>
      <c r="BC1049" s="18"/>
      <c r="BD1049" s="18"/>
      <c r="BE1049" s="18"/>
      <c r="BF1049" s="18"/>
      <c r="BG1049" s="18"/>
      <c r="BH1049" s="18"/>
      <c r="BI1049" s="18"/>
      <c r="BJ1049" s="18"/>
      <c r="BK1049" s="18"/>
      <c r="BL1049" s="18"/>
      <c r="BM1049" s="18"/>
      <c r="BN1049" s="18"/>
      <c r="BO1049" s="18"/>
      <c r="BP1049" s="18"/>
      <c r="BQ1049" s="18"/>
      <c r="BR1049" s="18"/>
      <c r="BS1049" s="18"/>
      <c r="BT1049" s="18"/>
      <c r="BU1049" s="18"/>
      <c r="BV1049" s="18"/>
      <c r="BW1049" s="18"/>
      <c r="BX1049" s="18"/>
      <c r="BY1049" s="18"/>
      <c r="BZ1049" s="18"/>
      <c r="CA1049" s="18"/>
      <c r="CB1049" s="18"/>
      <c r="CC1049" s="18"/>
      <c r="CD1049" s="18"/>
      <c r="CE1049" s="18"/>
      <c r="CF1049" s="18"/>
      <c r="CG1049" s="18"/>
      <c r="CH1049" s="18"/>
      <c r="CI1049" s="18"/>
      <c r="CJ1049" s="18"/>
      <c r="CK1049" s="18"/>
      <c r="CL1049" s="18"/>
      <c r="CM1049" s="18"/>
      <c r="CN1049" s="18"/>
      <c r="CO1049" s="18"/>
      <c r="CP1049" s="18"/>
      <c r="CQ1049" s="18"/>
      <c r="CR1049" s="18"/>
      <c r="CS1049" s="18"/>
      <c r="CT1049" s="18"/>
      <c r="CU1049" s="18"/>
    </row>
    <row r="1050" spans="1:99">
      <c r="A1050" s="19"/>
      <c r="B1050" s="19"/>
      <c r="C1050" s="19"/>
      <c r="D1050" s="19"/>
      <c r="E1050" s="19"/>
      <c r="F1050" s="19"/>
      <c r="G1050" s="19"/>
      <c r="H1050" s="19"/>
      <c r="I1050" s="19"/>
      <c r="J1050" s="19"/>
      <c r="K1050" s="18"/>
      <c r="L1050" s="18"/>
      <c r="M1050" s="18"/>
      <c r="N1050" s="18"/>
      <c r="O1050" s="18"/>
      <c r="P1050" s="18"/>
      <c r="Q1050" s="18"/>
      <c r="R1050" s="18"/>
      <c r="S1050" s="18"/>
      <c r="T1050" s="18"/>
      <c r="U1050" s="18"/>
      <c r="V1050" s="18"/>
      <c r="W1050" s="18"/>
      <c r="X1050" s="18"/>
      <c r="Y1050" s="18"/>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c r="BC1050" s="18"/>
      <c r="BD1050" s="18"/>
      <c r="BE1050" s="18"/>
      <c r="BF1050" s="18"/>
      <c r="BG1050" s="18"/>
      <c r="BH1050" s="18"/>
      <c r="BI1050" s="18"/>
      <c r="BJ1050" s="18"/>
      <c r="BK1050" s="18"/>
      <c r="BL1050" s="18"/>
      <c r="BM1050" s="18"/>
      <c r="BN1050" s="18"/>
      <c r="BO1050" s="18"/>
      <c r="BP1050" s="18"/>
      <c r="BQ1050" s="18"/>
      <c r="BR1050" s="18"/>
      <c r="BS1050" s="18"/>
      <c r="BT1050" s="18"/>
      <c r="BU1050" s="18"/>
      <c r="BV1050" s="18"/>
      <c r="BW1050" s="18"/>
      <c r="BX1050" s="18"/>
      <c r="BY1050" s="18"/>
      <c r="BZ1050" s="18"/>
      <c r="CA1050" s="18"/>
      <c r="CB1050" s="18"/>
      <c r="CC1050" s="18"/>
      <c r="CD1050" s="18"/>
      <c r="CE1050" s="18"/>
      <c r="CF1050" s="18"/>
      <c r="CG1050" s="18"/>
      <c r="CH1050" s="18"/>
      <c r="CI1050" s="18"/>
      <c r="CJ1050" s="18"/>
      <c r="CK1050" s="18"/>
      <c r="CL1050" s="18"/>
      <c r="CM1050" s="18"/>
      <c r="CN1050" s="18"/>
      <c r="CO1050" s="18"/>
      <c r="CP1050" s="18"/>
      <c r="CQ1050" s="18"/>
      <c r="CR1050" s="18"/>
      <c r="CS1050" s="18"/>
      <c r="CT1050" s="18"/>
      <c r="CU1050" s="18"/>
    </row>
    <row r="1051" spans="1:99">
      <c r="A1051" s="19"/>
      <c r="B1051" s="19"/>
      <c r="C1051" s="19"/>
      <c r="D1051" s="19"/>
      <c r="E1051" s="19"/>
      <c r="F1051" s="19"/>
      <c r="G1051" s="19"/>
      <c r="H1051" s="19"/>
      <c r="I1051" s="19"/>
      <c r="J1051" s="19"/>
      <c r="K1051" s="18"/>
      <c r="L1051" s="18"/>
      <c r="M1051" s="18"/>
      <c r="N1051" s="18"/>
      <c r="O1051" s="18"/>
      <c r="P1051" s="18"/>
      <c r="Q1051" s="18"/>
      <c r="R1051" s="18"/>
      <c r="S1051" s="18"/>
      <c r="T1051" s="18"/>
      <c r="U1051" s="18"/>
      <c r="V1051" s="18"/>
      <c r="W1051" s="18"/>
      <c r="X1051" s="18"/>
      <c r="Y1051" s="18"/>
      <c r="Z1051" s="18"/>
      <c r="AA1051" s="18"/>
      <c r="AB1051" s="18"/>
      <c r="AC1051" s="18"/>
      <c r="AD1051" s="18"/>
      <c r="AE1051" s="18"/>
      <c r="AF1051" s="18"/>
      <c r="AG1051" s="18"/>
      <c r="AH1051" s="18"/>
      <c r="AI1051" s="18"/>
      <c r="AJ1051" s="18"/>
      <c r="AK1051" s="18"/>
      <c r="AL1051" s="18"/>
      <c r="AM1051" s="18"/>
      <c r="AN1051" s="18"/>
      <c r="AO1051" s="18"/>
      <c r="AP1051" s="18"/>
      <c r="AQ1051" s="18"/>
      <c r="AR1051" s="18"/>
      <c r="AS1051" s="18"/>
      <c r="AT1051" s="18"/>
      <c r="AU1051" s="18"/>
      <c r="AV1051" s="18"/>
      <c r="AW1051" s="18"/>
      <c r="AX1051" s="18"/>
      <c r="AY1051" s="18"/>
      <c r="AZ1051" s="18"/>
      <c r="BA1051" s="18"/>
      <c r="BB1051" s="18"/>
      <c r="BC1051" s="18"/>
      <c r="BD1051" s="18"/>
      <c r="BE1051" s="18"/>
      <c r="BF1051" s="18"/>
      <c r="BG1051" s="18"/>
      <c r="BH1051" s="18"/>
      <c r="BI1051" s="18"/>
      <c r="BJ1051" s="18"/>
      <c r="BK1051" s="18"/>
      <c r="BL1051" s="18"/>
      <c r="BM1051" s="18"/>
      <c r="BN1051" s="18"/>
      <c r="BO1051" s="18"/>
      <c r="BP1051" s="18"/>
      <c r="BQ1051" s="18"/>
      <c r="BR1051" s="18"/>
      <c r="BS1051" s="18"/>
      <c r="BT1051" s="18"/>
      <c r="BU1051" s="18"/>
      <c r="BV1051" s="18"/>
      <c r="BW1051" s="18"/>
      <c r="BX1051" s="18"/>
      <c r="BY1051" s="18"/>
      <c r="BZ1051" s="18"/>
      <c r="CA1051" s="18"/>
      <c r="CB1051" s="18"/>
      <c r="CC1051" s="18"/>
      <c r="CD1051" s="18"/>
      <c r="CE1051" s="18"/>
      <c r="CF1051" s="18"/>
      <c r="CG1051" s="18"/>
      <c r="CH1051" s="18"/>
      <c r="CI1051" s="18"/>
      <c r="CJ1051" s="18"/>
      <c r="CK1051" s="18"/>
      <c r="CL1051" s="18"/>
      <c r="CM1051" s="18"/>
      <c r="CN1051" s="18"/>
      <c r="CO1051" s="18"/>
      <c r="CP1051" s="18"/>
      <c r="CQ1051" s="18"/>
      <c r="CR1051" s="18"/>
      <c r="CS1051" s="18"/>
      <c r="CT1051" s="18"/>
      <c r="CU1051" s="18"/>
    </row>
    <row r="1052" spans="1:99">
      <c r="A1052" s="19"/>
      <c r="B1052" s="19"/>
      <c r="C1052" s="19"/>
      <c r="D1052" s="19"/>
      <c r="E1052" s="19"/>
      <c r="F1052" s="19"/>
      <c r="G1052" s="19"/>
      <c r="H1052" s="19"/>
      <c r="I1052" s="19"/>
      <c r="J1052" s="19"/>
      <c r="K1052" s="18"/>
      <c r="L1052" s="18"/>
      <c r="M1052" s="18"/>
      <c r="N1052" s="18"/>
      <c r="O1052" s="18"/>
      <c r="P1052" s="18"/>
      <c r="Q1052" s="18"/>
      <c r="R1052" s="18"/>
      <c r="S1052" s="18"/>
      <c r="T1052" s="18"/>
      <c r="U1052" s="18"/>
      <c r="V1052" s="18"/>
      <c r="W1052" s="18"/>
      <c r="X1052" s="18"/>
      <c r="Y1052" s="18"/>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c r="BC1052" s="18"/>
      <c r="BD1052" s="18"/>
      <c r="BE1052" s="18"/>
      <c r="BF1052" s="18"/>
      <c r="BG1052" s="18"/>
      <c r="BH1052" s="18"/>
      <c r="BI1052" s="18"/>
      <c r="BJ1052" s="18"/>
      <c r="BK1052" s="18"/>
      <c r="BL1052" s="18"/>
      <c r="BM1052" s="18"/>
      <c r="BN1052" s="18"/>
      <c r="BO1052" s="18"/>
      <c r="BP1052" s="18"/>
      <c r="BQ1052" s="18"/>
      <c r="BR1052" s="18"/>
      <c r="BS1052" s="18"/>
      <c r="BT1052" s="18"/>
      <c r="BU1052" s="18"/>
      <c r="BV1052" s="18"/>
      <c r="BW1052" s="18"/>
      <c r="BX1052" s="18"/>
      <c r="BY1052" s="18"/>
      <c r="BZ1052" s="18"/>
      <c r="CA1052" s="18"/>
      <c r="CB1052" s="18"/>
      <c r="CC1052" s="18"/>
      <c r="CD1052" s="18"/>
      <c r="CE1052" s="18"/>
      <c r="CF1052" s="18"/>
      <c r="CG1052" s="18"/>
      <c r="CH1052" s="18"/>
      <c r="CI1052" s="18"/>
      <c r="CJ1052" s="18"/>
      <c r="CK1052" s="18"/>
      <c r="CL1052" s="18"/>
      <c r="CM1052" s="18"/>
      <c r="CN1052" s="18"/>
      <c r="CO1052" s="18"/>
      <c r="CP1052" s="18"/>
      <c r="CQ1052" s="18"/>
      <c r="CR1052" s="18"/>
      <c r="CS1052" s="18"/>
      <c r="CT1052" s="18"/>
      <c r="CU1052" s="18"/>
    </row>
    <row r="1053" spans="1:99">
      <c r="A1053" s="19"/>
      <c r="B1053" s="19"/>
      <c r="C1053" s="19"/>
      <c r="D1053" s="19"/>
      <c r="E1053" s="19"/>
      <c r="F1053" s="19"/>
      <c r="G1053" s="19"/>
      <c r="H1053" s="19"/>
      <c r="I1053" s="19"/>
      <c r="J1053" s="19"/>
      <c r="K1053" s="18"/>
      <c r="L1053" s="18"/>
      <c r="M1053" s="18"/>
      <c r="N1053" s="18"/>
      <c r="O1053" s="18"/>
      <c r="P1053" s="18"/>
      <c r="Q1053" s="18"/>
      <c r="R1053" s="18"/>
      <c r="S1053" s="18"/>
      <c r="T1053" s="18"/>
      <c r="U1053" s="18"/>
      <c r="V1053" s="18"/>
      <c r="W1053" s="18"/>
      <c r="X1053" s="18"/>
      <c r="Y1053" s="18"/>
      <c r="Z1053" s="18"/>
      <c r="AA1053" s="18"/>
      <c r="AB1053" s="18"/>
      <c r="AC1053" s="18"/>
      <c r="AD1053" s="18"/>
      <c r="AE1053" s="18"/>
      <c r="AF1053" s="18"/>
      <c r="AG1053" s="18"/>
      <c r="AH1053" s="18"/>
      <c r="AI1053" s="18"/>
      <c r="AJ1053" s="18"/>
      <c r="AK1053" s="18"/>
      <c r="AL1053" s="18"/>
      <c r="AM1053" s="18"/>
      <c r="AN1053" s="18"/>
      <c r="AO1053" s="18"/>
      <c r="AP1053" s="18"/>
      <c r="AQ1053" s="18"/>
      <c r="AR1053" s="18"/>
      <c r="AS1053" s="18"/>
      <c r="AT1053" s="18"/>
      <c r="AU1053" s="18"/>
      <c r="AV1053" s="18"/>
      <c r="AW1053" s="18"/>
      <c r="AX1053" s="18"/>
      <c r="AY1053" s="18"/>
      <c r="AZ1053" s="18"/>
      <c r="BA1053" s="18"/>
      <c r="BB1053" s="18"/>
      <c r="BC1053" s="18"/>
      <c r="BD1053" s="18"/>
      <c r="BE1053" s="18"/>
      <c r="BF1053" s="18"/>
      <c r="BG1053" s="18"/>
      <c r="BH1053" s="18"/>
      <c r="BI1053" s="18"/>
      <c r="BJ1053" s="18"/>
      <c r="BK1053" s="18"/>
      <c r="BL1053" s="18"/>
      <c r="BM1053" s="18"/>
      <c r="BN1053" s="18"/>
      <c r="BO1053" s="18"/>
      <c r="BP1053" s="18"/>
      <c r="BQ1053" s="18"/>
      <c r="BR1053" s="18"/>
      <c r="BS1053" s="18"/>
      <c r="BT1053" s="18"/>
      <c r="BU1053" s="18"/>
      <c r="BV1053" s="18"/>
      <c r="BW1053" s="18"/>
      <c r="BX1053" s="18"/>
      <c r="BY1053" s="18"/>
      <c r="BZ1053" s="18"/>
      <c r="CA1053" s="18"/>
      <c r="CB1053" s="18"/>
      <c r="CC1053" s="18"/>
      <c r="CD1053" s="18"/>
      <c r="CE1053" s="18"/>
      <c r="CF1053" s="18"/>
      <c r="CG1053" s="18"/>
      <c r="CH1053" s="18"/>
      <c r="CI1053" s="18"/>
      <c r="CJ1053" s="18"/>
      <c r="CK1053" s="18"/>
      <c r="CL1053" s="18"/>
      <c r="CM1053" s="18"/>
      <c r="CN1053" s="18"/>
      <c r="CO1053" s="18"/>
      <c r="CP1053" s="18"/>
      <c r="CQ1053" s="18"/>
      <c r="CR1053" s="18"/>
      <c r="CS1053" s="18"/>
      <c r="CT1053" s="18"/>
      <c r="CU1053" s="18"/>
    </row>
    <row r="1054" spans="1:99">
      <c r="A1054" s="19"/>
      <c r="B1054" s="19"/>
      <c r="C1054" s="19"/>
      <c r="D1054" s="19"/>
      <c r="E1054" s="19"/>
      <c r="F1054" s="19"/>
      <c r="G1054" s="19"/>
      <c r="H1054" s="19"/>
      <c r="I1054" s="19"/>
      <c r="J1054" s="19"/>
      <c r="K1054" s="18"/>
      <c r="L1054" s="18"/>
      <c r="M1054" s="18"/>
      <c r="N1054" s="18"/>
      <c r="O1054" s="18"/>
      <c r="P1054" s="18"/>
      <c r="Q1054" s="18"/>
      <c r="R1054" s="18"/>
      <c r="S1054" s="18"/>
      <c r="T1054" s="18"/>
      <c r="U1054" s="18"/>
      <c r="V1054" s="18"/>
      <c r="W1054" s="18"/>
      <c r="X1054" s="18"/>
      <c r="Y1054" s="18"/>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c r="BC1054" s="18"/>
      <c r="BD1054" s="18"/>
      <c r="BE1054" s="18"/>
      <c r="BF1054" s="18"/>
      <c r="BG1054" s="18"/>
      <c r="BH1054" s="18"/>
      <c r="BI1054" s="18"/>
      <c r="BJ1054" s="18"/>
      <c r="BK1054" s="18"/>
      <c r="BL1054" s="18"/>
      <c r="BM1054" s="18"/>
      <c r="BN1054" s="18"/>
      <c r="BO1054" s="18"/>
      <c r="BP1054" s="18"/>
      <c r="BQ1054" s="18"/>
      <c r="BR1054" s="18"/>
      <c r="BS1054" s="18"/>
      <c r="BT1054" s="18"/>
      <c r="BU1054" s="18"/>
      <c r="BV1054" s="18"/>
      <c r="BW1054" s="18"/>
      <c r="BX1054" s="18"/>
      <c r="BY1054" s="18"/>
      <c r="BZ1054" s="18"/>
      <c r="CA1054" s="18"/>
      <c r="CB1054" s="18"/>
      <c r="CC1054" s="18"/>
      <c r="CD1054" s="18"/>
      <c r="CE1054" s="18"/>
      <c r="CF1054" s="18"/>
      <c r="CG1054" s="18"/>
      <c r="CH1054" s="18"/>
      <c r="CI1054" s="18"/>
      <c r="CJ1054" s="18"/>
      <c r="CK1054" s="18"/>
      <c r="CL1054" s="18"/>
      <c r="CM1054" s="18"/>
      <c r="CN1054" s="18"/>
      <c r="CO1054" s="18"/>
      <c r="CP1054" s="18"/>
      <c r="CQ1054" s="18"/>
      <c r="CR1054" s="18"/>
      <c r="CS1054" s="18"/>
      <c r="CT1054" s="18"/>
      <c r="CU1054" s="18"/>
    </row>
    <row r="1055" spans="1:99">
      <c r="A1055" s="19"/>
      <c r="B1055" s="19"/>
      <c r="C1055" s="19"/>
      <c r="D1055" s="19"/>
      <c r="E1055" s="19"/>
      <c r="F1055" s="19"/>
      <c r="G1055" s="19"/>
      <c r="H1055" s="19"/>
      <c r="I1055" s="19"/>
      <c r="J1055" s="19"/>
      <c r="K1055" s="18"/>
      <c r="L1055" s="18"/>
      <c r="M1055" s="18"/>
      <c r="N1055" s="18"/>
      <c r="O1055" s="18"/>
      <c r="P1055" s="18"/>
      <c r="Q1055" s="18"/>
      <c r="R1055" s="18"/>
      <c r="S1055" s="18"/>
      <c r="T1055" s="18"/>
      <c r="U1055" s="18"/>
      <c r="V1055" s="18"/>
      <c r="W1055" s="18"/>
      <c r="X1055" s="18"/>
      <c r="Y1055" s="18"/>
      <c r="Z1055" s="18"/>
      <c r="AA1055" s="18"/>
      <c r="AB1055" s="18"/>
      <c r="AC1055" s="18"/>
      <c r="AD1055" s="18"/>
      <c r="AE1055" s="18"/>
      <c r="AF1055" s="18"/>
      <c r="AG1055" s="18"/>
      <c r="AH1055" s="18"/>
      <c r="AI1055" s="18"/>
      <c r="AJ1055" s="18"/>
      <c r="AK1055" s="18"/>
      <c r="AL1055" s="18"/>
      <c r="AM1055" s="18"/>
      <c r="AN1055" s="18"/>
      <c r="AO1055" s="18"/>
      <c r="AP1055" s="18"/>
      <c r="AQ1055" s="18"/>
      <c r="AR1055" s="18"/>
      <c r="AS1055" s="18"/>
      <c r="AT1055" s="18"/>
      <c r="AU1055" s="18"/>
      <c r="AV1055" s="18"/>
      <c r="AW1055" s="18"/>
      <c r="AX1055" s="18"/>
      <c r="AY1055" s="18"/>
      <c r="AZ1055" s="18"/>
      <c r="BA1055" s="18"/>
      <c r="BB1055" s="18"/>
      <c r="BC1055" s="18"/>
      <c r="BD1055" s="18"/>
      <c r="BE1055" s="18"/>
      <c r="BF1055" s="18"/>
      <c r="BG1055" s="18"/>
      <c r="BH1055" s="18"/>
      <c r="BI1055" s="18"/>
      <c r="BJ1055" s="18"/>
      <c r="BK1055" s="18"/>
      <c r="BL1055" s="18"/>
      <c r="BM1055" s="18"/>
      <c r="BN1055" s="18"/>
      <c r="BO1055" s="18"/>
      <c r="BP1055" s="18"/>
      <c r="BQ1055" s="18"/>
      <c r="BR1055" s="18"/>
      <c r="BS1055" s="18"/>
      <c r="BT1055" s="18"/>
      <c r="BU1055" s="18"/>
      <c r="BV1055" s="18"/>
      <c r="BW1055" s="18"/>
      <c r="BX1055" s="18"/>
      <c r="BY1055" s="18"/>
      <c r="BZ1055" s="18"/>
      <c r="CA1055" s="18"/>
      <c r="CB1055" s="18"/>
      <c r="CC1055" s="18"/>
      <c r="CD1055" s="18"/>
      <c r="CE1055" s="18"/>
      <c r="CF1055" s="18"/>
      <c r="CG1055" s="18"/>
      <c r="CH1055" s="18"/>
      <c r="CI1055" s="18"/>
      <c r="CJ1055" s="18"/>
      <c r="CK1055" s="18"/>
      <c r="CL1055" s="18"/>
      <c r="CM1055" s="18"/>
      <c r="CN1055" s="18"/>
      <c r="CO1055" s="18"/>
      <c r="CP1055" s="18"/>
      <c r="CQ1055" s="18"/>
      <c r="CR1055" s="18"/>
      <c r="CS1055" s="18"/>
      <c r="CT1055" s="18"/>
      <c r="CU1055" s="18"/>
    </row>
    <row r="1056" spans="1:99">
      <c r="A1056" s="19"/>
      <c r="B1056" s="19"/>
      <c r="C1056" s="19"/>
      <c r="D1056" s="19"/>
      <c r="E1056" s="19"/>
      <c r="F1056" s="19"/>
      <c r="G1056" s="19"/>
      <c r="H1056" s="19"/>
      <c r="I1056" s="19"/>
      <c r="J1056" s="19"/>
      <c r="K1056" s="18"/>
      <c r="L1056" s="18"/>
      <c r="M1056" s="18"/>
      <c r="N1056" s="18"/>
      <c r="O1056" s="18"/>
      <c r="P1056" s="18"/>
      <c r="Q1056" s="18"/>
      <c r="R1056" s="18"/>
      <c r="S1056" s="18"/>
      <c r="T1056" s="18"/>
      <c r="U1056" s="18"/>
      <c r="V1056" s="18"/>
      <c r="W1056" s="18"/>
      <c r="X1056" s="18"/>
      <c r="Y1056" s="18"/>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c r="BC1056" s="18"/>
      <c r="BD1056" s="18"/>
      <c r="BE1056" s="18"/>
      <c r="BF1056" s="18"/>
      <c r="BG1056" s="18"/>
      <c r="BH1056" s="18"/>
      <c r="BI1056" s="18"/>
      <c r="BJ1056" s="18"/>
      <c r="BK1056" s="18"/>
      <c r="BL1056" s="18"/>
      <c r="BM1056" s="18"/>
      <c r="BN1056" s="18"/>
      <c r="BO1056" s="18"/>
      <c r="BP1056" s="18"/>
      <c r="BQ1056" s="18"/>
      <c r="BR1056" s="18"/>
      <c r="BS1056" s="18"/>
      <c r="BT1056" s="18"/>
      <c r="BU1056" s="18"/>
      <c r="BV1056" s="18"/>
      <c r="BW1056" s="18"/>
      <c r="BX1056" s="18"/>
      <c r="BY1056" s="18"/>
      <c r="BZ1056" s="18"/>
      <c r="CA1056" s="18"/>
      <c r="CB1056" s="18"/>
      <c r="CC1056" s="18"/>
      <c r="CD1056" s="18"/>
      <c r="CE1056" s="18"/>
      <c r="CF1056" s="18"/>
      <c r="CG1056" s="18"/>
      <c r="CH1056" s="18"/>
      <c r="CI1056" s="18"/>
      <c r="CJ1056" s="18"/>
      <c r="CK1056" s="18"/>
      <c r="CL1056" s="18"/>
      <c r="CM1056" s="18"/>
      <c r="CN1056" s="18"/>
      <c r="CO1056" s="18"/>
      <c r="CP1056" s="18"/>
      <c r="CQ1056" s="18"/>
      <c r="CR1056" s="18"/>
      <c r="CS1056" s="18"/>
      <c r="CT1056" s="18"/>
      <c r="CU1056" s="18"/>
    </row>
    <row r="1057" spans="1:99">
      <c r="A1057" s="19"/>
      <c r="B1057" s="19"/>
      <c r="C1057" s="19"/>
      <c r="D1057" s="19"/>
      <c r="E1057" s="19"/>
      <c r="F1057" s="19"/>
      <c r="G1057" s="19"/>
      <c r="H1057" s="19"/>
      <c r="I1057" s="19"/>
      <c r="J1057" s="19"/>
      <c r="K1057" s="18"/>
      <c r="L1057" s="18"/>
      <c r="M1057" s="18"/>
      <c r="N1057" s="18"/>
      <c r="O1057" s="18"/>
      <c r="P1057" s="18"/>
      <c r="Q1057" s="18"/>
      <c r="R1057" s="18"/>
      <c r="S1057" s="18"/>
      <c r="T1057" s="18"/>
      <c r="U1057" s="18"/>
      <c r="V1057" s="18"/>
      <c r="W1057" s="18"/>
      <c r="X1057" s="18"/>
      <c r="Y1057" s="18"/>
      <c r="Z1057" s="18"/>
      <c r="AA1057" s="18"/>
      <c r="AB1057" s="18"/>
      <c r="AC1057" s="18"/>
      <c r="AD1057" s="18"/>
      <c r="AE1057" s="18"/>
      <c r="AF1057" s="18"/>
      <c r="AG1057" s="18"/>
      <c r="AH1057" s="18"/>
      <c r="AI1057" s="18"/>
      <c r="AJ1057" s="18"/>
      <c r="AK1057" s="18"/>
      <c r="AL1057" s="18"/>
      <c r="AM1057" s="18"/>
      <c r="AN1057" s="18"/>
      <c r="AO1057" s="18"/>
      <c r="AP1057" s="18"/>
      <c r="AQ1057" s="18"/>
      <c r="AR1057" s="18"/>
      <c r="AS1057" s="18"/>
      <c r="AT1057" s="18"/>
      <c r="AU1057" s="18"/>
      <c r="AV1057" s="18"/>
      <c r="AW1057" s="18"/>
      <c r="AX1057" s="18"/>
      <c r="AY1057" s="18"/>
      <c r="AZ1057" s="18"/>
      <c r="BA1057" s="18"/>
      <c r="BB1057" s="18"/>
      <c r="BC1057" s="18"/>
      <c r="BD1057" s="18"/>
      <c r="BE1057" s="18"/>
      <c r="BF1057" s="18"/>
      <c r="BG1057" s="18"/>
      <c r="BH1057" s="18"/>
      <c r="BI1057" s="18"/>
      <c r="BJ1057" s="18"/>
      <c r="BK1057" s="18"/>
      <c r="BL1057" s="18"/>
      <c r="BM1057" s="18"/>
      <c r="BN1057" s="18"/>
      <c r="BO1057" s="18"/>
      <c r="BP1057" s="18"/>
      <c r="BQ1057" s="18"/>
      <c r="BR1057" s="18"/>
      <c r="BS1057" s="18"/>
      <c r="BT1057" s="18"/>
      <c r="BU1057" s="18"/>
      <c r="BV1057" s="18"/>
      <c r="BW1057" s="18"/>
      <c r="BX1057" s="18"/>
      <c r="BY1057" s="18"/>
      <c r="BZ1057" s="18"/>
      <c r="CA1057" s="18"/>
      <c r="CB1057" s="18"/>
      <c r="CC1057" s="18"/>
      <c r="CD1057" s="18"/>
      <c r="CE1057" s="18"/>
      <c r="CF1057" s="18"/>
      <c r="CG1057" s="18"/>
      <c r="CH1057" s="18"/>
      <c r="CI1057" s="18"/>
      <c r="CJ1057" s="18"/>
      <c r="CK1057" s="18"/>
      <c r="CL1057" s="18"/>
      <c r="CM1057" s="18"/>
      <c r="CN1057" s="18"/>
      <c r="CO1057" s="18"/>
      <c r="CP1057" s="18"/>
      <c r="CQ1057" s="18"/>
      <c r="CR1057" s="18"/>
      <c r="CS1057" s="18"/>
      <c r="CT1057" s="18"/>
      <c r="CU1057" s="18"/>
    </row>
    <row r="1058" spans="1:99">
      <c r="A1058" s="19"/>
      <c r="B1058" s="19"/>
      <c r="C1058" s="19"/>
      <c r="D1058" s="19"/>
      <c r="E1058" s="19"/>
      <c r="F1058" s="19"/>
      <c r="G1058" s="19"/>
      <c r="H1058" s="19"/>
      <c r="I1058" s="19"/>
      <c r="J1058" s="19"/>
      <c r="K1058" s="18"/>
      <c r="L1058" s="18"/>
      <c r="M1058" s="18"/>
      <c r="N1058" s="18"/>
      <c r="O1058" s="18"/>
      <c r="P1058" s="18"/>
      <c r="Q1058" s="18"/>
      <c r="R1058" s="18"/>
      <c r="S1058" s="18"/>
      <c r="T1058" s="18"/>
      <c r="U1058" s="18"/>
      <c r="V1058" s="18"/>
      <c r="W1058" s="18"/>
      <c r="X1058" s="18"/>
      <c r="Y1058" s="18"/>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c r="BC1058" s="18"/>
      <c r="BD1058" s="18"/>
      <c r="BE1058" s="18"/>
      <c r="BF1058" s="18"/>
      <c r="BG1058" s="18"/>
      <c r="BH1058" s="18"/>
      <c r="BI1058" s="18"/>
      <c r="BJ1058" s="18"/>
      <c r="BK1058" s="18"/>
      <c r="BL1058" s="18"/>
      <c r="BM1058" s="18"/>
      <c r="BN1058" s="18"/>
      <c r="BO1058" s="18"/>
      <c r="BP1058" s="18"/>
      <c r="BQ1058" s="18"/>
      <c r="BR1058" s="18"/>
      <c r="BS1058" s="18"/>
      <c r="BT1058" s="18"/>
      <c r="BU1058" s="18"/>
      <c r="BV1058" s="18"/>
      <c r="BW1058" s="18"/>
      <c r="BX1058" s="18"/>
      <c r="BY1058" s="18"/>
      <c r="BZ1058" s="18"/>
      <c r="CA1058" s="18"/>
      <c r="CB1058" s="18"/>
      <c r="CC1058" s="18"/>
      <c r="CD1058" s="18"/>
      <c r="CE1058" s="18"/>
      <c r="CF1058" s="18"/>
      <c r="CG1058" s="18"/>
      <c r="CH1058" s="18"/>
      <c r="CI1058" s="18"/>
      <c r="CJ1058" s="18"/>
      <c r="CK1058" s="18"/>
      <c r="CL1058" s="18"/>
      <c r="CM1058" s="18"/>
      <c r="CN1058" s="18"/>
      <c r="CO1058" s="18"/>
      <c r="CP1058" s="18"/>
      <c r="CQ1058" s="18"/>
      <c r="CR1058" s="18"/>
      <c r="CS1058" s="18"/>
      <c r="CT1058" s="18"/>
      <c r="CU1058" s="18"/>
    </row>
    <row r="1059" spans="1:99">
      <c r="A1059" s="19"/>
      <c r="B1059" s="19"/>
      <c r="C1059" s="19"/>
      <c r="D1059" s="19"/>
      <c r="E1059" s="19"/>
      <c r="F1059" s="19"/>
      <c r="G1059" s="19"/>
      <c r="H1059" s="19"/>
      <c r="I1059" s="19"/>
      <c r="J1059" s="19"/>
      <c r="K1059" s="18"/>
      <c r="L1059" s="18"/>
      <c r="M1059" s="18"/>
      <c r="N1059" s="18"/>
      <c r="O1059" s="18"/>
      <c r="P1059" s="18"/>
      <c r="Q1059" s="18"/>
      <c r="R1059" s="18"/>
      <c r="S1059" s="18"/>
      <c r="T1059" s="18"/>
      <c r="U1059" s="18"/>
      <c r="V1059" s="18"/>
      <c r="W1059" s="18"/>
      <c r="X1059" s="18"/>
      <c r="Y1059" s="18"/>
      <c r="Z1059" s="18"/>
      <c r="AA1059" s="18"/>
      <c r="AB1059" s="18"/>
      <c r="AC1059" s="18"/>
      <c r="AD1059" s="18"/>
      <c r="AE1059" s="18"/>
      <c r="AF1059" s="18"/>
      <c r="AG1059" s="18"/>
      <c r="AH1059" s="18"/>
      <c r="AI1059" s="18"/>
      <c r="AJ1059" s="18"/>
      <c r="AK1059" s="18"/>
      <c r="AL1059" s="18"/>
      <c r="AM1059" s="18"/>
      <c r="AN1059" s="18"/>
      <c r="AO1059" s="18"/>
      <c r="AP1059" s="18"/>
      <c r="AQ1059" s="18"/>
      <c r="AR1059" s="18"/>
      <c r="AS1059" s="18"/>
      <c r="AT1059" s="18"/>
      <c r="AU1059" s="18"/>
      <c r="AV1059" s="18"/>
      <c r="AW1059" s="18"/>
      <c r="AX1059" s="18"/>
      <c r="AY1059" s="18"/>
      <c r="AZ1059" s="18"/>
      <c r="BA1059" s="18"/>
      <c r="BB1059" s="18"/>
      <c r="BC1059" s="18"/>
      <c r="BD1059" s="18"/>
      <c r="BE1059" s="18"/>
      <c r="BF1059" s="18"/>
      <c r="BG1059" s="18"/>
      <c r="BH1059" s="18"/>
      <c r="BI1059" s="18"/>
      <c r="BJ1059" s="18"/>
      <c r="BK1059" s="18"/>
      <c r="BL1059" s="18"/>
      <c r="BM1059" s="18"/>
      <c r="BN1059" s="18"/>
      <c r="BO1059" s="18"/>
      <c r="BP1059" s="18"/>
      <c r="BQ1059" s="18"/>
      <c r="BR1059" s="18"/>
      <c r="BS1059" s="18"/>
      <c r="BT1059" s="18"/>
      <c r="BU1059" s="18"/>
      <c r="BV1059" s="18"/>
      <c r="BW1059" s="18"/>
      <c r="BX1059" s="18"/>
      <c r="BY1059" s="18"/>
      <c r="BZ1059" s="18"/>
      <c r="CA1059" s="18"/>
      <c r="CB1059" s="18"/>
      <c r="CC1059" s="18"/>
      <c r="CD1059" s="18"/>
      <c r="CE1059" s="18"/>
      <c r="CF1059" s="18"/>
      <c r="CG1059" s="18"/>
      <c r="CH1059" s="18"/>
      <c r="CI1059" s="18"/>
      <c r="CJ1059" s="18"/>
      <c r="CK1059" s="18"/>
      <c r="CL1059" s="18"/>
      <c r="CM1059" s="18"/>
      <c r="CN1059" s="18"/>
      <c r="CO1059" s="18"/>
      <c r="CP1059" s="18"/>
      <c r="CQ1059" s="18"/>
      <c r="CR1059" s="18"/>
      <c r="CS1059" s="18"/>
      <c r="CT1059" s="18"/>
      <c r="CU1059" s="18"/>
    </row>
    <row r="1060" spans="1:99">
      <c r="A1060" s="19"/>
      <c r="B1060" s="19"/>
      <c r="C1060" s="19"/>
      <c r="D1060" s="19"/>
      <c r="E1060" s="19"/>
      <c r="F1060" s="19"/>
      <c r="G1060" s="19"/>
      <c r="H1060" s="19"/>
      <c r="I1060" s="19"/>
      <c r="J1060" s="19"/>
      <c r="K1060" s="18"/>
      <c r="L1060" s="18"/>
      <c r="M1060" s="18"/>
      <c r="N1060" s="18"/>
      <c r="O1060" s="18"/>
      <c r="P1060" s="18"/>
      <c r="Q1060" s="18"/>
      <c r="R1060" s="18"/>
      <c r="S1060" s="18"/>
      <c r="T1060" s="18"/>
      <c r="U1060" s="18"/>
      <c r="V1060" s="18"/>
      <c r="W1060" s="18"/>
      <c r="X1060" s="18"/>
      <c r="Y1060" s="18"/>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c r="BC1060" s="18"/>
      <c r="BD1060" s="18"/>
      <c r="BE1060" s="18"/>
      <c r="BF1060" s="18"/>
      <c r="BG1060" s="18"/>
      <c r="BH1060" s="18"/>
      <c r="BI1060" s="18"/>
      <c r="BJ1060" s="18"/>
      <c r="BK1060" s="18"/>
      <c r="BL1060" s="18"/>
      <c r="BM1060" s="18"/>
      <c r="BN1060" s="18"/>
      <c r="BO1060" s="18"/>
      <c r="BP1060" s="18"/>
      <c r="BQ1060" s="18"/>
      <c r="BR1060" s="18"/>
      <c r="BS1060" s="18"/>
      <c r="BT1060" s="18"/>
      <c r="BU1060" s="18"/>
      <c r="BV1060" s="18"/>
      <c r="BW1060" s="18"/>
      <c r="BX1060" s="18"/>
      <c r="BY1060" s="18"/>
      <c r="BZ1060" s="18"/>
      <c r="CA1060" s="18"/>
      <c r="CB1060" s="18"/>
      <c r="CC1060" s="18"/>
      <c r="CD1060" s="18"/>
      <c r="CE1060" s="18"/>
      <c r="CF1060" s="18"/>
      <c r="CG1060" s="18"/>
      <c r="CH1060" s="18"/>
      <c r="CI1060" s="18"/>
      <c r="CJ1060" s="18"/>
      <c r="CK1060" s="18"/>
      <c r="CL1060" s="18"/>
      <c r="CM1060" s="18"/>
      <c r="CN1060" s="18"/>
      <c r="CO1060" s="18"/>
      <c r="CP1060" s="18"/>
      <c r="CQ1060" s="18"/>
      <c r="CR1060" s="18"/>
      <c r="CS1060" s="18"/>
      <c r="CT1060" s="18"/>
      <c r="CU1060" s="18"/>
    </row>
    <row r="1061" spans="1:99">
      <c r="A1061" s="19"/>
      <c r="B1061" s="19"/>
      <c r="C1061" s="19"/>
      <c r="D1061" s="19"/>
      <c r="E1061" s="19"/>
      <c r="F1061" s="19"/>
      <c r="G1061" s="19"/>
      <c r="H1061" s="19"/>
      <c r="I1061" s="19"/>
      <c r="J1061" s="19"/>
      <c r="K1061" s="18"/>
      <c r="L1061" s="18"/>
      <c r="M1061" s="18"/>
      <c r="N1061" s="18"/>
      <c r="O1061" s="18"/>
      <c r="P1061" s="18"/>
      <c r="Q1061" s="18"/>
      <c r="R1061" s="18"/>
      <c r="S1061" s="18"/>
      <c r="T1061" s="18"/>
      <c r="U1061" s="18"/>
      <c r="V1061" s="18"/>
      <c r="W1061" s="18"/>
      <c r="X1061" s="18"/>
      <c r="Y1061" s="18"/>
      <c r="Z1061" s="18"/>
      <c r="AA1061" s="18"/>
      <c r="AB1061" s="18"/>
      <c r="AC1061" s="18"/>
      <c r="AD1061" s="18"/>
      <c r="AE1061" s="18"/>
      <c r="AF1061" s="18"/>
      <c r="AG1061" s="18"/>
      <c r="AH1061" s="18"/>
      <c r="AI1061" s="18"/>
      <c r="AJ1061" s="18"/>
      <c r="AK1061" s="18"/>
      <c r="AL1061" s="18"/>
      <c r="AM1061" s="18"/>
      <c r="AN1061" s="18"/>
      <c r="AO1061" s="18"/>
      <c r="AP1061" s="18"/>
      <c r="AQ1061" s="18"/>
      <c r="AR1061" s="18"/>
      <c r="AS1061" s="18"/>
      <c r="AT1061" s="18"/>
      <c r="AU1061" s="18"/>
      <c r="AV1061" s="18"/>
      <c r="AW1061" s="18"/>
      <c r="AX1061" s="18"/>
      <c r="AY1061" s="18"/>
      <c r="AZ1061" s="18"/>
      <c r="BA1061" s="18"/>
      <c r="BB1061" s="18"/>
      <c r="BC1061" s="18"/>
      <c r="BD1061" s="18"/>
      <c r="BE1061" s="18"/>
      <c r="BF1061" s="18"/>
      <c r="BG1061" s="18"/>
      <c r="BH1061" s="18"/>
      <c r="BI1061" s="18"/>
      <c r="BJ1061" s="18"/>
      <c r="BK1061" s="18"/>
      <c r="BL1061" s="18"/>
      <c r="BM1061" s="18"/>
      <c r="BN1061" s="18"/>
      <c r="BO1061" s="18"/>
      <c r="BP1061" s="18"/>
      <c r="BQ1061" s="18"/>
      <c r="BR1061" s="18"/>
      <c r="BS1061" s="18"/>
      <c r="BT1061" s="18"/>
      <c r="BU1061" s="18"/>
      <c r="BV1061" s="18"/>
      <c r="BW1061" s="18"/>
      <c r="BX1061" s="18"/>
      <c r="BY1061" s="18"/>
      <c r="BZ1061" s="18"/>
      <c r="CA1061" s="18"/>
      <c r="CB1061" s="18"/>
      <c r="CC1061" s="18"/>
      <c r="CD1061" s="18"/>
      <c r="CE1061" s="18"/>
      <c r="CF1061" s="18"/>
      <c r="CG1061" s="18"/>
      <c r="CH1061" s="18"/>
      <c r="CI1061" s="18"/>
      <c r="CJ1061" s="18"/>
      <c r="CK1061" s="18"/>
      <c r="CL1061" s="18"/>
      <c r="CM1061" s="18"/>
      <c r="CN1061" s="18"/>
      <c r="CO1061" s="18"/>
      <c r="CP1061" s="18"/>
      <c r="CQ1061" s="18"/>
      <c r="CR1061" s="18"/>
      <c r="CS1061" s="18"/>
      <c r="CT1061" s="18"/>
      <c r="CU1061" s="18"/>
    </row>
    <row r="1062" spans="1:99">
      <c r="A1062" s="19"/>
      <c r="B1062" s="19"/>
      <c r="C1062" s="19"/>
      <c r="D1062" s="19"/>
      <c r="E1062" s="19"/>
      <c r="F1062" s="19"/>
      <c r="G1062" s="19"/>
      <c r="H1062" s="19"/>
      <c r="I1062" s="19"/>
      <c r="J1062" s="19"/>
      <c r="K1062" s="18"/>
      <c r="L1062" s="18"/>
      <c r="M1062" s="18"/>
      <c r="N1062" s="18"/>
      <c r="O1062" s="18"/>
      <c r="P1062" s="18"/>
      <c r="Q1062" s="18"/>
      <c r="R1062" s="18"/>
      <c r="S1062" s="18"/>
      <c r="T1062" s="18"/>
      <c r="U1062" s="18"/>
      <c r="V1062" s="18"/>
      <c r="W1062" s="18"/>
      <c r="X1062" s="18"/>
      <c r="Y1062" s="18"/>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c r="BC1062" s="18"/>
      <c r="BD1062" s="18"/>
      <c r="BE1062" s="18"/>
      <c r="BF1062" s="18"/>
      <c r="BG1062" s="18"/>
      <c r="BH1062" s="18"/>
      <c r="BI1062" s="18"/>
      <c r="BJ1062" s="18"/>
      <c r="BK1062" s="18"/>
      <c r="BL1062" s="18"/>
      <c r="BM1062" s="18"/>
      <c r="BN1062" s="18"/>
      <c r="BO1062" s="18"/>
      <c r="BP1062" s="18"/>
      <c r="BQ1062" s="18"/>
      <c r="BR1062" s="18"/>
      <c r="BS1062" s="18"/>
      <c r="BT1062" s="18"/>
      <c r="BU1062" s="18"/>
      <c r="BV1062" s="18"/>
      <c r="BW1062" s="18"/>
      <c r="BX1062" s="18"/>
      <c r="BY1062" s="18"/>
      <c r="BZ1062" s="18"/>
      <c r="CA1062" s="18"/>
      <c r="CB1062" s="18"/>
      <c r="CC1062" s="18"/>
      <c r="CD1062" s="18"/>
      <c r="CE1062" s="18"/>
      <c r="CF1062" s="18"/>
      <c r="CG1062" s="18"/>
      <c r="CH1062" s="18"/>
      <c r="CI1062" s="18"/>
      <c r="CJ1062" s="18"/>
      <c r="CK1062" s="18"/>
      <c r="CL1062" s="18"/>
      <c r="CM1062" s="18"/>
      <c r="CN1062" s="18"/>
      <c r="CO1062" s="18"/>
      <c r="CP1062" s="18"/>
      <c r="CQ1062" s="18"/>
      <c r="CR1062" s="18"/>
      <c r="CS1062" s="18"/>
      <c r="CT1062" s="18"/>
      <c r="CU1062" s="18"/>
    </row>
    <row r="1063" spans="1:99">
      <c r="A1063" s="19"/>
      <c r="B1063" s="19"/>
      <c r="C1063" s="19"/>
      <c r="D1063" s="19"/>
      <c r="E1063" s="19"/>
      <c r="F1063" s="19"/>
      <c r="G1063" s="19"/>
      <c r="H1063" s="19"/>
      <c r="I1063" s="19"/>
      <c r="J1063" s="19"/>
      <c r="K1063" s="18"/>
      <c r="L1063" s="18"/>
      <c r="M1063" s="18"/>
      <c r="N1063" s="18"/>
      <c r="O1063" s="18"/>
      <c r="P1063" s="18"/>
      <c r="Q1063" s="18"/>
      <c r="R1063" s="18"/>
      <c r="S1063" s="18"/>
      <c r="T1063" s="18"/>
      <c r="U1063" s="18"/>
      <c r="V1063" s="18"/>
      <c r="W1063" s="18"/>
      <c r="X1063" s="18"/>
      <c r="Y1063" s="18"/>
      <c r="Z1063" s="18"/>
      <c r="AA1063" s="18"/>
      <c r="AB1063" s="18"/>
      <c r="AC1063" s="18"/>
      <c r="AD1063" s="18"/>
      <c r="AE1063" s="18"/>
      <c r="AF1063" s="18"/>
      <c r="AG1063" s="18"/>
      <c r="AH1063" s="18"/>
      <c r="AI1063" s="18"/>
      <c r="AJ1063" s="18"/>
      <c r="AK1063" s="18"/>
      <c r="AL1063" s="18"/>
      <c r="AM1063" s="18"/>
      <c r="AN1063" s="18"/>
      <c r="AO1063" s="18"/>
      <c r="AP1063" s="18"/>
      <c r="AQ1063" s="18"/>
      <c r="AR1063" s="18"/>
      <c r="AS1063" s="18"/>
      <c r="AT1063" s="18"/>
      <c r="AU1063" s="18"/>
      <c r="AV1063" s="18"/>
      <c r="AW1063" s="18"/>
      <c r="AX1063" s="18"/>
      <c r="AY1063" s="18"/>
      <c r="AZ1063" s="18"/>
      <c r="BA1063" s="18"/>
      <c r="BB1063" s="18"/>
      <c r="BC1063" s="18"/>
      <c r="BD1063" s="18"/>
      <c r="BE1063" s="18"/>
      <c r="BF1063" s="18"/>
      <c r="BG1063" s="18"/>
      <c r="BH1063" s="18"/>
      <c r="BI1063" s="18"/>
      <c r="BJ1063" s="18"/>
      <c r="BK1063" s="18"/>
      <c r="BL1063" s="18"/>
      <c r="BM1063" s="18"/>
      <c r="BN1063" s="18"/>
      <c r="BO1063" s="18"/>
      <c r="BP1063" s="18"/>
      <c r="BQ1063" s="18"/>
      <c r="BR1063" s="18"/>
      <c r="BS1063" s="18"/>
      <c r="BT1063" s="18"/>
      <c r="BU1063" s="18"/>
      <c r="BV1063" s="18"/>
      <c r="BW1063" s="18"/>
      <c r="BX1063" s="18"/>
      <c r="BY1063" s="18"/>
      <c r="BZ1063" s="18"/>
      <c r="CA1063" s="18"/>
      <c r="CB1063" s="18"/>
      <c r="CC1063" s="18"/>
      <c r="CD1063" s="18"/>
      <c r="CE1063" s="18"/>
      <c r="CF1063" s="18"/>
      <c r="CG1063" s="18"/>
      <c r="CH1063" s="18"/>
      <c r="CI1063" s="18"/>
      <c r="CJ1063" s="18"/>
      <c r="CK1063" s="18"/>
      <c r="CL1063" s="18"/>
      <c r="CM1063" s="18"/>
      <c r="CN1063" s="18"/>
      <c r="CO1063" s="18"/>
      <c r="CP1063" s="18"/>
      <c r="CQ1063" s="18"/>
      <c r="CR1063" s="18"/>
      <c r="CS1063" s="18"/>
      <c r="CT1063" s="18"/>
      <c r="CU1063" s="18"/>
    </row>
    <row r="1064" spans="1:99">
      <c r="A1064" s="19"/>
      <c r="B1064" s="19"/>
      <c r="C1064" s="19"/>
      <c r="D1064" s="19"/>
      <c r="E1064" s="19"/>
      <c r="F1064" s="19"/>
      <c r="G1064" s="19"/>
      <c r="H1064" s="19"/>
      <c r="I1064" s="19"/>
      <c r="J1064" s="19"/>
      <c r="K1064" s="18"/>
      <c r="L1064" s="18"/>
      <c r="M1064" s="18"/>
      <c r="N1064" s="18"/>
      <c r="O1064" s="18"/>
      <c r="P1064" s="18"/>
      <c r="Q1064" s="18"/>
      <c r="R1064" s="18"/>
      <c r="S1064" s="18"/>
      <c r="T1064" s="18"/>
      <c r="U1064" s="18"/>
      <c r="V1064" s="18"/>
      <c r="W1064" s="18"/>
      <c r="X1064" s="18"/>
      <c r="Y1064" s="18"/>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c r="BC1064" s="18"/>
      <c r="BD1064" s="18"/>
      <c r="BE1064" s="18"/>
      <c r="BF1064" s="18"/>
      <c r="BG1064" s="18"/>
      <c r="BH1064" s="18"/>
      <c r="BI1064" s="18"/>
      <c r="BJ1064" s="18"/>
      <c r="BK1064" s="18"/>
      <c r="BL1064" s="18"/>
      <c r="BM1064" s="18"/>
      <c r="BN1064" s="18"/>
      <c r="BO1064" s="18"/>
      <c r="BP1064" s="18"/>
      <c r="BQ1064" s="18"/>
      <c r="BR1064" s="18"/>
      <c r="BS1064" s="18"/>
      <c r="BT1064" s="18"/>
      <c r="BU1064" s="18"/>
      <c r="BV1064" s="18"/>
      <c r="BW1064" s="18"/>
      <c r="BX1064" s="18"/>
      <c r="BY1064" s="18"/>
      <c r="BZ1064" s="18"/>
      <c r="CA1064" s="18"/>
      <c r="CB1064" s="18"/>
      <c r="CC1064" s="18"/>
      <c r="CD1064" s="18"/>
      <c r="CE1064" s="18"/>
      <c r="CF1064" s="18"/>
      <c r="CG1064" s="18"/>
      <c r="CH1064" s="18"/>
      <c r="CI1064" s="18"/>
      <c r="CJ1064" s="18"/>
      <c r="CK1064" s="18"/>
      <c r="CL1064" s="18"/>
      <c r="CM1064" s="18"/>
      <c r="CN1064" s="18"/>
      <c r="CO1064" s="18"/>
      <c r="CP1064" s="18"/>
      <c r="CQ1064" s="18"/>
      <c r="CR1064" s="18"/>
      <c r="CS1064" s="18"/>
      <c r="CT1064" s="18"/>
      <c r="CU1064" s="18"/>
    </row>
    <row r="1065" spans="1:99">
      <c r="A1065" s="19"/>
      <c r="B1065" s="19"/>
      <c r="C1065" s="19"/>
      <c r="D1065" s="19"/>
      <c r="E1065" s="19"/>
      <c r="F1065" s="19"/>
      <c r="G1065" s="19"/>
      <c r="H1065" s="19"/>
      <c r="I1065" s="19"/>
      <c r="J1065" s="19"/>
      <c r="K1065" s="18"/>
      <c r="L1065" s="18"/>
      <c r="M1065" s="18"/>
      <c r="N1065" s="18"/>
      <c r="O1065" s="18"/>
      <c r="P1065" s="18"/>
      <c r="Q1065" s="18"/>
      <c r="R1065" s="18"/>
      <c r="S1065" s="18"/>
      <c r="T1065" s="18"/>
      <c r="U1065" s="18"/>
      <c r="V1065" s="18"/>
      <c r="W1065" s="18"/>
      <c r="X1065" s="18"/>
      <c r="Y1065" s="18"/>
      <c r="Z1065" s="18"/>
      <c r="AA1065" s="18"/>
      <c r="AB1065" s="18"/>
      <c r="AC1065" s="18"/>
      <c r="AD1065" s="18"/>
      <c r="AE1065" s="18"/>
      <c r="AF1065" s="18"/>
      <c r="AG1065" s="18"/>
      <c r="AH1065" s="18"/>
      <c r="AI1065" s="18"/>
      <c r="AJ1065" s="18"/>
      <c r="AK1065" s="18"/>
      <c r="AL1065" s="18"/>
      <c r="AM1065" s="18"/>
      <c r="AN1065" s="18"/>
      <c r="AO1065" s="18"/>
      <c r="AP1065" s="18"/>
      <c r="AQ1065" s="18"/>
      <c r="AR1065" s="18"/>
      <c r="AS1065" s="18"/>
      <c r="AT1065" s="18"/>
      <c r="AU1065" s="18"/>
      <c r="AV1065" s="18"/>
      <c r="AW1065" s="18"/>
      <c r="AX1065" s="18"/>
      <c r="AY1065" s="18"/>
      <c r="AZ1065" s="18"/>
      <c r="BA1065" s="18"/>
      <c r="BB1065" s="18"/>
      <c r="BC1065" s="18"/>
      <c r="BD1065" s="18"/>
      <c r="BE1065" s="18"/>
      <c r="BF1065" s="18"/>
      <c r="BG1065" s="18"/>
      <c r="BH1065" s="18"/>
      <c r="BI1065" s="18"/>
      <c r="BJ1065" s="18"/>
      <c r="BK1065" s="18"/>
      <c r="BL1065" s="18"/>
      <c r="BM1065" s="18"/>
      <c r="BN1065" s="18"/>
      <c r="BO1065" s="18"/>
      <c r="BP1065" s="18"/>
      <c r="BQ1065" s="18"/>
      <c r="BR1065" s="18"/>
      <c r="BS1065" s="18"/>
      <c r="BT1065" s="18"/>
      <c r="BU1065" s="18"/>
      <c r="BV1065" s="18"/>
      <c r="BW1065" s="18"/>
      <c r="BX1065" s="18"/>
      <c r="BY1065" s="18"/>
      <c r="BZ1065" s="18"/>
      <c r="CA1065" s="18"/>
      <c r="CB1065" s="18"/>
      <c r="CC1065" s="18"/>
      <c r="CD1065" s="18"/>
      <c r="CE1065" s="18"/>
      <c r="CF1065" s="18"/>
      <c r="CG1065" s="18"/>
      <c r="CH1065" s="18"/>
      <c r="CI1065" s="18"/>
      <c r="CJ1065" s="18"/>
      <c r="CK1065" s="18"/>
      <c r="CL1065" s="18"/>
      <c r="CM1065" s="18"/>
      <c r="CN1065" s="18"/>
      <c r="CO1065" s="18"/>
      <c r="CP1065" s="18"/>
      <c r="CQ1065" s="18"/>
      <c r="CR1065" s="18"/>
      <c r="CS1065" s="18"/>
      <c r="CT1065" s="18"/>
      <c r="CU1065" s="18"/>
    </row>
    <row r="1066" spans="1:99">
      <c r="A1066" s="19"/>
      <c r="B1066" s="19"/>
      <c r="C1066" s="19"/>
      <c r="D1066" s="19"/>
      <c r="E1066" s="19"/>
      <c r="F1066" s="19"/>
      <c r="G1066" s="19"/>
      <c r="H1066" s="19"/>
      <c r="I1066" s="19"/>
      <c r="J1066" s="19"/>
      <c r="K1066" s="18"/>
      <c r="L1066" s="18"/>
      <c r="M1066" s="18"/>
      <c r="N1066" s="18"/>
      <c r="O1066" s="18"/>
      <c r="P1066" s="18"/>
      <c r="Q1066" s="18"/>
      <c r="R1066" s="18"/>
      <c r="S1066" s="18"/>
      <c r="T1066" s="18"/>
      <c r="U1066" s="18"/>
      <c r="V1066" s="18"/>
      <c r="W1066" s="18"/>
      <c r="X1066" s="18"/>
      <c r="Y1066" s="18"/>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c r="BC1066" s="18"/>
      <c r="BD1066" s="18"/>
      <c r="BE1066" s="18"/>
      <c r="BF1066" s="18"/>
      <c r="BG1066" s="18"/>
      <c r="BH1066" s="18"/>
      <c r="BI1066" s="18"/>
      <c r="BJ1066" s="18"/>
      <c r="BK1066" s="18"/>
      <c r="BL1066" s="18"/>
      <c r="BM1066" s="18"/>
      <c r="BN1066" s="18"/>
      <c r="BO1066" s="18"/>
      <c r="BP1066" s="18"/>
      <c r="BQ1066" s="18"/>
      <c r="BR1066" s="18"/>
      <c r="BS1066" s="18"/>
      <c r="BT1066" s="18"/>
      <c r="BU1066" s="18"/>
      <c r="BV1066" s="18"/>
      <c r="BW1066" s="18"/>
      <c r="BX1066" s="18"/>
      <c r="BY1066" s="18"/>
      <c r="BZ1066" s="18"/>
      <c r="CA1066" s="18"/>
      <c r="CB1066" s="18"/>
      <c r="CC1066" s="18"/>
      <c r="CD1066" s="18"/>
      <c r="CE1066" s="18"/>
      <c r="CF1066" s="18"/>
      <c r="CG1066" s="18"/>
      <c r="CH1066" s="18"/>
      <c r="CI1066" s="18"/>
      <c r="CJ1066" s="18"/>
      <c r="CK1066" s="18"/>
      <c r="CL1066" s="18"/>
      <c r="CM1066" s="18"/>
      <c r="CN1066" s="18"/>
      <c r="CO1066" s="18"/>
      <c r="CP1066" s="18"/>
      <c r="CQ1066" s="18"/>
      <c r="CR1066" s="18"/>
      <c r="CS1066" s="18"/>
      <c r="CT1066" s="18"/>
      <c r="CU1066" s="18"/>
    </row>
    <row r="1067" spans="1:99">
      <c r="A1067" s="19"/>
      <c r="B1067" s="19"/>
      <c r="C1067" s="19"/>
      <c r="D1067" s="19"/>
      <c r="E1067" s="19"/>
      <c r="F1067" s="19"/>
      <c r="G1067" s="19"/>
      <c r="H1067" s="19"/>
      <c r="I1067" s="19"/>
      <c r="J1067" s="19"/>
      <c r="K1067" s="18"/>
      <c r="L1067" s="18"/>
      <c r="M1067" s="18"/>
      <c r="N1067" s="18"/>
      <c r="O1067" s="18"/>
      <c r="P1067" s="18"/>
      <c r="Q1067" s="18"/>
      <c r="R1067" s="18"/>
      <c r="S1067" s="18"/>
      <c r="T1067" s="18"/>
      <c r="U1067" s="18"/>
      <c r="V1067" s="18"/>
      <c r="W1067" s="18"/>
      <c r="X1067" s="18"/>
      <c r="Y1067" s="18"/>
      <c r="Z1067" s="18"/>
      <c r="AA1067" s="18"/>
      <c r="AB1067" s="18"/>
      <c r="AC1067" s="18"/>
      <c r="AD1067" s="18"/>
      <c r="AE1067" s="18"/>
      <c r="AF1067" s="18"/>
      <c r="AG1067" s="18"/>
      <c r="AH1067" s="18"/>
      <c r="AI1067" s="18"/>
      <c r="AJ1067" s="18"/>
      <c r="AK1067" s="18"/>
      <c r="AL1067" s="18"/>
      <c r="AM1067" s="18"/>
      <c r="AN1067" s="18"/>
      <c r="AO1067" s="18"/>
      <c r="AP1067" s="18"/>
      <c r="AQ1067" s="18"/>
      <c r="AR1067" s="18"/>
      <c r="AS1067" s="18"/>
      <c r="AT1067" s="18"/>
      <c r="AU1067" s="18"/>
      <c r="AV1067" s="18"/>
      <c r="AW1067" s="18"/>
      <c r="AX1067" s="18"/>
      <c r="AY1067" s="18"/>
      <c r="AZ1067" s="18"/>
      <c r="BA1067" s="18"/>
      <c r="BB1067" s="18"/>
      <c r="BC1067" s="18"/>
      <c r="BD1067" s="18"/>
      <c r="BE1067" s="18"/>
      <c r="BF1067" s="18"/>
      <c r="BG1067" s="18"/>
      <c r="BH1067" s="18"/>
      <c r="BI1067" s="18"/>
      <c r="BJ1067" s="18"/>
      <c r="BK1067" s="18"/>
      <c r="BL1067" s="18"/>
      <c r="BM1067" s="18"/>
      <c r="BN1067" s="18"/>
      <c r="BO1067" s="18"/>
      <c r="BP1067" s="18"/>
      <c r="BQ1067" s="18"/>
      <c r="BR1067" s="18"/>
      <c r="BS1067" s="18"/>
      <c r="BT1067" s="18"/>
      <c r="BU1067" s="18"/>
      <c r="BV1067" s="18"/>
      <c r="BW1067" s="18"/>
      <c r="BX1067" s="18"/>
      <c r="BY1067" s="18"/>
      <c r="BZ1067" s="18"/>
      <c r="CA1067" s="18"/>
      <c r="CB1067" s="18"/>
      <c r="CC1067" s="18"/>
      <c r="CD1067" s="18"/>
      <c r="CE1067" s="18"/>
      <c r="CF1067" s="18"/>
      <c r="CG1067" s="18"/>
      <c r="CH1067" s="18"/>
      <c r="CI1067" s="18"/>
      <c r="CJ1067" s="18"/>
      <c r="CK1067" s="18"/>
      <c r="CL1067" s="18"/>
      <c r="CM1067" s="18"/>
      <c r="CN1067" s="18"/>
      <c r="CO1067" s="18"/>
      <c r="CP1067" s="18"/>
      <c r="CQ1067" s="18"/>
      <c r="CR1067" s="18"/>
      <c r="CS1067" s="18"/>
      <c r="CT1067" s="18"/>
      <c r="CU1067" s="18"/>
    </row>
    <row r="1068" spans="1:99">
      <c r="A1068" s="19"/>
      <c r="B1068" s="19"/>
      <c r="C1068" s="19"/>
      <c r="D1068" s="19"/>
      <c r="E1068" s="19"/>
      <c r="F1068" s="19"/>
      <c r="G1068" s="19"/>
      <c r="H1068" s="19"/>
      <c r="I1068" s="19"/>
      <c r="J1068" s="19"/>
      <c r="K1068" s="18"/>
      <c r="L1068" s="18"/>
      <c r="M1068" s="18"/>
      <c r="N1068" s="18"/>
      <c r="O1068" s="18"/>
      <c r="P1068" s="18"/>
      <c r="Q1068" s="18"/>
      <c r="R1068" s="18"/>
      <c r="S1068" s="18"/>
      <c r="T1068" s="18"/>
      <c r="U1068" s="18"/>
      <c r="V1068" s="18"/>
      <c r="W1068" s="18"/>
      <c r="X1068" s="18"/>
      <c r="Y1068" s="18"/>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c r="BC1068" s="18"/>
      <c r="BD1068" s="18"/>
      <c r="BE1068" s="18"/>
      <c r="BF1068" s="18"/>
      <c r="BG1068" s="18"/>
      <c r="BH1068" s="18"/>
      <c r="BI1068" s="18"/>
      <c r="BJ1068" s="18"/>
      <c r="BK1068" s="18"/>
      <c r="BL1068" s="18"/>
      <c r="BM1068" s="18"/>
      <c r="BN1068" s="18"/>
      <c r="BO1068" s="18"/>
      <c r="BP1068" s="18"/>
      <c r="BQ1068" s="18"/>
      <c r="BR1068" s="18"/>
      <c r="BS1068" s="18"/>
      <c r="BT1068" s="18"/>
      <c r="BU1068" s="18"/>
      <c r="BV1068" s="18"/>
      <c r="BW1068" s="18"/>
      <c r="BX1068" s="18"/>
      <c r="BY1068" s="18"/>
      <c r="BZ1068" s="18"/>
      <c r="CA1068" s="18"/>
      <c r="CB1068" s="18"/>
      <c r="CC1068" s="18"/>
      <c r="CD1068" s="18"/>
      <c r="CE1068" s="18"/>
      <c r="CF1068" s="18"/>
      <c r="CG1068" s="18"/>
      <c r="CH1068" s="18"/>
      <c r="CI1068" s="18"/>
      <c r="CJ1068" s="18"/>
      <c r="CK1068" s="18"/>
      <c r="CL1068" s="18"/>
      <c r="CM1068" s="18"/>
      <c r="CN1068" s="18"/>
      <c r="CO1068" s="18"/>
      <c r="CP1068" s="18"/>
      <c r="CQ1068" s="18"/>
      <c r="CR1068" s="18"/>
      <c r="CS1068" s="18"/>
      <c r="CT1068" s="18"/>
      <c r="CU1068" s="18"/>
    </row>
    <row r="1069" spans="1:99">
      <c r="A1069" s="19"/>
      <c r="B1069" s="19"/>
      <c r="C1069" s="19"/>
      <c r="D1069" s="19"/>
      <c r="E1069" s="19"/>
      <c r="F1069" s="19"/>
      <c r="G1069" s="19"/>
      <c r="H1069" s="19"/>
      <c r="I1069" s="19"/>
      <c r="J1069" s="19"/>
      <c r="K1069" s="18"/>
      <c r="L1069" s="18"/>
      <c r="M1069" s="18"/>
      <c r="N1069" s="18"/>
      <c r="O1069" s="18"/>
      <c r="P1069" s="18"/>
      <c r="Q1069" s="18"/>
      <c r="R1069" s="18"/>
      <c r="S1069" s="18"/>
      <c r="T1069" s="18"/>
      <c r="U1069" s="18"/>
      <c r="V1069" s="18"/>
      <c r="W1069" s="18"/>
      <c r="X1069" s="18"/>
      <c r="Y1069" s="18"/>
      <c r="Z1069" s="18"/>
      <c r="AA1069" s="18"/>
      <c r="AB1069" s="18"/>
      <c r="AC1069" s="18"/>
      <c r="AD1069" s="18"/>
      <c r="AE1069" s="18"/>
      <c r="AF1069" s="18"/>
      <c r="AG1069" s="18"/>
      <c r="AH1069" s="18"/>
      <c r="AI1069" s="18"/>
      <c r="AJ1069" s="18"/>
      <c r="AK1069" s="18"/>
      <c r="AL1069" s="18"/>
      <c r="AM1069" s="18"/>
      <c r="AN1069" s="18"/>
      <c r="AO1069" s="18"/>
      <c r="AP1069" s="18"/>
      <c r="AQ1069" s="18"/>
      <c r="AR1069" s="18"/>
      <c r="AS1069" s="18"/>
      <c r="AT1069" s="18"/>
      <c r="AU1069" s="18"/>
      <c r="AV1069" s="18"/>
      <c r="AW1069" s="18"/>
      <c r="AX1069" s="18"/>
      <c r="AY1069" s="18"/>
      <c r="AZ1069" s="18"/>
      <c r="BA1069" s="18"/>
      <c r="BB1069" s="18"/>
      <c r="BC1069" s="18"/>
      <c r="BD1069" s="18"/>
      <c r="BE1069" s="18"/>
      <c r="BF1069" s="18"/>
      <c r="BG1069" s="18"/>
      <c r="BH1069" s="18"/>
      <c r="BI1069" s="18"/>
      <c r="BJ1069" s="18"/>
      <c r="BK1069" s="18"/>
      <c r="BL1069" s="18"/>
      <c r="BM1069" s="18"/>
      <c r="BN1069" s="18"/>
      <c r="BO1069" s="18"/>
      <c r="BP1069" s="18"/>
      <c r="BQ1069" s="18"/>
      <c r="BR1069" s="18"/>
      <c r="BS1069" s="18"/>
      <c r="BT1069" s="18"/>
      <c r="BU1069" s="18"/>
      <c r="BV1069" s="18"/>
      <c r="BW1069" s="18"/>
      <c r="BX1069" s="18"/>
      <c r="BY1069" s="18"/>
      <c r="BZ1069" s="18"/>
      <c r="CA1069" s="18"/>
      <c r="CB1069" s="18"/>
      <c r="CC1069" s="18"/>
      <c r="CD1069" s="18"/>
      <c r="CE1069" s="18"/>
      <c r="CF1069" s="18"/>
      <c r="CG1069" s="18"/>
      <c r="CH1069" s="18"/>
      <c r="CI1069" s="18"/>
      <c r="CJ1069" s="18"/>
      <c r="CK1069" s="18"/>
      <c r="CL1069" s="18"/>
      <c r="CM1069" s="18"/>
      <c r="CN1069" s="18"/>
      <c r="CO1069" s="18"/>
      <c r="CP1069" s="18"/>
      <c r="CQ1069" s="18"/>
      <c r="CR1069" s="18"/>
      <c r="CS1069" s="18"/>
      <c r="CT1069" s="18"/>
      <c r="CU1069" s="18"/>
    </row>
    <row r="1070" spans="1:99">
      <c r="A1070" s="19"/>
      <c r="B1070" s="19"/>
      <c r="C1070" s="19"/>
      <c r="D1070" s="19"/>
      <c r="E1070" s="19"/>
      <c r="F1070" s="19"/>
      <c r="G1070" s="19"/>
      <c r="H1070" s="19"/>
      <c r="I1070" s="19"/>
      <c r="J1070" s="19"/>
      <c r="K1070" s="18"/>
      <c r="L1070" s="18"/>
      <c r="M1070" s="18"/>
      <c r="N1070" s="18"/>
      <c r="O1070" s="18"/>
      <c r="P1070" s="18"/>
      <c r="Q1070" s="18"/>
      <c r="R1070" s="18"/>
      <c r="S1070" s="18"/>
      <c r="T1070" s="18"/>
      <c r="U1070" s="18"/>
      <c r="V1070" s="18"/>
      <c r="W1070" s="18"/>
      <c r="X1070" s="18"/>
      <c r="Y1070" s="18"/>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c r="BC1070" s="18"/>
      <c r="BD1070" s="18"/>
      <c r="BE1070" s="18"/>
      <c r="BF1070" s="18"/>
      <c r="BG1070" s="18"/>
      <c r="BH1070" s="18"/>
      <c r="BI1070" s="18"/>
      <c r="BJ1070" s="18"/>
      <c r="BK1070" s="18"/>
      <c r="BL1070" s="18"/>
      <c r="BM1070" s="18"/>
      <c r="BN1070" s="18"/>
      <c r="BO1070" s="18"/>
      <c r="BP1070" s="18"/>
      <c r="BQ1070" s="18"/>
      <c r="BR1070" s="18"/>
      <c r="BS1070" s="18"/>
      <c r="BT1070" s="18"/>
      <c r="BU1070" s="18"/>
      <c r="BV1070" s="18"/>
      <c r="BW1070" s="18"/>
      <c r="BX1070" s="18"/>
      <c r="BY1070" s="18"/>
      <c r="BZ1070" s="18"/>
      <c r="CA1070" s="18"/>
      <c r="CB1070" s="18"/>
      <c r="CC1070" s="18"/>
      <c r="CD1070" s="18"/>
      <c r="CE1070" s="18"/>
      <c r="CF1070" s="18"/>
      <c r="CG1070" s="18"/>
      <c r="CH1070" s="18"/>
      <c r="CI1070" s="18"/>
      <c r="CJ1070" s="18"/>
      <c r="CK1070" s="18"/>
      <c r="CL1070" s="18"/>
      <c r="CM1070" s="18"/>
      <c r="CN1070" s="18"/>
      <c r="CO1070" s="18"/>
      <c r="CP1070" s="18"/>
      <c r="CQ1070" s="18"/>
      <c r="CR1070" s="18"/>
      <c r="CS1070" s="18"/>
      <c r="CT1070" s="18"/>
      <c r="CU1070" s="18"/>
    </row>
    <row r="1071" spans="1:99">
      <c r="A1071" s="19"/>
      <c r="B1071" s="19"/>
      <c r="C1071" s="19"/>
      <c r="D1071" s="19"/>
      <c r="E1071" s="19"/>
      <c r="F1071" s="19"/>
      <c r="G1071" s="19"/>
      <c r="H1071" s="19"/>
      <c r="I1071" s="19"/>
      <c r="J1071" s="19"/>
      <c r="K1071" s="18"/>
      <c r="L1071" s="18"/>
      <c r="M1071" s="18"/>
      <c r="N1071" s="18"/>
      <c r="O1071" s="18"/>
      <c r="P1071" s="18"/>
      <c r="Q1071" s="18"/>
      <c r="R1071" s="18"/>
      <c r="S1071" s="18"/>
      <c r="T1071" s="18"/>
      <c r="U1071" s="18"/>
      <c r="V1071" s="18"/>
      <c r="W1071" s="18"/>
      <c r="X1071" s="18"/>
      <c r="Y1071" s="18"/>
      <c r="Z1071" s="18"/>
      <c r="AA1071" s="18"/>
      <c r="AB1071" s="18"/>
      <c r="AC1071" s="18"/>
      <c r="AD1071" s="18"/>
      <c r="AE1071" s="18"/>
      <c r="AF1071" s="18"/>
      <c r="AG1071" s="18"/>
      <c r="AH1071" s="18"/>
      <c r="AI1071" s="18"/>
      <c r="AJ1071" s="18"/>
      <c r="AK1071" s="18"/>
      <c r="AL1071" s="18"/>
      <c r="AM1071" s="18"/>
      <c r="AN1071" s="18"/>
      <c r="AO1071" s="18"/>
      <c r="AP1071" s="18"/>
      <c r="AQ1071" s="18"/>
      <c r="AR1071" s="18"/>
      <c r="AS1071" s="18"/>
      <c r="AT1071" s="18"/>
      <c r="AU1071" s="18"/>
      <c r="AV1071" s="18"/>
      <c r="AW1071" s="18"/>
      <c r="AX1071" s="18"/>
      <c r="AY1071" s="18"/>
      <c r="AZ1071" s="18"/>
      <c r="BA1071" s="18"/>
      <c r="BB1071" s="18"/>
      <c r="BC1071" s="18"/>
      <c r="BD1071" s="18"/>
      <c r="BE1071" s="18"/>
      <c r="BF1071" s="18"/>
      <c r="BG1071" s="18"/>
      <c r="BH1071" s="18"/>
      <c r="BI1071" s="18"/>
      <c r="BJ1071" s="18"/>
      <c r="BK1071" s="18"/>
      <c r="BL1071" s="18"/>
      <c r="BM1071" s="18"/>
      <c r="BN1071" s="18"/>
      <c r="BO1071" s="18"/>
      <c r="BP1071" s="18"/>
      <c r="BQ1071" s="18"/>
      <c r="BR1071" s="18"/>
      <c r="BS1071" s="18"/>
      <c r="BT1071" s="18"/>
      <c r="BU1071" s="18"/>
      <c r="BV1071" s="18"/>
      <c r="BW1071" s="18"/>
      <c r="BX1071" s="18"/>
      <c r="BY1071" s="18"/>
      <c r="BZ1071" s="18"/>
      <c r="CA1071" s="18"/>
      <c r="CB1071" s="18"/>
      <c r="CC1071" s="18"/>
      <c r="CD1071" s="18"/>
      <c r="CE1071" s="18"/>
      <c r="CF1071" s="18"/>
      <c r="CG1071" s="18"/>
      <c r="CH1071" s="18"/>
      <c r="CI1071" s="18"/>
      <c r="CJ1071" s="18"/>
      <c r="CK1071" s="18"/>
      <c r="CL1071" s="18"/>
      <c r="CM1071" s="18"/>
      <c r="CN1071" s="18"/>
      <c r="CO1071" s="18"/>
      <c r="CP1071" s="18"/>
      <c r="CQ1071" s="18"/>
      <c r="CR1071" s="18"/>
      <c r="CS1071" s="18"/>
      <c r="CT1071" s="18"/>
      <c r="CU1071" s="18"/>
    </row>
    <row r="1072" spans="1:99">
      <c r="A1072" s="19"/>
      <c r="B1072" s="19"/>
      <c r="C1072" s="19"/>
      <c r="D1072" s="19"/>
      <c r="E1072" s="19"/>
      <c r="F1072" s="19"/>
      <c r="G1072" s="19"/>
      <c r="H1072" s="19"/>
      <c r="I1072" s="19"/>
      <c r="J1072" s="19"/>
      <c r="K1072" s="18"/>
      <c r="L1072" s="18"/>
      <c r="M1072" s="18"/>
      <c r="N1072" s="18"/>
      <c r="O1072" s="18"/>
      <c r="P1072" s="18"/>
      <c r="Q1072" s="18"/>
      <c r="R1072" s="18"/>
      <c r="S1072" s="18"/>
      <c r="T1072" s="18"/>
      <c r="U1072" s="18"/>
      <c r="V1072" s="18"/>
      <c r="W1072" s="18"/>
      <c r="X1072" s="18"/>
      <c r="Y1072" s="18"/>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c r="BC1072" s="18"/>
      <c r="BD1072" s="18"/>
      <c r="BE1072" s="18"/>
      <c r="BF1072" s="18"/>
      <c r="BG1072" s="18"/>
      <c r="BH1072" s="18"/>
      <c r="BI1072" s="18"/>
      <c r="BJ1072" s="18"/>
      <c r="BK1072" s="18"/>
      <c r="BL1072" s="18"/>
      <c r="BM1072" s="18"/>
      <c r="BN1072" s="18"/>
      <c r="BO1072" s="18"/>
      <c r="BP1072" s="18"/>
      <c r="BQ1072" s="18"/>
      <c r="BR1072" s="18"/>
      <c r="BS1072" s="18"/>
      <c r="BT1072" s="18"/>
      <c r="BU1072" s="18"/>
      <c r="BV1072" s="18"/>
      <c r="BW1072" s="18"/>
      <c r="BX1072" s="18"/>
      <c r="BY1072" s="18"/>
      <c r="BZ1072" s="18"/>
      <c r="CA1072" s="18"/>
      <c r="CB1072" s="18"/>
      <c r="CC1072" s="18"/>
      <c r="CD1072" s="18"/>
      <c r="CE1072" s="18"/>
      <c r="CF1072" s="18"/>
      <c r="CG1072" s="18"/>
      <c r="CH1072" s="18"/>
      <c r="CI1072" s="18"/>
      <c r="CJ1072" s="18"/>
      <c r="CK1072" s="18"/>
      <c r="CL1072" s="18"/>
      <c r="CM1072" s="18"/>
      <c r="CN1072" s="18"/>
      <c r="CO1072" s="18"/>
      <c r="CP1072" s="18"/>
      <c r="CQ1072" s="18"/>
      <c r="CR1072" s="18"/>
      <c r="CS1072" s="18"/>
      <c r="CT1072" s="18"/>
      <c r="CU1072" s="18"/>
    </row>
    <row r="1073" spans="1:99">
      <c r="A1073" s="19"/>
      <c r="B1073" s="19"/>
      <c r="C1073" s="19"/>
      <c r="D1073" s="19"/>
      <c r="E1073" s="19"/>
      <c r="F1073" s="19"/>
      <c r="G1073" s="19"/>
      <c r="H1073" s="19"/>
      <c r="I1073" s="19"/>
      <c r="J1073" s="19"/>
      <c r="K1073" s="18"/>
      <c r="L1073" s="18"/>
      <c r="M1073" s="18"/>
      <c r="N1073" s="18"/>
      <c r="O1073" s="18"/>
      <c r="P1073" s="18"/>
      <c r="Q1073" s="18"/>
      <c r="R1073" s="18"/>
      <c r="S1073" s="18"/>
      <c r="T1073" s="18"/>
      <c r="U1073" s="18"/>
      <c r="V1073" s="18"/>
      <c r="W1073" s="18"/>
      <c r="X1073" s="18"/>
      <c r="Y1073" s="18"/>
      <c r="Z1073" s="18"/>
      <c r="AA1073" s="18"/>
      <c r="AB1073" s="18"/>
      <c r="AC1073" s="18"/>
      <c r="AD1073" s="18"/>
      <c r="AE1073" s="18"/>
      <c r="AF1073" s="18"/>
      <c r="AG1073" s="18"/>
      <c r="AH1073" s="18"/>
      <c r="AI1073" s="18"/>
      <c r="AJ1073" s="18"/>
      <c r="AK1073" s="18"/>
      <c r="AL1073" s="18"/>
      <c r="AM1073" s="18"/>
      <c r="AN1073" s="18"/>
      <c r="AO1073" s="18"/>
      <c r="AP1073" s="18"/>
      <c r="AQ1073" s="18"/>
      <c r="AR1073" s="18"/>
      <c r="AS1073" s="18"/>
      <c r="AT1073" s="18"/>
      <c r="AU1073" s="18"/>
      <c r="AV1073" s="18"/>
      <c r="AW1073" s="18"/>
      <c r="AX1073" s="18"/>
      <c r="AY1073" s="18"/>
      <c r="AZ1073" s="18"/>
      <c r="BA1073" s="18"/>
      <c r="BB1073" s="18"/>
      <c r="BC1073" s="18"/>
      <c r="BD1073" s="18"/>
      <c r="BE1073" s="18"/>
      <c r="BF1073" s="18"/>
      <c r="BG1073" s="18"/>
      <c r="BH1073" s="18"/>
      <c r="BI1073" s="18"/>
      <c r="BJ1073" s="18"/>
      <c r="BK1073" s="18"/>
      <c r="BL1073" s="18"/>
      <c r="BM1073" s="18"/>
      <c r="BN1073" s="18"/>
      <c r="BO1073" s="18"/>
      <c r="BP1073" s="18"/>
      <c r="BQ1073" s="18"/>
      <c r="BR1073" s="18"/>
      <c r="BS1073" s="18"/>
      <c r="BT1073" s="18"/>
      <c r="BU1073" s="18"/>
      <c r="BV1073" s="18"/>
      <c r="BW1073" s="18"/>
      <c r="BX1073" s="18"/>
      <c r="BY1073" s="18"/>
      <c r="BZ1073" s="18"/>
      <c r="CA1073" s="18"/>
      <c r="CB1073" s="18"/>
      <c r="CC1073" s="18"/>
      <c r="CD1073" s="18"/>
      <c r="CE1073" s="18"/>
      <c r="CF1073" s="18"/>
      <c r="CG1073" s="18"/>
      <c r="CH1073" s="18"/>
      <c r="CI1073" s="18"/>
      <c r="CJ1073" s="18"/>
      <c r="CK1073" s="18"/>
      <c r="CL1073" s="18"/>
      <c r="CM1073" s="18"/>
      <c r="CN1073" s="18"/>
      <c r="CO1073" s="18"/>
      <c r="CP1073" s="18"/>
      <c r="CQ1073" s="18"/>
      <c r="CR1073" s="18"/>
      <c r="CS1073" s="18"/>
      <c r="CT1073" s="18"/>
      <c r="CU1073" s="18"/>
    </row>
    <row r="1074" spans="1:99">
      <c r="A1074" s="19"/>
      <c r="B1074" s="19"/>
      <c r="C1074" s="19"/>
      <c r="D1074" s="19"/>
      <c r="E1074" s="19"/>
      <c r="F1074" s="19"/>
      <c r="G1074" s="19"/>
      <c r="H1074" s="19"/>
      <c r="I1074" s="19"/>
      <c r="J1074" s="19"/>
      <c r="K1074" s="18"/>
      <c r="L1074" s="18"/>
      <c r="M1074" s="18"/>
      <c r="N1074" s="18"/>
      <c r="O1074" s="18"/>
      <c r="P1074" s="18"/>
      <c r="Q1074" s="18"/>
      <c r="R1074" s="18"/>
      <c r="S1074" s="18"/>
      <c r="T1074" s="18"/>
      <c r="U1074" s="18"/>
      <c r="V1074" s="18"/>
      <c r="W1074" s="18"/>
      <c r="X1074" s="18"/>
      <c r="Y1074" s="18"/>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c r="BC1074" s="18"/>
      <c r="BD1074" s="18"/>
      <c r="BE1074" s="18"/>
      <c r="BF1074" s="18"/>
      <c r="BG1074" s="18"/>
      <c r="BH1074" s="18"/>
      <c r="BI1074" s="18"/>
      <c r="BJ1074" s="18"/>
      <c r="BK1074" s="18"/>
      <c r="BL1074" s="18"/>
      <c r="BM1074" s="18"/>
      <c r="BN1074" s="18"/>
      <c r="BO1074" s="18"/>
      <c r="BP1074" s="18"/>
      <c r="BQ1074" s="18"/>
      <c r="BR1074" s="18"/>
      <c r="BS1074" s="18"/>
      <c r="BT1074" s="18"/>
      <c r="BU1074" s="18"/>
      <c r="BV1074" s="18"/>
      <c r="BW1074" s="18"/>
      <c r="BX1074" s="18"/>
      <c r="BY1074" s="18"/>
      <c r="BZ1074" s="18"/>
      <c r="CA1074" s="18"/>
      <c r="CB1074" s="18"/>
      <c r="CC1074" s="18"/>
      <c r="CD1074" s="18"/>
      <c r="CE1074" s="18"/>
      <c r="CF1074" s="18"/>
      <c r="CG1074" s="18"/>
      <c r="CH1074" s="18"/>
      <c r="CI1074" s="18"/>
      <c r="CJ1074" s="18"/>
      <c r="CK1074" s="18"/>
      <c r="CL1074" s="18"/>
      <c r="CM1074" s="18"/>
      <c r="CN1074" s="18"/>
      <c r="CO1074" s="18"/>
      <c r="CP1074" s="18"/>
      <c r="CQ1074" s="18"/>
      <c r="CR1074" s="18"/>
      <c r="CS1074" s="18"/>
      <c r="CT1074" s="18"/>
      <c r="CU1074" s="18"/>
    </row>
    <row r="1075" spans="1:99">
      <c r="A1075" s="19"/>
      <c r="B1075" s="19"/>
      <c r="C1075" s="19"/>
      <c r="D1075" s="19"/>
      <c r="E1075" s="19"/>
      <c r="F1075" s="19"/>
      <c r="G1075" s="19"/>
      <c r="H1075" s="19"/>
      <c r="I1075" s="19"/>
      <c r="J1075" s="19"/>
      <c r="K1075" s="18"/>
      <c r="L1075" s="18"/>
      <c r="M1075" s="18"/>
      <c r="N1075" s="18"/>
      <c r="O1075" s="18"/>
      <c r="P1075" s="18"/>
      <c r="Q1075" s="18"/>
      <c r="R1075" s="18"/>
      <c r="S1075" s="18"/>
      <c r="T1075" s="18"/>
      <c r="U1075" s="18"/>
      <c r="V1075" s="18"/>
      <c r="W1075" s="18"/>
      <c r="X1075" s="18"/>
      <c r="Y1075" s="18"/>
      <c r="Z1075" s="18"/>
      <c r="AA1075" s="18"/>
      <c r="AB1075" s="18"/>
      <c r="AC1075" s="18"/>
      <c r="AD1075" s="18"/>
      <c r="AE1075" s="18"/>
      <c r="AF1075" s="18"/>
      <c r="AG1075" s="18"/>
      <c r="AH1075" s="18"/>
      <c r="AI1075" s="18"/>
      <c r="AJ1075" s="18"/>
      <c r="AK1075" s="18"/>
      <c r="AL1075" s="18"/>
      <c r="AM1075" s="18"/>
      <c r="AN1075" s="18"/>
      <c r="AO1075" s="18"/>
      <c r="AP1075" s="18"/>
      <c r="AQ1075" s="18"/>
      <c r="AR1075" s="18"/>
      <c r="AS1075" s="18"/>
      <c r="AT1075" s="18"/>
      <c r="AU1075" s="18"/>
      <c r="AV1075" s="18"/>
      <c r="AW1075" s="18"/>
      <c r="AX1075" s="18"/>
      <c r="AY1075" s="18"/>
      <c r="AZ1075" s="18"/>
      <c r="BA1075" s="18"/>
      <c r="BB1075" s="18"/>
      <c r="BC1075" s="18"/>
      <c r="BD1075" s="18"/>
      <c r="BE1075" s="18"/>
      <c r="BF1075" s="18"/>
      <c r="BG1075" s="18"/>
      <c r="BH1075" s="18"/>
      <c r="BI1075" s="18"/>
      <c r="BJ1075" s="18"/>
      <c r="BK1075" s="18"/>
      <c r="BL1075" s="18"/>
      <c r="BM1075" s="18"/>
      <c r="BN1075" s="18"/>
      <c r="BO1075" s="18"/>
      <c r="BP1075" s="18"/>
      <c r="BQ1075" s="18"/>
      <c r="BR1075" s="18"/>
      <c r="BS1075" s="18"/>
      <c r="BT1075" s="18"/>
      <c r="BU1075" s="18"/>
      <c r="BV1075" s="18"/>
      <c r="BW1075" s="18"/>
      <c r="BX1075" s="18"/>
      <c r="BY1075" s="18"/>
      <c r="BZ1075" s="18"/>
      <c r="CA1075" s="18"/>
      <c r="CB1075" s="18"/>
      <c r="CC1075" s="18"/>
      <c r="CD1075" s="18"/>
      <c r="CE1075" s="18"/>
      <c r="CF1075" s="18"/>
      <c r="CG1075" s="18"/>
      <c r="CH1075" s="18"/>
      <c r="CI1075" s="18"/>
      <c r="CJ1075" s="18"/>
      <c r="CK1075" s="18"/>
      <c r="CL1075" s="18"/>
      <c r="CM1075" s="18"/>
      <c r="CN1075" s="18"/>
      <c r="CO1075" s="18"/>
      <c r="CP1075" s="18"/>
      <c r="CQ1075" s="18"/>
      <c r="CR1075" s="18"/>
      <c r="CS1075" s="18"/>
      <c r="CT1075" s="18"/>
      <c r="CU1075" s="18"/>
    </row>
    <row r="1076" spans="1:99">
      <c r="A1076" s="19"/>
      <c r="B1076" s="19"/>
      <c r="C1076" s="19"/>
      <c r="D1076" s="19"/>
      <c r="E1076" s="19"/>
      <c r="F1076" s="19"/>
      <c r="G1076" s="19"/>
      <c r="H1076" s="19"/>
      <c r="I1076" s="19"/>
      <c r="J1076" s="19"/>
      <c r="K1076" s="18"/>
      <c r="L1076" s="18"/>
      <c r="M1076" s="18"/>
      <c r="N1076" s="18"/>
      <c r="O1076" s="18"/>
      <c r="P1076" s="18"/>
      <c r="Q1076" s="18"/>
      <c r="R1076" s="18"/>
      <c r="S1076" s="18"/>
      <c r="T1076" s="18"/>
      <c r="U1076" s="18"/>
      <c r="V1076" s="18"/>
      <c r="W1076" s="18"/>
      <c r="X1076" s="18"/>
      <c r="Y1076" s="18"/>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c r="BC1076" s="18"/>
      <c r="BD1076" s="18"/>
      <c r="BE1076" s="18"/>
      <c r="BF1076" s="18"/>
      <c r="BG1076" s="18"/>
      <c r="BH1076" s="18"/>
      <c r="BI1076" s="18"/>
      <c r="BJ1076" s="18"/>
      <c r="BK1076" s="18"/>
      <c r="BL1076" s="18"/>
      <c r="BM1076" s="18"/>
      <c r="BN1076" s="18"/>
      <c r="BO1076" s="18"/>
      <c r="BP1076" s="18"/>
      <c r="BQ1076" s="18"/>
      <c r="BR1076" s="18"/>
      <c r="BS1076" s="18"/>
      <c r="BT1076" s="18"/>
      <c r="BU1076" s="18"/>
      <c r="BV1076" s="18"/>
      <c r="BW1076" s="18"/>
      <c r="BX1076" s="18"/>
      <c r="BY1076" s="18"/>
      <c r="BZ1076" s="18"/>
      <c r="CA1076" s="18"/>
      <c r="CB1076" s="18"/>
      <c r="CC1076" s="18"/>
      <c r="CD1076" s="18"/>
      <c r="CE1076" s="18"/>
      <c r="CF1076" s="18"/>
      <c r="CG1076" s="18"/>
      <c r="CH1076" s="18"/>
      <c r="CI1076" s="18"/>
      <c r="CJ1076" s="18"/>
      <c r="CK1076" s="18"/>
      <c r="CL1076" s="18"/>
      <c r="CM1076" s="18"/>
      <c r="CN1076" s="18"/>
      <c r="CO1076" s="18"/>
      <c r="CP1076" s="18"/>
      <c r="CQ1076" s="18"/>
      <c r="CR1076" s="18"/>
      <c r="CS1076" s="18"/>
      <c r="CT1076" s="18"/>
      <c r="CU1076" s="18"/>
    </row>
    <row r="1077" spans="1:99">
      <c r="A1077" s="19"/>
      <c r="B1077" s="19"/>
      <c r="C1077" s="19"/>
      <c r="D1077" s="19"/>
      <c r="E1077" s="19"/>
      <c r="F1077" s="19"/>
      <c r="G1077" s="19"/>
      <c r="H1077" s="19"/>
      <c r="I1077" s="19"/>
      <c r="J1077" s="19"/>
      <c r="K1077" s="18"/>
      <c r="L1077" s="18"/>
      <c r="M1077" s="18"/>
      <c r="N1077" s="18"/>
      <c r="O1077" s="18"/>
      <c r="P1077" s="18"/>
      <c r="Q1077" s="18"/>
      <c r="R1077" s="18"/>
      <c r="S1077" s="18"/>
      <c r="T1077" s="18"/>
      <c r="U1077" s="18"/>
      <c r="V1077" s="18"/>
      <c r="W1077" s="18"/>
      <c r="X1077" s="18"/>
      <c r="Y1077" s="18"/>
      <c r="Z1077" s="18"/>
      <c r="AA1077" s="18"/>
      <c r="AB1077" s="18"/>
      <c r="AC1077" s="18"/>
      <c r="AD1077" s="18"/>
      <c r="AE1077" s="18"/>
      <c r="AF1077" s="18"/>
      <c r="AG1077" s="18"/>
      <c r="AH1077" s="18"/>
      <c r="AI1077" s="18"/>
      <c r="AJ1077" s="18"/>
      <c r="AK1077" s="18"/>
      <c r="AL1077" s="18"/>
      <c r="AM1077" s="18"/>
      <c r="AN1077" s="18"/>
      <c r="AO1077" s="18"/>
      <c r="AP1077" s="18"/>
      <c r="AQ1077" s="18"/>
      <c r="AR1077" s="18"/>
      <c r="AS1077" s="18"/>
      <c r="AT1077" s="18"/>
      <c r="AU1077" s="18"/>
      <c r="AV1077" s="18"/>
      <c r="AW1077" s="18"/>
      <c r="AX1077" s="18"/>
      <c r="AY1077" s="18"/>
      <c r="AZ1077" s="18"/>
      <c r="BA1077" s="18"/>
      <c r="BB1077" s="18"/>
      <c r="BC1077" s="18"/>
      <c r="BD1077" s="18"/>
      <c r="BE1077" s="18"/>
      <c r="BF1077" s="18"/>
      <c r="BG1077" s="18"/>
      <c r="BH1077" s="18"/>
      <c r="BI1077" s="18"/>
      <c r="BJ1077" s="18"/>
      <c r="BK1077" s="18"/>
      <c r="BL1077" s="18"/>
      <c r="BM1077" s="18"/>
      <c r="BN1077" s="18"/>
      <c r="BO1077" s="18"/>
      <c r="BP1077" s="18"/>
      <c r="BQ1077" s="18"/>
      <c r="BR1077" s="18"/>
      <c r="BS1077" s="18"/>
      <c r="BT1077" s="18"/>
      <c r="BU1077" s="18"/>
      <c r="BV1077" s="18"/>
      <c r="BW1077" s="18"/>
      <c r="BX1077" s="18"/>
      <c r="BY1077" s="18"/>
      <c r="BZ1077" s="18"/>
      <c r="CA1077" s="18"/>
      <c r="CB1077" s="18"/>
      <c r="CC1077" s="18"/>
      <c r="CD1077" s="18"/>
      <c r="CE1077" s="18"/>
      <c r="CF1077" s="18"/>
      <c r="CG1077" s="18"/>
      <c r="CH1077" s="18"/>
      <c r="CI1077" s="18"/>
      <c r="CJ1077" s="18"/>
      <c r="CK1077" s="18"/>
      <c r="CL1077" s="18"/>
      <c r="CM1077" s="18"/>
      <c r="CN1077" s="18"/>
      <c r="CO1077" s="18"/>
      <c r="CP1077" s="18"/>
      <c r="CQ1077" s="18"/>
      <c r="CR1077" s="18"/>
      <c r="CS1077" s="18"/>
      <c r="CT1077" s="18"/>
      <c r="CU1077" s="18"/>
    </row>
    <row r="1078" spans="1:99">
      <c r="A1078" s="19"/>
      <c r="B1078" s="19"/>
      <c r="C1078" s="19"/>
      <c r="D1078" s="19"/>
      <c r="E1078" s="19"/>
      <c r="F1078" s="19"/>
      <c r="G1078" s="19"/>
      <c r="H1078" s="19"/>
      <c r="I1078" s="19"/>
      <c r="J1078" s="19"/>
      <c r="K1078" s="18"/>
      <c r="L1078" s="18"/>
      <c r="M1078" s="18"/>
      <c r="N1078" s="18"/>
      <c r="O1078" s="18"/>
      <c r="P1078" s="18"/>
      <c r="Q1078" s="18"/>
      <c r="R1078" s="18"/>
      <c r="S1078" s="18"/>
      <c r="T1078" s="18"/>
      <c r="U1078" s="18"/>
      <c r="V1078" s="18"/>
      <c r="W1078" s="18"/>
      <c r="X1078" s="18"/>
      <c r="Y1078" s="18"/>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c r="BC1078" s="18"/>
      <c r="BD1078" s="18"/>
      <c r="BE1078" s="18"/>
      <c r="BF1078" s="18"/>
      <c r="BG1078" s="18"/>
      <c r="BH1078" s="18"/>
      <c r="BI1078" s="18"/>
      <c r="BJ1078" s="18"/>
      <c r="BK1078" s="18"/>
      <c r="BL1078" s="18"/>
      <c r="BM1078" s="18"/>
      <c r="BN1078" s="18"/>
      <c r="BO1078" s="18"/>
      <c r="BP1078" s="18"/>
      <c r="BQ1078" s="18"/>
      <c r="BR1078" s="18"/>
      <c r="BS1078" s="18"/>
      <c r="BT1078" s="18"/>
      <c r="BU1078" s="18"/>
      <c r="BV1078" s="18"/>
      <c r="BW1078" s="18"/>
      <c r="BX1078" s="18"/>
      <c r="BY1078" s="18"/>
      <c r="BZ1078" s="18"/>
      <c r="CA1078" s="18"/>
      <c r="CB1078" s="18"/>
      <c r="CC1078" s="18"/>
      <c r="CD1078" s="18"/>
      <c r="CE1078" s="18"/>
      <c r="CF1078" s="18"/>
      <c r="CG1078" s="18"/>
      <c r="CH1078" s="18"/>
      <c r="CI1078" s="18"/>
      <c r="CJ1078" s="18"/>
      <c r="CK1078" s="18"/>
      <c r="CL1078" s="18"/>
      <c r="CM1078" s="18"/>
      <c r="CN1078" s="18"/>
      <c r="CO1078" s="18"/>
      <c r="CP1078" s="18"/>
      <c r="CQ1078" s="18"/>
      <c r="CR1078" s="18"/>
      <c r="CS1078" s="18"/>
      <c r="CT1078" s="18"/>
      <c r="CU1078" s="18"/>
    </row>
    <row r="1079" spans="1:99">
      <c r="A1079" s="19"/>
      <c r="B1079" s="19"/>
      <c r="C1079" s="19"/>
      <c r="D1079" s="19"/>
      <c r="E1079" s="19"/>
      <c r="F1079" s="19"/>
      <c r="G1079" s="19"/>
      <c r="H1079" s="19"/>
      <c r="I1079" s="19"/>
      <c r="J1079" s="19"/>
      <c r="K1079" s="18"/>
      <c r="L1079" s="18"/>
      <c r="M1079" s="18"/>
      <c r="N1079" s="18"/>
      <c r="O1079" s="18"/>
      <c r="P1079" s="18"/>
      <c r="Q1079" s="18"/>
      <c r="R1079" s="18"/>
      <c r="S1079" s="18"/>
      <c r="T1079" s="18"/>
      <c r="U1079" s="18"/>
      <c r="V1079" s="18"/>
      <c r="W1079" s="18"/>
      <c r="X1079" s="18"/>
      <c r="Y1079" s="18"/>
      <c r="Z1079" s="18"/>
      <c r="AA1079" s="18"/>
      <c r="AB1079" s="18"/>
      <c r="AC1079" s="18"/>
      <c r="AD1079" s="18"/>
      <c r="AE1079" s="18"/>
      <c r="AF1079" s="18"/>
      <c r="AG1079" s="18"/>
      <c r="AH1079" s="18"/>
      <c r="AI1079" s="18"/>
      <c r="AJ1079" s="18"/>
      <c r="AK1079" s="18"/>
      <c r="AL1079" s="18"/>
      <c r="AM1079" s="18"/>
      <c r="AN1079" s="18"/>
      <c r="AO1079" s="18"/>
      <c r="AP1079" s="18"/>
      <c r="AQ1079" s="18"/>
      <c r="AR1079" s="18"/>
      <c r="AS1079" s="18"/>
      <c r="AT1079" s="18"/>
      <c r="AU1079" s="18"/>
      <c r="AV1079" s="18"/>
      <c r="AW1079" s="18"/>
      <c r="AX1079" s="18"/>
      <c r="AY1079" s="18"/>
      <c r="AZ1079" s="18"/>
      <c r="BA1079" s="18"/>
      <c r="BB1079" s="18"/>
      <c r="BC1079" s="18"/>
      <c r="BD1079" s="18"/>
      <c r="BE1079" s="18"/>
      <c r="BF1079" s="18"/>
      <c r="BG1079" s="18"/>
      <c r="BH1079" s="18"/>
      <c r="BI1079" s="18"/>
      <c r="BJ1079" s="18"/>
      <c r="BK1079" s="18"/>
      <c r="BL1079" s="18"/>
      <c r="BM1079" s="18"/>
      <c r="BN1079" s="18"/>
      <c r="BO1079" s="18"/>
      <c r="BP1079" s="18"/>
      <c r="BQ1079" s="18"/>
      <c r="BR1079" s="18"/>
      <c r="BS1079" s="18"/>
      <c r="BT1079" s="18"/>
      <c r="BU1079" s="18"/>
      <c r="BV1079" s="18"/>
      <c r="BW1079" s="18"/>
      <c r="BX1079" s="18"/>
      <c r="BY1079" s="18"/>
      <c r="BZ1079" s="18"/>
      <c r="CA1079" s="18"/>
      <c r="CB1079" s="18"/>
      <c r="CC1079" s="18"/>
      <c r="CD1079" s="18"/>
      <c r="CE1079" s="18"/>
      <c r="CF1079" s="18"/>
      <c r="CG1079" s="18"/>
      <c r="CH1079" s="18"/>
      <c r="CI1079" s="18"/>
      <c r="CJ1079" s="18"/>
      <c r="CK1079" s="18"/>
      <c r="CL1079" s="18"/>
      <c r="CM1079" s="18"/>
      <c r="CN1079" s="18"/>
      <c r="CO1079" s="18"/>
      <c r="CP1079" s="18"/>
      <c r="CQ1079" s="18"/>
      <c r="CR1079" s="18"/>
      <c r="CS1079" s="18"/>
      <c r="CT1079" s="18"/>
      <c r="CU1079" s="18"/>
    </row>
    <row r="1080" spans="1:99">
      <c r="A1080" s="19"/>
      <c r="B1080" s="19"/>
      <c r="C1080" s="19"/>
      <c r="D1080" s="19"/>
      <c r="E1080" s="19"/>
      <c r="F1080" s="19"/>
      <c r="G1080" s="19"/>
      <c r="H1080" s="19"/>
      <c r="I1080" s="19"/>
      <c r="J1080" s="19"/>
      <c r="K1080" s="18"/>
      <c r="L1080" s="18"/>
      <c r="M1080" s="18"/>
      <c r="N1080" s="18"/>
      <c r="O1080" s="18"/>
      <c r="P1080" s="18"/>
      <c r="Q1080" s="18"/>
      <c r="R1080" s="18"/>
      <c r="S1080" s="18"/>
      <c r="T1080" s="18"/>
      <c r="U1080" s="18"/>
      <c r="V1080" s="18"/>
      <c r="W1080" s="18"/>
      <c r="X1080" s="18"/>
      <c r="Y1080" s="18"/>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c r="BC1080" s="18"/>
      <c r="BD1080" s="18"/>
      <c r="BE1080" s="18"/>
      <c r="BF1080" s="18"/>
      <c r="BG1080" s="18"/>
      <c r="BH1080" s="18"/>
      <c r="BI1080" s="18"/>
      <c r="BJ1080" s="18"/>
      <c r="BK1080" s="18"/>
      <c r="BL1080" s="18"/>
      <c r="BM1080" s="18"/>
      <c r="BN1080" s="18"/>
      <c r="BO1080" s="18"/>
      <c r="BP1080" s="18"/>
      <c r="BQ1080" s="18"/>
      <c r="BR1080" s="18"/>
      <c r="BS1080" s="18"/>
      <c r="BT1080" s="18"/>
      <c r="BU1080" s="18"/>
      <c r="BV1080" s="18"/>
      <c r="BW1080" s="18"/>
      <c r="BX1080" s="18"/>
      <c r="BY1080" s="18"/>
      <c r="BZ1080" s="18"/>
      <c r="CA1080" s="18"/>
      <c r="CB1080" s="18"/>
      <c r="CC1080" s="18"/>
      <c r="CD1080" s="18"/>
      <c r="CE1080" s="18"/>
      <c r="CF1080" s="18"/>
      <c r="CG1080" s="18"/>
      <c r="CH1080" s="18"/>
      <c r="CI1080" s="18"/>
      <c r="CJ1080" s="18"/>
      <c r="CK1080" s="18"/>
      <c r="CL1080" s="18"/>
      <c r="CM1080" s="18"/>
      <c r="CN1080" s="18"/>
      <c r="CO1080" s="18"/>
      <c r="CP1080" s="18"/>
      <c r="CQ1080" s="18"/>
      <c r="CR1080" s="18"/>
      <c r="CS1080" s="18"/>
      <c r="CT1080" s="18"/>
      <c r="CU1080" s="18"/>
    </row>
    <row r="1081" spans="1:99">
      <c r="A1081" s="19"/>
      <c r="B1081" s="19"/>
      <c r="C1081" s="19"/>
      <c r="D1081" s="19"/>
      <c r="E1081" s="19"/>
      <c r="F1081" s="19"/>
      <c r="G1081" s="19"/>
      <c r="H1081" s="19"/>
      <c r="I1081" s="19"/>
      <c r="J1081" s="19"/>
      <c r="K1081" s="18"/>
      <c r="L1081" s="18"/>
      <c r="M1081" s="18"/>
      <c r="N1081" s="18"/>
      <c r="O1081" s="18"/>
      <c r="P1081" s="18"/>
      <c r="Q1081" s="18"/>
      <c r="R1081" s="18"/>
      <c r="S1081" s="18"/>
      <c r="T1081" s="18"/>
      <c r="U1081" s="18"/>
      <c r="V1081" s="18"/>
      <c r="W1081" s="18"/>
      <c r="X1081" s="18"/>
      <c r="Y1081" s="18"/>
      <c r="Z1081" s="18"/>
      <c r="AA1081" s="18"/>
      <c r="AB1081" s="18"/>
      <c r="AC1081" s="18"/>
      <c r="AD1081" s="18"/>
      <c r="AE1081" s="18"/>
      <c r="AF1081" s="18"/>
      <c r="AG1081" s="18"/>
      <c r="AH1081" s="18"/>
      <c r="AI1081" s="18"/>
      <c r="AJ1081" s="18"/>
      <c r="AK1081" s="18"/>
      <c r="AL1081" s="18"/>
      <c r="AM1081" s="18"/>
      <c r="AN1081" s="18"/>
      <c r="AO1081" s="18"/>
      <c r="AP1081" s="18"/>
      <c r="AQ1081" s="18"/>
      <c r="AR1081" s="18"/>
      <c r="AS1081" s="18"/>
      <c r="AT1081" s="18"/>
      <c r="AU1081" s="18"/>
      <c r="AV1081" s="18"/>
      <c r="AW1081" s="18"/>
      <c r="AX1081" s="18"/>
      <c r="AY1081" s="18"/>
      <c r="AZ1081" s="18"/>
      <c r="BA1081" s="18"/>
      <c r="BB1081" s="18"/>
      <c r="BC1081" s="18"/>
      <c r="BD1081" s="18"/>
      <c r="BE1081" s="18"/>
      <c r="BF1081" s="18"/>
      <c r="BG1081" s="18"/>
      <c r="BH1081" s="18"/>
      <c r="BI1081" s="18"/>
      <c r="BJ1081" s="18"/>
      <c r="BK1081" s="18"/>
      <c r="BL1081" s="18"/>
      <c r="BM1081" s="18"/>
      <c r="BN1081" s="18"/>
      <c r="BO1081" s="18"/>
      <c r="BP1081" s="18"/>
      <c r="BQ1081" s="18"/>
      <c r="BR1081" s="18"/>
      <c r="BS1081" s="18"/>
      <c r="BT1081" s="18"/>
      <c r="BU1081" s="18"/>
      <c r="BV1081" s="18"/>
      <c r="BW1081" s="18"/>
      <c r="BX1081" s="18"/>
      <c r="BY1081" s="18"/>
      <c r="BZ1081" s="18"/>
      <c r="CA1081" s="18"/>
      <c r="CB1081" s="18"/>
      <c r="CC1081" s="18"/>
      <c r="CD1081" s="18"/>
      <c r="CE1081" s="18"/>
      <c r="CF1081" s="18"/>
      <c r="CG1081" s="18"/>
      <c r="CH1081" s="18"/>
      <c r="CI1081" s="18"/>
      <c r="CJ1081" s="18"/>
      <c r="CK1081" s="18"/>
      <c r="CL1081" s="18"/>
      <c r="CM1081" s="18"/>
      <c r="CN1081" s="18"/>
      <c r="CO1081" s="18"/>
      <c r="CP1081" s="18"/>
      <c r="CQ1081" s="18"/>
      <c r="CR1081" s="18"/>
      <c r="CS1081" s="18"/>
      <c r="CT1081" s="18"/>
      <c r="CU1081" s="18"/>
    </row>
    <row r="1082" spans="1:99">
      <c r="A1082" s="19"/>
      <c r="B1082" s="19"/>
      <c r="C1082" s="19"/>
      <c r="D1082" s="19"/>
      <c r="E1082" s="19"/>
      <c r="F1082" s="19"/>
      <c r="G1082" s="19"/>
      <c r="H1082" s="19"/>
      <c r="I1082" s="19"/>
      <c r="J1082" s="19"/>
      <c r="K1082" s="18"/>
      <c r="L1082" s="18"/>
      <c r="M1082" s="18"/>
      <c r="N1082" s="18"/>
      <c r="O1082" s="18"/>
      <c r="P1082" s="18"/>
      <c r="Q1082" s="18"/>
      <c r="R1082" s="18"/>
      <c r="S1082" s="18"/>
      <c r="T1082" s="18"/>
      <c r="U1082" s="18"/>
      <c r="V1082" s="18"/>
      <c r="W1082" s="18"/>
      <c r="X1082" s="18"/>
      <c r="Y1082" s="18"/>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c r="BC1082" s="18"/>
      <c r="BD1082" s="18"/>
      <c r="BE1082" s="18"/>
      <c r="BF1082" s="18"/>
      <c r="BG1082" s="18"/>
      <c r="BH1082" s="18"/>
      <c r="BI1082" s="18"/>
      <c r="BJ1082" s="18"/>
      <c r="BK1082" s="18"/>
      <c r="BL1082" s="18"/>
      <c r="BM1082" s="18"/>
      <c r="BN1082" s="18"/>
      <c r="BO1082" s="18"/>
      <c r="BP1082" s="18"/>
      <c r="BQ1082" s="18"/>
      <c r="BR1082" s="18"/>
      <c r="BS1082" s="18"/>
      <c r="BT1082" s="18"/>
      <c r="BU1082" s="18"/>
      <c r="BV1082" s="18"/>
      <c r="BW1082" s="18"/>
      <c r="BX1082" s="18"/>
      <c r="BY1082" s="18"/>
      <c r="BZ1082" s="18"/>
      <c r="CA1082" s="18"/>
      <c r="CB1082" s="18"/>
      <c r="CC1082" s="18"/>
      <c r="CD1082" s="18"/>
      <c r="CE1082" s="18"/>
      <c r="CF1082" s="18"/>
      <c r="CG1082" s="18"/>
      <c r="CH1082" s="18"/>
      <c r="CI1082" s="18"/>
      <c r="CJ1082" s="18"/>
      <c r="CK1082" s="18"/>
      <c r="CL1082" s="18"/>
      <c r="CM1082" s="18"/>
      <c r="CN1082" s="18"/>
      <c r="CO1082" s="18"/>
      <c r="CP1082" s="18"/>
      <c r="CQ1082" s="18"/>
      <c r="CR1082" s="18"/>
      <c r="CS1082" s="18"/>
      <c r="CT1082" s="18"/>
      <c r="CU1082" s="18"/>
    </row>
    <row r="1083" spans="1:99">
      <c r="A1083" s="19"/>
      <c r="B1083" s="19"/>
      <c r="C1083" s="19"/>
      <c r="D1083" s="19"/>
      <c r="E1083" s="19"/>
      <c r="F1083" s="19"/>
      <c r="G1083" s="19"/>
      <c r="H1083" s="19"/>
      <c r="I1083" s="19"/>
      <c r="J1083" s="19"/>
      <c r="K1083" s="18"/>
      <c r="L1083" s="18"/>
      <c r="M1083" s="18"/>
      <c r="N1083" s="18"/>
      <c r="O1083" s="18"/>
      <c r="P1083" s="18"/>
      <c r="Q1083" s="18"/>
      <c r="R1083" s="18"/>
      <c r="S1083" s="18"/>
      <c r="T1083" s="18"/>
      <c r="U1083" s="18"/>
      <c r="V1083" s="18"/>
      <c r="W1083" s="18"/>
      <c r="X1083" s="18"/>
      <c r="Y1083" s="18"/>
      <c r="Z1083" s="18"/>
      <c r="AA1083" s="18"/>
      <c r="AB1083" s="18"/>
      <c r="AC1083" s="18"/>
      <c r="AD1083" s="18"/>
      <c r="AE1083" s="18"/>
      <c r="AF1083" s="18"/>
      <c r="AG1083" s="18"/>
      <c r="AH1083" s="18"/>
      <c r="AI1083" s="18"/>
      <c r="AJ1083" s="18"/>
      <c r="AK1083" s="18"/>
      <c r="AL1083" s="18"/>
      <c r="AM1083" s="18"/>
      <c r="AN1083" s="18"/>
      <c r="AO1083" s="18"/>
      <c r="AP1083" s="18"/>
      <c r="AQ1083" s="18"/>
      <c r="AR1083" s="18"/>
      <c r="AS1083" s="18"/>
      <c r="AT1083" s="18"/>
      <c r="AU1083" s="18"/>
      <c r="AV1083" s="18"/>
      <c r="AW1083" s="18"/>
      <c r="AX1083" s="18"/>
      <c r="AY1083" s="18"/>
      <c r="AZ1083" s="18"/>
      <c r="BA1083" s="18"/>
      <c r="BB1083" s="18"/>
      <c r="BC1083" s="18"/>
      <c r="BD1083" s="18"/>
      <c r="BE1083" s="18"/>
      <c r="BF1083" s="18"/>
      <c r="BG1083" s="18"/>
      <c r="BH1083" s="18"/>
      <c r="BI1083" s="18"/>
      <c r="BJ1083" s="18"/>
      <c r="BK1083" s="18"/>
      <c r="BL1083" s="18"/>
      <c r="BM1083" s="18"/>
      <c r="BN1083" s="18"/>
      <c r="BO1083" s="18"/>
      <c r="BP1083" s="18"/>
      <c r="BQ1083" s="18"/>
      <c r="BR1083" s="18"/>
      <c r="BS1083" s="18"/>
      <c r="BT1083" s="18"/>
      <c r="BU1083" s="18"/>
      <c r="BV1083" s="18"/>
      <c r="BW1083" s="18"/>
      <c r="BX1083" s="18"/>
      <c r="BY1083" s="18"/>
      <c r="BZ1083" s="18"/>
      <c r="CA1083" s="18"/>
      <c r="CB1083" s="18"/>
      <c r="CC1083" s="18"/>
      <c r="CD1083" s="18"/>
      <c r="CE1083" s="18"/>
      <c r="CF1083" s="18"/>
      <c r="CG1083" s="18"/>
      <c r="CH1083" s="18"/>
      <c r="CI1083" s="18"/>
      <c r="CJ1083" s="18"/>
      <c r="CK1083" s="18"/>
      <c r="CL1083" s="18"/>
      <c r="CM1083" s="18"/>
      <c r="CN1083" s="18"/>
      <c r="CO1083" s="18"/>
      <c r="CP1083" s="18"/>
      <c r="CQ1083" s="18"/>
      <c r="CR1083" s="18"/>
      <c r="CS1083" s="18"/>
      <c r="CT1083" s="18"/>
      <c r="CU1083" s="18"/>
    </row>
    <row r="1084" spans="1:99">
      <c r="A1084" s="19"/>
      <c r="B1084" s="19"/>
      <c r="C1084" s="19"/>
      <c r="D1084" s="19"/>
      <c r="E1084" s="19"/>
      <c r="F1084" s="19"/>
      <c r="G1084" s="19"/>
      <c r="H1084" s="19"/>
      <c r="I1084" s="19"/>
      <c r="J1084" s="19"/>
      <c r="K1084" s="18"/>
      <c r="L1084" s="18"/>
      <c r="M1084" s="18"/>
      <c r="N1084" s="18"/>
      <c r="O1084" s="18"/>
      <c r="P1084" s="18"/>
      <c r="Q1084" s="18"/>
      <c r="R1084" s="18"/>
      <c r="S1084" s="18"/>
      <c r="T1084" s="18"/>
      <c r="U1084" s="18"/>
      <c r="V1084" s="18"/>
      <c r="W1084" s="18"/>
      <c r="X1084" s="18"/>
      <c r="Y1084" s="18"/>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c r="BC1084" s="18"/>
      <c r="BD1084" s="18"/>
      <c r="BE1084" s="18"/>
      <c r="BF1084" s="18"/>
      <c r="BG1084" s="18"/>
      <c r="BH1084" s="18"/>
      <c r="BI1084" s="18"/>
      <c r="BJ1084" s="18"/>
      <c r="BK1084" s="18"/>
      <c r="BL1084" s="18"/>
      <c r="BM1084" s="18"/>
      <c r="BN1084" s="18"/>
      <c r="BO1084" s="18"/>
      <c r="BP1084" s="18"/>
      <c r="BQ1084" s="18"/>
      <c r="BR1084" s="18"/>
      <c r="BS1084" s="18"/>
      <c r="BT1084" s="18"/>
      <c r="BU1084" s="18"/>
      <c r="BV1084" s="18"/>
      <c r="BW1084" s="18"/>
      <c r="BX1084" s="18"/>
      <c r="BY1084" s="18"/>
      <c r="BZ1084" s="18"/>
      <c r="CA1084" s="18"/>
      <c r="CB1084" s="18"/>
      <c r="CC1084" s="18"/>
      <c r="CD1084" s="18"/>
      <c r="CE1084" s="18"/>
      <c r="CF1084" s="18"/>
      <c r="CG1084" s="18"/>
      <c r="CH1084" s="18"/>
      <c r="CI1084" s="18"/>
      <c r="CJ1084" s="18"/>
      <c r="CK1084" s="18"/>
      <c r="CL1084" s="18"/>
      <c r="CM1084" s="18"/>
      <c r="CN1084" s="18"/>
      <c r="CO1084" s="18"/>
      <c r="CP1084" s="18"/>
      <c r="CQ1084" s="18"/>
      <c r="CR1084" s="18"/>
      <c r="CS1084" s="18"/>
      <c r="CT1084" s="18"/>
      <c r="CU1084" s="18"/>
    </row>
    <row r="1085" spans="1:99">
      <c r="A1085" s="19"/>
      <c r="B1085" s="19"/>
      <c r="C1085" s="19"/>
      <c r="D1085" s="19"/>
      <c r="E1085" s="19"/>
      <c r="F1085" s="19"/>
      <c r="G1085" s="19"/>
      <c r="H1085" s="19"/>
      <c r="I1085" s="19"/>
      <c r="J1085" s="19"/>
      <c r="K1085" s="18"/>
      <c r="L1085" s="18"/>
      <c r="M1085" s="18"/>
      <c r="N1085" s="18"/>
      <c r="O1085" s="18"/>
      <c r="P1085" s="18"/>
      <c r="Q1085" s="18"/>
      <c r="R1085" s="18"/>
      <c r="S1085" s="18"/>
      <c r="T1085" s="18"/>
      <c r="U1085" s="18"/>
      <c r="V1085" s="18"/>
      <c r="W1085" s="18"/>
      <c r="X1085" s="18"/>
      <c r="Y1085" s="18"/>
      <c r="Z1085" s="18"/>
      <c r="AA1085" s="18"/>
      <c r="AB1085" s="18"/>
      <c r="AC1085" s="18"/>
      <c r="AD1085" s="18"/>
      <c r="AE1085" s="18"/>
      <c r="AF1085" s="18"/>
      <c r="AG1085" s="18"/>
      <c r="AH1085" s="18"/>
      <c r="AI1085" s="18"/>
      <c r="AJ1085" s="18"/>
      <c r="AK1085" s="18"/>
      <c r="AL1085" s="18"/>
      <c r="AM1085" s="18"/>
      <c r="AN1085" s="18"/>
      <c r="AO1085" s="18"/>
      <c r="AP1085" s="18"/>
      <c r="AQ1085" s="18"/>
      <c r="AR1085" s="18"/>
      <c r="AS1085" s="18"/>
      <c r="AT1085" s="18"/>
      <c r="AU1085" s="18"/>
      <c r="AV1085" s="18"/>
      <c r="AW1085" s="18"/>
      <c r="AX1085" s="18"/>
      <c r="AY1085" s="18"/>
      <c r="AZ1085" s="18"/>
      <c r="BA1085" s="18"/>
      <c r="BB1085" s="18"/>
      <c r="BC1085" s="18"/>
      <c r="BD1085" s="18"/>
      <c r="BE1085" s="18"/>
      <c r="BF1085" s="18"/>
      <c r="BG1085" s="18"/>
      <c r="BH1085" s="18"/>
      <c r="BI1085" s="18"/>
      <c r="BJ1085" s="18"/>
      <c r="BK1085" s="18"/>
      <c r="BL1085" s="18"/>
      <c r="BM1085" s="18"/>
      <c r="BN1085" s="18"/>
      <c r="BO1085" s="18"/>
      <c r="BP1085" s="18"/>
      <c r="BQ1085" s="18"/>
      <c r="BR1085" s="18"/>
      <c r="BS1085" s="18"/>
      <c r="BT1085" s="18"/>
      <c r="BU1085" s="18"/>
      <c r="BV1085" s="18"/>
      <c r="BW1085" s="18"/>
      <c r="BX1085" s="18"/>
      <c r="BY1085" s="18"/>
      <c r="BZ1085" s="18"/>
      <c r="CA1085" s="18"/>
      <c r="CB1085" s="18"/>
      <c r="CC1085" s="18"/>
      <c r="CD1085" s="18"/>
      <c r="CE1085" s="18"/>
      <c r="CF1085" s="18"/>
      <c r="CG1085" s="18"/>
      <c r="CH1085" s="18"/>
      <c r="CI1085" s="18"/>
      <c r="CJ1085" s="18"/>
      <c r="CK1085" s="18"/>
      <c r="CL1085" s="18"/>
      <c r="CM1085" s="18"/>
      <c r="CN1085" s="18"/>
      <c r="CO1085" s="18"/>
      <c r="CP1085" s="18"/>
      <c r="CQ1085" s="18"/>
      <c r="CR1085" s="18"/>
      <c r="CS1085" s="18"/>
      <c r="CT1085" s="18"/>
      <c r="CU1085" s="18"/>
    </row>
    <row r="1086" spans="1:99">
      <c r="A1086" s="19"/>
      <c r="B1086" s="19"/>
      <c r="C1086" s="19"/>
      <c r="D1086" s="19"/>
      <c r="E1086" s="19"/>
      <c r="F1086" s="19"/>
      <c r="G1086" s="19"/>
      <c r="H1086" s="19"/>
      <c r="I1086" s="19"/>
      <c r="J1086" s="19"/>
      <c r="K1086" s="18"/>
      <c r="L1086" s="18"/>
      <c r="M1086" s="18"/>
      <c r="N1086" s="18"/>
      <c r="O1086" s="18"/>
      <c r="P1086" s="18"/>
      <c r="Q1086" s="18"/>
      <c r="R1086" s="18"/>
      <c r="S1086" s="18"/>
      <c r="T1086" s="18"/>
      <c r="U1086" s="18"/>
      <c r="V1086" s="18"/>
      <c r="W1086" s="18"/>
      <c r="X1086" s="18"/>
      <c r="Y1086" s="18"/>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c r="BC1086" s="18"/>
      <c r="BD1086" s="18"/>
      <c r="BE1086" s="18"/>
      <c r="BF1086" s="18"/>
      <c r="BG1086" s="18"/>
      <c r="BH1086" s="18"/>
      <c r="BI1086" s="18"/>
      <c r="BJ1086" s="18"/>
      <c r="BK1086" s="18"/>
      <c r="BL1086" s="18"/>
      <c r="BM1086" s="18"/>
      <c r="BN1086" s="18"/>
      <c r="BO1086" s="18"/>
      <c r="BP1086" s="18"/>
      <c r="BQ1086" s="18"/>
      <c r="BR1086" s="18"/>
      <c r="BS1086" s="18"/>
      <c r="BT1086" s="18"/>
      <c r="BU1086" s="18"/>
      <c r="BV1086" s="18"/>
      <c r="BW1086" s="18"/>
      <c r="BX1086" s="18"/>
      <c r="BY1086" s="18"/>
      <c r="BZ1086" s="18"/>
      <c r="CA1086" s="18"/>
      <c r="CB1086" s="18"/>
      <c r="CC1086" s="18"/>
      <c r="CD1086" s="18"/>
      <c r="CE1086" s="18"/>
      <c r="CF1086" s="18"/>
      <c r="CG1086" s="18"/>
      <c r="CH1086" s="18"/>
      <c r="CI1086" s="18"/>
      <c r="CJ1086" s="18"/>
      <c r="CK1086" s="18"/>
      <c r="CL1086" s="18"/>
      <c r="CM1086" s="18"/>
      <c r="CN1086" s="18"/>
      <c r="CO1086" s="18"/>
      <c r="CP1086" s="18"/>
      <c r="CQ1086" s="18"/>
      <c r="CR1086" s="18"/>
      <c r="CS1086" s="18"/>
      <c r="CT1086" s="18"/>
      <c r="CU1086" s="18"/>
    </row>
    <row r="1087" spans="1:99">
      <c r="A1087" s="19"/>
      <c r="B1087" s="19"/>
      <c r="C1087" s="19"/>
      <c r="D1087" s="19"/>
      <c r="E1087" s="19"/>
      <c r="F1087" s="19"/>
      <c r="G1087" s="19"/>
      <c r="H1087" s="19"/>
      <c r="I1087" s="19"/>
      <c r="J1087" s="19"/>
      <c r="K1087" s="18"/>
      <c r="L1087" s="18"/>
      <c r="M1087" s="18"/>
      <c r="N1087" s="18"/>
      <c r="O1087" s="18"/>
      <c r="P1087" s="18"/>
      <c r="Q1087" s="18"/>
      <c r="R1087" s="18"/>
      <c r="S1087" s="18"/>
      <c r="T1087" s="18"/>
      <c r="U1087" s="18"/>
      <c r="V1087" s="18"/>
      <c r="W1087" s="18"/>
      <c r="X1087" s="18"/>
      <c r="Y1087" s="18"/>
      <c r="Z1087" s="18"/>
      <c r="AA1087" s="18"/>
      <c r="AB1087" s="18"/>
      <c r="AC1087" s="18"/>
      <c r="AD1087" s="18"/>
      <c r="AE1087" s="18"/>
      <c r="AF1087" s="18"/>
      <c r="AG1087" s="18"/>
      <c r="AH1087" s="18"/>
      <c r="AI1087" s="18"/>
      <c r="AJ1087" s="18"/>
      <c r="AK1087" s="18"/>
      <c r="AL1087" s="18"/>
      <c r="AM1087" s="18"/>
      <c r="AN1087" s="18"/>
      <c r="AO1087" s="18"/>
      <c r="AP1087" s="18"/>
      <c r="AQ1087" s="18"/>
      <c r="AR1087" s="18"/>
      <c r="AS1087" s="18"/>
      <c r="AT1087" s="18"/>
      <c r="AU1087" s="18"/>
      <c r="AV1087" s="18"/>
      <c r="AW1087" s="18"/>
      <c r="AX1087" s="18"/>
      <c r="AY1087" s="18"/>
      <c r="AZ1087" s="18"/>
      <c r="BA1087" s="18"/>
      <c r="BB1087" s="18"/>
      <c r="BC1087" s="18"/>
      <c r="BD1087" s="18"/>
      <c r="BE1087" s="18"/>
      <c r="BF1087" s="18"/>
      <c r="BG1087" s="18"/>
      <c r="BH1087" s="18"/>
      <c r="BI1087" s="18"/>
      <c r="BJ1087" s="18"/>
      <c r="BK1087" s="18"/>
      <c r="BL1087" s="18"/>
      <c r="BM1087" s="18"/>
      <c r="BN1087" s="18"/>
      <c r="BO1087" s="18"/>
      <c r="BP1087" s="18"/>
      <c r="BQ1087" s="18"/>
      <c r="BR1087" s="18"/>
      <c r="BS1087" s="18"/>
      <c r="BT1087" s="18"/>
      <c r="BU1087" s="18"/>
      <c r="BV1087" s="18"/>
      <c r="BW1087" s="18"/>
      <c r="BX1087" s="18"/>
      <c r="BY1087" s="18"/>
      <c r="BZ1087" s="18"/>
      <c r="CA1087" s="18"/>
      <c r="CB1087" s="18"/>
      <c r="CC1087" s="18"/>
      <c r="CD1087" s="18"/>
      <c r="CE1087" s="18"/>
      <c r="CF1087" s="18"/>
      <c r="CG1087" s="18"/>
      <c r="CH1087" s="18"/>
      <c r="CI1087" s="18"/>
      <c r="CJ1087" s="18"/>
      <c r="CK1087" s="18"/>
      <c r="CL1087" s="18"/>
      <c r="CM1087" s="18"/>
      <c r="CN1087" s="18"/>
      <c r="CO1087" s="18"/>
      <c r="CP1087" s="18"/>
      <c r="CQ1087" s="18"/>
      <c r="CR1087" s="18"/>
      <c r="CS1087" s="18"/>
      <c r="CT1087" s="18"/>
      <c r="CU1087" s="18"/>
    </row>
    <row r="1088" spans="1:99">
      <c r="A1088" s="19"/>
      <c r="B1088" s="19"/>
      <c r="C1088" s="19"/>
      <c r="D1088" s="19"/>
      <c r="E1088" s="19"/>
      <c r="F1088" s="19"/>
      <c r="G1088" s="19"/>
      <c r="H1088" s="19"/>
      <c r="I1088" s="19"/>
      <c r="J1088" s="19"/>
      <c r="K1088" s="18"/>
      <c r="L1088" s="18"/>
      <c r="M1088" s="18"/>
      <c r="N1088" s="18"/>
      <c r="O1088" s="18"/>
      <c r="P1088" s="18"/>
      <c r="Q1088" s="18"/>
      <c r="R1088" s="18"/>
      <c r="S1088" s="18"/>
      <c r="T1088" s="18"/>
      <c r="U1088" s="18"/>
      <c r="V1088" s="18"/>
      <c r="W1088" s="18"/>
      <c r="X1088" s="18"/>
      <c r="Y1088" s="18"/>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c r="BC1088" s="18"/>
      <c r="BD1088" s="18"/>
      <c r="BE1088" s="18"/>
      <c r="BF1088" s="18"/>
      <c r="BG1088" s="18"/>
      <c r="BH1088" s="18"/>
      <c r="BI1088" s="18"/>
      <c r="BJ1088" s="18"/>
      <c r="BK1088" s="18"/>
      <c r="BL1088" s="18"/>
      <c r="BM1088" s="18"/>
      <c r="BN1088" s="18"/>
      <c r="BO1088" s="18"/>
      <c r="BP1088" s="18"/>
      <c r="BQ1088" s="18"/>
      <c r="BR1088" s="18"/>
      <c r="BS1088" s="18"/>
      <c r="BT1088" s="18"/>
      <c r="BU1088" s="18"/>
      <c r="BV1088" s="18"/>
      <c r="BW1088" s="18"/>
      <c r="BX1088" s="18"/>
      <c r="BY1088" s="18"/>
      <c r="BZ1088" s="18"/>
      <c r="CA1088" s="18"/>
      <c r="CB1088" s="18"/>
      <c r="CC1088" s="18"/>
      <c r="CD1088" s="18"/>
      <c r="CE1088" s="18"/>
      <c r="CF1088" s="18"/>
      <c r="CG1088" s="18"/>
      <c r="CH1088" s="18"/>
      <c r="CI1088" s="18"/>
      <c r="CJ1088" s="18"/>
      <c r="CK1088" s="18"/>
      <c r="CL1088" s="18"/>
      <c r="CM1088" s="18"/>
      <c r="CN1088" s="18"/>
      <c r="CO1088" s="18"/>
      <c r="CP1088" s="18"/>
      <c r="CQ1088" s="18"/>
      <c r="CR1088" s="18"/>
      <c r="CS1088" s="18"/>
      <c r="CT1088" s="18"/>
      <c r="CU1088" s="18"/>
    </row>
    <row r="1089" spans="1:99">
      <c r="A1089" s="19"/>
      <c r="B1089" s="19"/>
      <c r="C1089" s="19"/>
      <c r="D1089" s="19"/>
      <c r="E1089" s="19"/>
      <c r="F1089" s="19"/>
      <c r="G1089" s="19"/>
      <c r="H1089" s="19"/>
      <c r="I1089" s="19"/>
      <c r="J1089" s="19"/>
      <c r="K1089" s="18"/>
      <c r="L1089" s="18"/>
      <c r="M1089" s="18"/>
      <c r="N1089" s="18"/>
      <c r="O1089" s="18"/>
      <c r="P1089" s="18"/>
      <c r="Q1089" s="18"/>
      <c r="R1089" s="18"/>
      <c r="S1089" s="18"/>
      <c r="T1089" s="18"/>
      <c r="U1089" s="18"/>
      <c r="V1089" s="18"/>
      <c r="W1089" s="18"/>
      <c r="X1089" s="18"/>
      <c r="Y1089" s="18"/>
      <c r="Z1089" s="18"/>
      <c r="AA1089" s="18"/>
      <c r="AB1089" s="18"/>
      <c r="AC1089" s="18"/>
      <c r="AD1089" s="18"/>
      <c r="AE1089" s="18"/>
      <c r="AF1089" s="18"/>
      <c r="AG1089" s="18"/>
      <c r="AH1089" s="18"/>
      <c r="AI1089" s="18"/>
      <c r="AJ1089" s="18"/>
      <c r="AK1089" s="18"/>
      <c r="AL1089" s="18"/>
      <c r="AM1089" s="18"/>
      <c r="AN1089" s="18"/>
      <c r="AO1089" s="18"/>
      <c r="AP1089" s="18"/>
      <c r="AQ1089" s="18"/>
      <c r="AR1089" s="18"/>
      <c r="AS1089" s="18"/>
      <c r="AT1089" s="18"/>
      <c r="AU1089" s="18"/>
      <c r="AV1089" s="18"/>
      <c r="AW1089" s="18"/>
      <c r="AX1089" s="18"/>
      <c r="AY1089" s="18"/>
      <c r="AZ1089" s="18"/>
      <c r="BA1089" s="18"/>
      <c r="BB1089" s="18"/>
      <c r="BC1089" s="18"/>
      <c r="BD1089" s="18"/>
      <c r="BE1089" s="18"/>
      <c r="BF1089" s="18"/>
      <c r="BG1089" s="18"/>
      <c r="BH1089" s="18"/>
      <c r="BI1089" s="18"/>
      <c r="BJ1089" s="18"/>
      <c r="BK1089" s="18"/>
      <c r="BL1089" s="18"/>
      <c r="BM1089" s="18"/>
      <c r="BN1089" s="18"/>
      <c r="BO1089" s="18"/>
      <c r="BP1089" s="18"/>
      <c r="BQ1089" s="18"/>
      <c r="BR1089" s="18"/>
      <c r="BS1089" s="18"/>
      <c r="BT1089" s="18"/>
      <c r="BU1089" s="18"/>
      <c r="BV1089" s="18"/>
      <c r="BW1089" s="18"/>
      <c r="BX1089" s="18"/>
      <c r="BY1089" s="18"/>
      <c r="BZ1089" s="18"/>
      <c r="CA1089" s="18"/>
      <c r="CB1089" s="18"/>
      <c r="CC1089" s="18"/>
      <c r="CD1089" s="18"/>
      <c r="CE1089" s="18"/>
      <c r="CF1089" s="18"/>
      <c r="CG1089" s="18"/>
      <c r="CH1089" s="18"/>
      <c r="CI1089" s="18"/>
      <c r="CJ1089" s="18"/>
      <c r="CK1089" s="18"/>
      <c r="CL1089" s="18"/>
      <c r="CM1089" s="18"/>
      <c r="CN1089" s="18"/>
      <c r="CO1089" s="18"/>
      <c r="CP1089" s="18"/>
      <c r="CQ1089" s="18"/>
      <c r="CR1089" s="18"/>
      <c r="CS1089" s="18"/>
      <c r="CT1089" s="18"/>
      <c r="CU1089" s="18"/>
    </row>
    <row r="1090" spans="1:99">
      <c r="A1090" s="19"/>
      <c r="B1090" s="19"/>
      <c r="C1090" s="19"/>
      <c r="D1090" s="19"/>
      <c r="E1090" s="19"/>
      <c r="F1090" s="19"/>
      <c r="G1090" s="19"/>
      <c r="H1090" s="19"/>
      <c r="I1090" s="19"/>
      <c r="J1090" s="19"/>
      <c r="K1090" s="18"/>
      <c r="L1090" s="18"/>
      <c r="M1090" s="18"/>
      <c r="N1090" s="18"/>
      <c r="O1090" s="18"/>
      <c r="P1090" s="18"/>
      <c r="Q1090" s="18"/>
      <c r="R1090" s="18"/>
      <c r="S1090" s="18"/>
      <c r="T1090" s="18"/>
      <c r="U1090" s="18"/>
      <c r="V1090" s="18"/>
      <c r="W1090" s="18"/>
      <c r="X1090" s="18"/>
      <c r="Y1090" s="18"/>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c r="BC1090" s="18"/>
      <c r="BD1090" s="18"/>
      <c r="BE1090" s="18"/>
      <c r="BF1090" s="18"/>
      <c r="BG1090" s="18"/>
      <c r="BH1090" s="18"/>
      <c r="BI1090" s="18"/>
      <c r="BJ1090" s="18"/>
      <c r="BK1090" s="18"/>
      <c r="BL1090" s="18"/>
      <c r="BM1090" s="18"/>
      <c r="BN1090" s="18"/>
      <c r="BO1090" s="18"/>
      <c r="BP1090" s="18"/>
      <c r="BQ1090" s="18"/>
      <c r="BR1090" s="18"/>
      <c r="BS1090" s="18"/>
      <c r="BT1090" s="18"/>
      <c r="BU1090" s="18"/>
      <c r="BV1090" s="18"/>
      <c r="BW1090" s="18"/>
      <c r="BX1090" s="18"/>
      <c r="BY1090" s="18"/>
      <c r="BZ1090" s="18"/>
      <c r="CA1090" s="18"/>
      <c r="CB1090" s="18"/>
      <c r="CC1090" s="18"/>
      <c r="CD1090" s="18"/>
      <c r="CE1090" s="18"/>
      <c r="CF1090" s="18"/>
      <c r="CG1090" s="18"/>
      <c r="CH1090" s="18"/>
      <c r="CI1090" s="18"/>
      <c r="CJ1090" s="18"/>
      <c r="CK1090" s="18"/>
      <c r="CL1090" s="18"/>
      <c r="CM1090" s="18"/>
      <c r="CN1090" s="18"/>
      <c r="CO1090" s="18"/>
      <c r="CP1090" s="18"/>
      <c r="CQ1090" s="18"/>
      <c r="CR1090" s="18"/>
      <c r="CS1090" s="18"/>
      <c r="CT1090" s="18"/>
      <c r="CU1090" s="18"/>
    </row>
    <row r="1091" spans="1:99">
      <c r="A1091" s="19"/>
      <c r="B1091" s="19"/>
      <c r="C1091" s="19"/>
      <c r="D1091" s="19"/>
      <c r="E1091" s="19"/>
      <c r="F1091" s="19"/>
      <c r="G1091" s="19"/>
      <c r="H1091" s="19"/>
      <c r="I1091" s="19"/>
      <c r="J1091" s="19"/>
      <c r="K1091" s="18"/>
      <c r="L1091" s="18"/>
      <c r="M1091" s="18"/>
      <c r="N1091" s="18"/>
      <c r="O1091" s="18"/>
      <c r="P1091" s="18"/>
      <c r="Q1091" s="18"/>
      <c r="R1091" s="18"/>
      <c r="S1091" s="18"/>
      <c r="T1091" s="18"/>
      <c r="U1091" s="18"/>
      <c r="V1091" s="18"/>
      <c r="W1091" s="18"/>
      <c r="X1091" s="18"/>
      <c r="Y1091" s="18"/>
      <c r="Z1091" s="18"/>
      <c r="AA1091" s="18"/>
      <c r="AB1091" s="18"/>
      <c r="AC1091" s="18"/>
      <c r="AD1091" s="18"/>
      <c r="AE1091" s="18"/>
      <c r="AF1091" s="18"/>
      <c r="AG1091" s="18"/>
      <c r="AH1091" s="18"/>
      <c r="AI1091" s="18"/>
      <c r="AJ1091" s="18"/>
      <c r="AK1091" s="18"/>
      <c r="AL1091" s="18"/>
      <c r="AM1091" s="18"/>
      <c r="AN1091" s="18"/>
      <c r="AO1091" s="18"/>
      <c r="AP1091" s="18"/>
      <c r="AQ1091" s="18"/>
      <c r="AR1091" s="18"/>
      <c r="AS1091" s="18"/>
      <c r="AT1091" s="18"/>
      <c r="AU1091" s="18"/>
      <c r="AV1091" s="18"/>
      <c r="AW1091" s="18"/>
      <c r="AX1091" s="18"/>
      <c r="AY1091" s="18"/>
      <c r="AZ1091" s="18"/>
      <c r="BA1091" s="18"/>
      <c r="BB1091" s="18"/>
      <c r="BC1091" s="18"/>
      <c r="BD1091" s="18"/>
      <c r="BE1091" s="18"/>
      <c r="BF1091" s="18"/>
      <c r="BG1091" s="18"/>
      <c r="BH1091" s="18"/>
      <c r="BI1091" s="18"/>
      <c r="BJ1091" s="18"/>
      <c r="BK1091" s="18"/>
      <c r="BL1091" s="18"/>
      <c r="BM1091" s="18"/>
      <c r="BN1091" s="18"/>
      <c r="BO1091" s="18"/>
      <c r="BP1091" s="18"/>
      <c r="BQ1091" s="18"/>
      <c r="BR1091" s="18"/>
      <c r="BS1091" s="18"/>
      <c r="BT1091" s="18"/>
      <c r="BU1091" s="18"/>
      <c r="BV1091" s="18"/>
      <c r="BW1091" s="18"/>
      <c r="BX1091" s="18"/>
      <c r="BY1091" s="18"/>
      <c r="BZ1091" s="18"/>
      <c r="CA1091" s="18"/>
      <c r="CB1091" s="18"/>
      <c r="CC1091" s="18"/>
      <c r="CD1091" s="18"/>
      <c r="CE1091" s="18"/>
      <c r="CF1091" s="18"/>
      <c r="CG1091" s="18"/>
      <c r="CH1091" s="18"/>
      <c r="CI1091" s="18"/>
      <c r="CJ1091" s="18"/>
      <c r="CK1091" s="18"/>
      <c r="CL1091" s="18"/>
      <c r="CM1091" s="18"/>
      <c r="CN1091" s="18"/>
      <c r="CO1091" s="18"/>
      <c r="CP1091" s="18"/>
      <c r="CQ1091" s="18"/>
      <c r="CR1091" s="18"/>
      <c r="CS1091" s="18"/>
      <c r="CT1091" s="18"/>
      <c r="CU1091" s="18"/>
    </row>
    <row r="1092" spans="1:99">
      <c r="A1092" s="19"/>
      <c r="B1092" s="19"/>
      <c r="C1092" s="19"/>
      <c r="D1092" s="19"/>
      <c r="E1092" s="19"/>
      <c r="F1092" s="19"/>
      <c r="G1092" s="19"/>
      <c r="H1092" s="19"/>
      <c r="I1092" s="19"/>
      <c r="J1092" s="19"/>
      <c r="K1092" s="18"/>
      <c r="L1092" s="18"/>
      <c r="M1092" s="18"/>
      <c r="N1092" s="18"/>
      <c r="O1092" s="18"/>
      <c r="P1092" s="18"/>
      <c r="Q1092" s="18"/>
      <c r="R1092" s="18"/>
      <c r="S1092" s="18"/>
      <c r="T1092" s="18"/>
      <c r="U1092" s="18"/>
      <c r="V1092" s="18"/>
      <c r="W1092" s="18"/>
      <c r="X1092" s="18"/>
      <c r="Y1092" s="18"/>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c r="BC1092" s="18"/>
      <c r="BD1092" s="18"/>
      <c r="BE1092" s="18"/>
      <c r="BF1092" s="18"/>
      <c r="BG1092" s="18"/>
      <c r="BH1092" s="18"/>
      <c r="BI1092" s="18"/>
      <c r="BJ1092" s="18"/>
      <c r="BK1092" s="18"/>
      <c r="BL1092" s="18"/>
      <c r="BM1092" s="18"/>
      <c r="BN1092" s="18"/>
      <c r="BO1092" s="18"/>
      <c r="BP1092" s="18"/>
      <c r="BQ1092" s="18"/>
      <c r="BR1092" s="18"/>
      <c r="BS1092" s="18"/>
      <c r="BT1092" s="18"/>
      <c r="BU1092" s="18"/>
      <c r="BV1092" s="18"/>
      <c r="BW1092" s="18"/>
      <c r="BX1092" s="18"/>
      <c r="BY1092" s="18"/>
      <c r="BZ1092" s="18"/>
      <c r="CA1092" s="18"/>
      <c r="CB1092" s="18"/>
      <c r="CC1092" s="18"/>
      <c r="CD1092" s="18"/>
      <c r="CE1092" s="18"/>
      <c r="CF1092" s="18"/>
      <c r="CG1092" s="18"/>
      <c r="CH1092" s="18"/>
      <c r="CI1092" s="18"/>
      <c r="CJ1092" s="18"/>
      <c r="CK1092" s="18"/>
      <c r="CL1092" s="18"/>
      <c r="CM1092" s="18"/>
      <c r="CN1092" s="18"/>
      <c r="CO1092" s="18"/>
      <c r="CP1092" s="18"/>
      <c r="CQ1092" s="18"/>
      <c r="CR1092" s="18"/>
      <c r="CS1092" s="18"/>
      <c r="CT1092" s="18"/>
      <c r="CU1092" s="18"/>
    </row>
    <row r="1093" spans="1:99">
      <c r="A1093" s="19"/>
      <c r="B1093" s="19"/>
      <c r="C1093" s="19"/>
      <c r="D1093" s="19"/>
      <c r="E1093" s="19"/>
      <c r="F1093" s="19"/>
      <c r="G1093" s="19"/>
      <c r="H1093" s="19"/>
      <c r="I1093" s="19"/>
      <c r="J1093" s="19"/>
      <c r="K1093" s="18"/>
      <c r="L1093" s="18"/>
      <c r="M1093" s="18"/>
      <c r="N1093" s="18"/>
      <c r="O1093" s="18"/>
      <c r="P1093" s="18"/>
      <c r="Q1093" s="18"/>
      <c r="R1093" s="18"/>
      <c r="S1093" s="18"/>
      <c r="T1093" s="18"/>
      <c r="U1093" s="18"/>
      <c r="V1093" s="18"/>
      <c r="W1093" s="18"/>
      <c r="X1093" s="18"/>
      <c r="Y1093" s="18"/>
      <c r="Z1093" s="18"/>
      <c r="AA1093" s="18"/>
      <c r="AB1093" s="18"/>
      <c r="AC1093" s="18"/>
      <c r="AD1093" s="18"/>
      <c r="AE1093" s="18"/>
      <c r="AF1093" s="18"/>
      <c r="AG1093" s="18"/>
      <c r="AH1093" s="18"/>
      <c r="AI1093" s="18"/>
      <c r="AJ1093" s="18"/>
      <c r="AK1093" s="18"/>
      <c r="AL1093" s="18"/>
      <c r="AM1093" s="18"/>
      <c r="AN1093" s="18"/>
      <c r="AO1093" s="18"/>
      <c r="AP1093" s="18"/>
      <c r="AQ1093" s="18"/>
      <c r="AR1093" s="18"/>
      <c r="AS1093" s="18"/>
      <c r="AT1093" s="18"/>
      <c r="AU1093" s="18"/>
      <c r="AV1093" s="18"/>
      <c r="AW1093" s="18"/>
      <c r="AX1093" s="18"/>
      <c r="AY1093" s="18"/>
      <c r="AZ1093" s="18"/>
      <c r="BA1093" s="18"/>
      <c r="BB1093" s="18"/>
      <c r="BC1093" s="18"/>
      <c r="BD1093" s="18"/>
      <c r="BE1093" s="18"/>
      <c r="BF1093" s="18"/>
      <c r="BG1093" s="18"/>
      <c r="BH1093" s="18"/>
      <c r="BI1093" s="18"/>
      <c r="BJ1093" s="18"/>
      <c r="BK1093" s="18"/>
      <c r="BL1093" s="18"/>
      <c r="BM1093" s="18"/>
      <c r="BN1093" s="18"/>
      <c r="BO1093" s="18"/>
      <c r="BP1093" s="18"/>
      <c r="BQ1093" s="18"/>
      <c r="BR1093" s="18"/>
      <c r="BS1093" s="18"/>
      <c r="BT1093" s="18"/>
      <c r="BU1093" s="18"/>
      <c r="BV1093" s="18"/>
      <c r="BW1093" s="18"/>
      <c r="BX1093" s="18"/>
      <c r="BY1093" s="18"/>
      <c r="BZ1093" s="18"/>
      <c r="CA1093" s="18"/>
      <c r="CB1093" s="18"/>
      <c r="CC1093" s="18"/>
      <c r="CD1093" s="18"/>
      <c r="CE1093" s="18"/>
      <c r="CF1093" s="18"/>
      <c r="CG1093" s="18"/>
      <c r="CH1093" s="18"/>
      <c r="CI1093" s="18"/>
      <c r="CJ1093" s="18"/>
      <c r="CK1093" s="18"/>
      <c r="CL1093" s="18"/>
      <c r="CM1093" s="18"/>
      <c r="CN1093" s="18"/>
      <c r="CO1093" s="18"/>
      <c r="CP1093" s="18"/>
      <c r="CQ1093" s="18"/>
      <c r="CR1093" s="18"/>
      <c r="CS1093" s="18"/>
      <c r="CT1093" s="18"/>
      <c r="CU1093" s="18"/>
    </row>
    <row r="1094" spans="1:99">
      <c r="A1094" s="19"/>
      <c r="B1094" s="19"/>
      <c r="C1094" s="19"/>
      <c r="D1094" s="19"/>
      <c r="E1094" s="19"/>
      <c r="F1094" s="19"/>
      <c r="G1094" s="19"/>
      <c r="H1094" s="19"/>
      <c r="I1094" s="19"/>
      <c r="J1094" s="19"/>
      <c r="K1094" s="18"/>
      <c r="L1094" s="18"/>
      <c r="M1094" s="18"/>
      <c r="N1094" s="18"/>
      <c r="O1094" s="18"/>
      <c r="P1094" s="18"/>
      <c r="Q1094" s="18"/>
      <c r="R1094" s="18"/>
      <c r="S1094" s="18"/>
      <c r="T1094" s="18"/>
      <c r="U1094" s="18"/>
      <c r="V1094" s="18"/>
      <c r="W1094" s="18"/>
      <c r="X1094" s="18"/>
      <c r="Y1094" s="18"/>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c r="BC1094" s="18"/>
      <c r="BD1094" s="18"/>
      <c r="BE1094" s="18"/>
      <c r="BF1094" s="18"/>
      <c r="BG1094" s="18"/>
      <c r="BH1094" s="18"/>
      <c r="BI1094" s="18"/>
      <c r="BJ1094" s="18"/>
      <c r="BK1094" s="18"/>
      <c r="BL1094" s="18"/>
      <c r="BM1094" s="18"/>
      <c r="BN1094" s="18"/>
      <c r="BO1094" s="18"/>
      <c r="BP1094" s="18"/>
      <c r="BQ1094" s="18"/>
      <c r="BR1094" s="18"/>
      <c r="BS1094" s="18"/>
      <c r="BT1094" s="18"/>
      <c r="BU1094" s="18"/>
      <c r="BV1094" s="18"/>
      <c r="BW1094" s="18"/>
      <c r="BX1094" s="18"/>
      <c r="BY1094" s="18"/>
      <c r="BZ1094" s="18"/>
      <c r="CA1094" s="18"/>
      <c r="CB1094" s="18"/>
      <c r="CC1094" s="18"/>
      <c r="CD1094" s="18"/>
      <c r="CE1094" s="18"/>
      <c r="CF1094" s="18"/>
      <c r="CG1094" s="18"/>
      <c r="CH1094" s="18"/>
      <c r="CI1094" s="18"/>
      <c r="CJ1094" s="18"/>
      <c r="CK1094" s="18"/>
      <c r="CL1094" s="18"/>
      <c r="CM1094" s="18"/>
      <c r="CN1094" s="18"/>
      <c r="CO1094" s="18"/>
      <c r="CP1094" s="18"/>
      <c r="CQ1094" s="18"/>
      <c r="CR1094" s="18"/>
      <c r="CS1094" s="18"/>
      <c r="CT1094" s="18"/>
      <c r="CU1094" s="18"/>
    </row>
    <row r="1095" spans="1:99">
      <c r="A1095" s="19"/>
      <c r="B1095" s="19"/>
      <c r="C1095" s="19"/>
      <c r="D1095" s="19"/>
      <c r="E1095" s="19"/>
      <c r="F1095" s="19"/>
      <c r="G1095" s="19"/>
      <c r="H1095" s="19"/>
      <c r="I1095" s="19"/>
      <c r="J1095" s="19"/>
      <c r="K1095" s="18"/>
      <c r="L1095" s="18"/>
      <c r="M1095" s="18"/>
      <c r="N1095" s="18"/>
      <c r="O1095" s="18"/>
      <c r="P1095" s="18"/>
      <c r="Q1095" s="18"/>
      <c r="R1095" s="18"/>
      <c r="S1095" s="18"/>
      <c r="T1095" s="18"/>
      <c r="U1095" s="18"/>
      <c r="V1095" s="18"/>
      <c r="W1095" s="18"/>
      <c r="X1095" s="18"/>
      <c r="Y1095" s="18"/>
      <c r="Z1095" s="18"/>
      <c r="AA1095" s="18"/>
      <c r="AB1095" s="18"/>
      <c r="AC1095" s="18"/>
      <c r="AD1095" s="18"/>
      <c r="AE1095" s="18"/>
      <c r="AF1095" s="18"/>
      <c r="AG1095" s="18"/>
      <c r="AH1095" s="18"/>
      <c r="AI1095" s="18"/>
      <c r="AJ1095" s="18"/>
      <c r="AK1095" s="18"/>
      <c r="AL1095" s="18"/>
      <c r="AM1095" s="18"/>
      <c r="AN1095" s="18"/>
      <c r="AO1095" s="18"/>
      <c r="AP1095" s="18"/>
      <c r="AQ1095" s="18"/>
      <c r="AR1095" s="18"/>
      <c r="AS1095" s="18"/>
      <c r="AT1095" s="18"/>
      <c r="AU1095" s="18"/>
      <c r="AV1095" s="18"/>
      <c r="AW1095" s="18"/>
      <c r="AX1095" s="18"/>
      <c r="AY1095" s="18"/>
      <c r="AZ1095" s="18"/>
      <c r="BA1095" s="18"/>
      <c r="BB1095" s="18"/>
      <c r="BC1095" s="18"/>
      <c r="BD1095" s="18"/>
      <c r="BE1095" s="18"/>
      <c r="BF1095" s="18"/>
      <c r="BG1095" s="18"/>
      <c r="BH1095" s="18"/>
      <c r="BI1095" s="18"/>
      <c r="BJ1095" s="18"/>
      <c r="BK1095" s="18"/>
      <c r="BL1095" s="18"/>
      <c r="BM1095" s="18"/>
      <c r="BN1095" s="18"/>
      <c r="BO1095" s="18"/>
      <c r="BP1095" s="18"/>
      <c r="BQ1095" s="18"/>
      <c r="BR1095" s="18"/>
      <c r="BS1095" s="18"/>
      <c r="BT1095" s="18"/>
      <c r="BU1095" s="18"/>
      <c r="BV1095" s="18"/>
      <c r="BW1095" s="18"/>
      <c r="BX1095" s="18"/>
      <c r="BY1095" s="18"/>
      <c r="BZ1095" s="18"/>
      <c r="CA1095" s="18"/>
      <c r="CB1095" s="18"/>
      <c r="CC1095" s="18"/>
      <c r="CD1095" s="18"/>
      <c r="CE1095" s="18"/>
      <c r="CF1095" s="18"/>
      <c r="CG1095" s="18"/>
      <c r="CH1095" s="18"/>
      <c r="CI1095" s="18"/>
      <c r="CJ1095" s="18"/>
      <c r="CK1095" s="18"/>
      <c r="CL1095" s="18"/>
      <c r="CM1095" s="18"/>
      <c r="CN1095" s="18"/>
      <c r="CO1095" s="18"/>
      <c r="CP1095" s="18"/>
      <c r="CQ1095" s="18"/>
      <c r="CR1095" s="18"/>
      <c r="CS1095" s="18"/>
      <c r="CT1095" s="18"/>
      <c r="CU1095" s="18"/>
    </row>
    <row r="1096" spans="1:99">
      <c r="A1096" s="19"/>
      <c r="B1096" s="19"/>
      <c r="C1096" s="19"/>
      <c r="D1096" s="19"/>
      <c r="E1096" s="19"/>
      <c r="F1096" s="19"/>
      <c r="G1096" s="19"/>
      <c r="H1096" s="19"/>
      <c r="I1096" s="19"/>
      <c r="J1096" s="19"/>
      <c r="K1096" s="18"/>
      <c r="L1096" s="18"/>
      <c r="M1096" s="18"/>
      <c r="N1096" s="18"/>
      <c r="O1096" s="18"/>
      <c r="P1096" s="18"/>
      <c r="Q1096" s="18"/>
      <c r="R1096" s="18"/>
      <c r="S1096" s="18"/>
      <c r="T1096" s="18"/>
      <c r="U1096" s="18"/>
      <c r="V1096" s="18"/>
      <c r="W1096" s="18"/>
      <c r="X1096" s="18"/>
      <c r="Y1096" s="18"/>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c r="BC1096" s="18"/>
      <c r="BD1096" s="18"/>
      <c r="BE1096" s="18"/>
      <c r="BF1096" s="18"/>
      <c r="BG1096" s="18"/>
      <c r="BH1096" s="18"/>
      <c r="BI1096" s="18"/>
      <c r="BJ1096" s="18"/>
      <c r="BK1096" s="18"/>
      <c r="BL1096" s="18"/>
      <c r="BM1096" s="18"/>
      <c r="BN1096" s="18"/>
      <c r="BO1096" s="18"/>
      <c r="BP1096" s="18"/>
      <c r="BQ1096" s="18"/>
      <c r="BR1096" s="18"/>
      <c r="BS1096" s="18"/>
      <c r="BT1096" s="18"/>
      <c r="BU1096" s="18"/>
      <c r="BV1096" s="18"/>
      <c r="BW1096" s="18"/>
      <c r="BX1096" s="18"/>
      <c r="BY1096" s="18"/>
      <c r="BZ1096" s="18"/>
      <c r="CA1096" s="18"/>
      <c r="CB1096" s="18"/>
      <c r="CC1096" s="18"/>
      <c r="CD1096" s="18"/>
      <c r="CE1096" s="18"/>
      <c r="CF1096" s="18"/>
      <c r="CG1096" s="18"/>
      <c r="CH1096" s="18"/>
      <c r="CI1096" s="18"/>
      <c r="CJ1096" s="18"/>
      <c r="CK1096" s="18"/>
      <c r="CL1096" s="18"/>
      <c r="CM1096" s="18"/>
      <c r="CN1096" s="18"/>
      <c r="CO1096" s="18"/>
      <c r="CP1096" s="18"/>
      <c r="CQ1096" s="18"/>
      <c r="CR1096" s="18"/>
      <c r="CS1096" s="18"/>
      <c r="CT1096" s="18"/>
      <c r="CU1096" s="18"/>
    </row>
    <row r="1097" spans="1:99">
      <c r="A1097" s="19"/>
      <c r="B1097" s="19"/>
      <c r="C1097" s="19"/>
      <c r="D1097" s="19"/>
      <c r="E1097" s="19"/>
      <c r="F1097" s="19"/>
      <c r="G1097" s="19"/>
      <c r="H1097" s="19"/>
      <c r="I1097" s="19"/>
      <c r="J1097" s="19"/>
      <c r="K1097" s="18"/>
      <c r="L1097" s="18"/>
      <c r="M1097" s="18"/>
      <c r="N1097" s="18"/>
      <c r="O1097" s="18"/>
      <c r="P1097" s="18"/>
      <c r="Q1097" s="18"/>
      <c r="R1097" s="18"/>
      <c r="S1097" s="18"/>
      <c r="T1097" s="18"/>
      <c r="U1097" s="18"/>
      <c r="V1097" s="18"/>
      <c r="W1097" s="18"/>
      <c r="X1097" s="18"/>
      <c r="Y1097" s="18"/>
      <c r="Z1097" s="18"/>
      <c r="AA1097" s="18"/>
      <c r="AB1097" s="18"/>
      <c r="AC1097" s="18"/>
      <c r="AD1097" s="18"/>
      <c r="AE1097" s="18"/>
      <c r="AF1097" s="18"/>
      <c r="AG1097" s="18"/>
      <c r="AH1097" s="18"/>
      <c r="AI1097" s="18"/>
      <c r="AJ1097" s="18"/>
      <c r="AK1097" s="18"/>
      <c r="AL1097" s="18"/>
      <c r="AM1097" s="18"/>
      <c r="AN1097" s="18"/>
      <c r="AO1097" s="18"/>
      <c r="AP1097" s="18"/>
      <c r="AQ1097" s="18"/>
      <c r="AR1097" s="18"/>
      <c r="AS1097" s="18"/>
      <c r="AT1097" s="18"/>
      <c r="AU1097" s="18"/>
      <c r="AV1097" s="18"/>
      <c r="AW1097" s="18"/>
      <c r="AX1097" s="18"/>
      <c r="AY1097" s="18"/>
      <c r="AZ1097" s="18"/>
      <c r="BA1097" s="18"/>
      <c r="BB1097" s="18"/>
      <c r="BC1097" s="18"/>
      <c r="BD1097" s="18"/>
      <c r="BE1097" s="18"/>
      <c r="BF1097" s="18"/>
      <c r="BG1097" s="18"/>
      <c r="BH1097" s="18"/>
      <c r="BI1097" s="18"/>
      <c r="BJ1097" s="18"/>
      <c r="BK1097" s="18"/>
      <c r="BL1097" s="18"/>
      <c r="BM1097" s="18"/>
      <c r="BN1097" s="18"/>
      <c r="BO1097" s="18"/>
      <c r="BP1097" s="18"/>
      <c r="BQ1097" s="18"/>
      <c r="BR1097" s="18"/>
      <c r="BS1097" s="18"/>
      <c r="BT1097" s="18"/>
      <c r="BU1097" s="18"/>
      <c r="BV1097" s="18"/>
      <c r="BW1097" s="18"/>
      <c r="BX1097" s="18"/>
      <c r="BY1097" s="18"/>
      <c r="BZ1097" s="18"/>
      <c r="CA1097" s="18"/>
      <c r="CB1097" s="18"/>
      <c r="CC1097" s="18"/>
      <c r="CD1097" s="18"/>
      <c r="CE1097" s="18"/>
      <c r="CF1097" s="18"/>
      <c r="CG1097" s="18"/>
      <c r="CH1097" s="18"/>
      <c r="CI1097" s="18"/>
      <c r="CJ1097" s="18"/>
      <c r="CK1097" s="18"/>
      <c r="CL1097" s="18"/>
      <c r="CM1097" s="18"/>
      <c r="CN1097" s="18"/>
      <c r="CO1097" s="18"/>
      <c r="CP1097" s="18"/>
      <c r="CQ1097" s="18"/>
      <c r="CR1097" s="18"/>
      <c r="CS1097" s="18"/>
      <c r="CT1097" s="18"/>
      <c r="CU1097" s="18"/>
    </row>
    <row r="1098" spans="1:99">
      <c r="A1098" s="19"/>
      <c r="B1098" s="19"/>
      <c r="C1098" s="19"/>
      <c r="D1098" s="19"/>
      <c r="E1098" s="19"/>
      <c r="F1098" s="19"/>
      <c r="G1098" s="19"/>
      <c r="H1098" s="19"/>
      <c r="I1098" s="19"/>
      <c r="J1098" s="19"/>
      <c r="K1098" s="18"/>
      <c r="L1098" s="18"/>
      <c r="M1098" s="18"/>
      <c r="N1098" s="18"/>
      <c r="O1098" s="18"/>
      <c r="P1098" s="18"/>
      <c r="Q1098" s="18"/>
      <c r="R1098" s="18"/>
      <c r="S1098" s="18"/>
      <c r="T1098" s="18"/>
      <c r="U1098" s="18"/>
      <c r="V1098" s="18"/>
      <c r="W1098" s="18"/>
      <c r="X1098" s="18"/>
      <c r="Y1098" s="18"/>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c r="BC1098" s="18"/>
      <c r="BD1098" s="18"/>
      <c r="BE1098" s="18"/>
      <c r="BF1098" s="18"/>
      <c r="BG1098" s="18"/>
      <c r="BH1098" s="18"/>
      <c r="BI1098" s="18"/>
      <c r="BJ1098" s="18"/>
      <c r="BK1098" s="18"/>
      <c r="BL1098" s="18"/>
      <c r="BM1098" s="18"/>
      <c r="BN1098" s="18"/>
      <c r="BO1098" s="18"/>
      <c r="BP1098" s="18"/>
      <c r="BQ1098" s="18"/>
      <c r="BR1098" s="18"/>
      <c r="BS1098" s="18"/>
      <c r="BT1098" s="18"/>
      <c r="BU1098" s="18"/>
      <c r="BV1098" s="18"/>
      <c r="BW1098" s="18"/>
      <c r="BX1098" s="18"/>
      <c r="BY1098" s="18"/>
      <c r="BZ1098" s="18"/>
      <c r="CA1098" s="18"/>
      <c r="CB1098" s="18"/>
      <c r="CC1098" s="18"/>
      <c r="CD1098" s="18"/>
      <c r="CE1098" s="18"/>
      <c r="CF1098" s="18"/>
      <c r="CG1098" s="18"/>
      <c r="CH1098" s="18"/>
      <c r="CI1098" s="18"/>
      <c r="CJ1098" s="18"/>
      <c r="CK1098" s="18"/>
      <c r="CL1098" s="18"/>
      <c r="CM1098" s="18"/>
      <c r="CN1098" s="18"/>
      <c r="CO1098" s="18"/>
      <c r="CP1098" s="18"/>
      <c r="CQ1098" s="18"/>
      <c r="CR1098" s="18"/>
      <c r="CS1098" s="18"/>
      <c r="CT1098" s="18"/>
      <c r="CU1098" s="18"/>
    </row>
    <row r="1099" spans="1:99">
      <c r="A1099" s="19"/>
      <c r="B1099" s="19"/>
      <c r="C1099" s="19"/>
      <c r="D1099" s="19"/>
      <c r="E1099" s="19"/>
      <c r="F1099" s="19"/>
      <c r="G1099" s="19"/>
      <c r="H1099" s="19"/>
      <c r="I1099" s="19"/>
      <c r="J1099" s="19"/>
      <c r="K1099" s="18"/>
      <c r="L1099" s="18"/>
      <c r="M1099" s="18"/>
      <c r="N1099" s="18"/>
      <c r="O1099" s="18"/>
      <c r="P1099" s="18"/>
      <c r="Q1099" s="18"/>
      <c r="R1099" s="18"/>
      <c r="S1099" s="18"/>
      <c r="T1099" s="18"/>
      <c r="U1099" s="18"/>
      <c r="V1099" s="18"/>
      <c r="W1099" s="18"/>
      <c r="X1099" s="18"/>
      <c r="Y1099" s="18"/>
      <c r="Z1099" s="18"/>
      <c r="AA1099" s="18"/>
      <c r="AB1099" s="18"/>
      <c r="AC1099" s="18"/>
      <c r="AD1099" s="18"/>
      <c r="AE1099" s="18"/>
      <c r="AF1099" s="18"/>
      <c r="AG1099" s="18"/>
      <c r="AH1099" s="18"/>
      <c r="AI1099" s="18"/>
      <c r="AJ1099" s="18"/>
      <c r="AK1099" s="18"/>
      <c r="AL1099" s="18"/>
      <c r="AM1099" s="18"/>
      <c r="AN1099" s="18"/>
      <c r="AO1099" s="18"/>
      <c r="AP1099" s="18"/>
      <c r="AQ1099" s="18"/>
      <c r="AR1099" s="18"/>
      <c r="AS1099" s="18"/>
      <c r="AT1099" s="18"/>
      <c r="AU1099" s="18"/>
      <c r="AV1099" s="18"/>
      <c r="AW1099" s="18"/>
      <c r="AX1099" s="18"/>
      <c r="AY1099" s="18"/>
      <c r="AZ1099" s="18"/>
      <c r="BA1099" s="18"/>
      <c r="BB1099" s="18"/>
      <c r="BC1099" s="18"/>
      <c r="BD1099" s="18"/>
      <c r="BE1099" s="18"/>
      <c r="BF1099" s="18"/>
      <c r="BG1099" s="18"/>
      <c r="BH1099" s="18"/>
      <c r="BI1099" s="18"/>
      <c r="BJ1099" s="18"/>
      <c r="BK1099" s="18"/>
      <c r="BL1099" s="18"/>
      <c r="BM1099" s="18"/>
      <c r="BN1099" s="18"/>
      <c r="BO1099" s="18"/>
      <c r="BP1099" s="18"/>
      <c r="BQ1099" s="18"/>
      <c r="BR1099" s="18"/>
      <c r="BS1099" s="18"/>
      <c r="BT1099" s="18"/>
      <c r="BU1099" s="18"/>
      <c r="BV1099" s="18"/>
      <c r="BW1099" s="18"/>
      <c r="BX1099" s="18"/>
      <c r="BY1099" s="18"/>
      <c r="BZ1099" s="18"/>
      <c r="CA1099" s="18"/>
      <c r="CB1099" s="18"/>
      <c r="CC1099" s="18"/>
      <c r="CD1099" s="18"/>
      <c r="CE1099" s="18"/>
      <c r="CF1099" s="18"/>
      <c r="CG1099" s="18"/>
      <c r="CH1099" s="18"/>
      <c r="CI1099" s="18"/>
      <c r="CJ1099" s="18"/>
      <c r="CK1099" s="18"/>
      <c r="CL1099" s="18"/>
      <c r="CM1099" s="18"/>
      <c r="CN1099" s="18"/>
      <c r="CO1099" s="18"/>
      <c r="CP1099" s="18"/>
      <c r="CQ1099" s="18"/>
      <c r="CR1099" s="18"/>
      <c r="CS1099" s="18"/>
      <c r="CT1099" s="18"/>
      <c r="CU1099" s="18"/>
    </row>
    <row r="1100" spans="1:99">
      <c r="A1100" s="19"/>
      <c r="B1100" s="19"/>
      <c r="C1100" s="19"/>
      <c r="D1100" s="19"/>
      <c r="E1100" s="19"/>
      <c r="F1100" s="19"/>
      <c r="G1100" s="19"/>
      <c r="H1100" s="19"/>
      <c r="I1100" s="19"/>
      <c r="J1100" s="19"/>
      <c r="K1100" s="18"/>
      <c r="L1100" s="18"/>
      <c r="M1100" s="18"/>
      <c r="N1100" s="18"/>
      <c r="O1100" s="18"/>
      <c r="P1100" s="18"/>
      <c r="Q1100" s="18"/>
      <c r="R1100" s="18"/>
      <c r="S1100" s="18"/>
      <c r="T1100" s="18"/>
      <c r="U1100" s="18"/>
      <c r="V1100" s="18"/>
      <c r="W1100" s="18"/>
      <c r="X1100" s="18"/>
      <c r="Y1100" s="18"/>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c r="BC1100" s="18"/>
      <c r="BD1100" s="18"/>
      <c r="BE1100" s="18"/>
      <c r="BF1100" s="18"/>
      <c r="BG1100" s="18"/>
      <c r="BH1100" s="18"/>
      <c r="BI1100" s="18"/>
      <c r="BJ1100" s="18"/>
      <c r="BK1100" s="18"/>
      <c r="BL1100" s="18"/>
      <c r="BM1100" s="18"/>
      <c r="BN1100" s="18"/>
      <c r="BO1100" s="18"/>
      <c r="BP1100" s="18"/>
      <c r="BQ1100" s="18"/>
      <c r="BR1100" s="18"/>
      <c r="BS1100" s="18"/>
      <c r="BT1100" s="18"/>
      <c r="BU1100" s="18"/>
      <c r="BV1100" s="18"/>
      <c r="BW1100" s="18"/>
      <c r="BX1100" s="18"/>
      <c r="BY1100" s="18"/>
      <c r="BZ1100" s="18"/>
      <c r="CA1100" s="18"/>
      <c r="CB1100" s="18"/>
      <c r="CC1100" s="18"/>
      <c r="CD1100" s="18"/>
      <c r="CE1100" s="18"/>
      <c r="CF1100" s="18"/>
      <c r="CG1100" s="18"/>
      <c r="CH1100" s="18"/>
      <c r="CI1100" s="18"/>
      <c r="CJ1100" s="18"/>
      <c r="CK1100" s="18"/>
      <c r="CL1100" s="18"/>
      <c r="CM1100" s="18"/>
      <c r="CN1100" s="18"/>
      <c r="CO1100" s="18"/>
      <c r="CP1100" s="18"/>
      <c r="CQ1100" s="18"/>
      <c r="CR1100" s="18"/>
      <c r="CS1100" s="18"/>
      <c r="CT1100" s="18"/>
      <c r="CU1100" s="18"/>
    </row>
    <row r="1101" spans="1:99">
      <c r="A1101" s="19"/>
      <c r="B1101" s="19"/>
      <c r="C1101" s="19"/>
      <c r="D1101" s="19"/>
      <c r="E1101" s="19"/>
      <c r="F1101" s="19"/>
      <c r="G1101" s="19"/>
      <c r="H1101" s="19"/>
      <c r="I1101" s="19"/>
      <c r="J1101" s="19"/>
      <c r="K1101" s="18"/>
      <c r="L1101" s="18"/>
      <c r="M1101" s="18"/>
      <c r="N1101" s="18"/>
      <c r="O1101" s="18"/>
      <c r="P1101" s="18"/>
      <c r="Q1101" s="18"/>
      <c r="R1101" s="18"/>
      <c r="S1101" s="18"/>
      <c r="T1101" s="18"/>
      <c r="U1101" s="18"/>
      <c r="V1101" s="18"/>
      <c r="W1101" s="18"/>
      <c r="X1101" s="18"/>
      <c r="Y1101" s="18"/>
      <c r="Z1101" s="18"/>
      <c r="AA1101" s="18"/>
      <c r="AB1101" s="18"/>
      <c r="AC1101" s="18"/>
      <c r="AD1101" s="18"/>
      <c r="AE1101" s="18"/>
      <c r="AF1101" s="18"/>
      <c r="AG1101" s="18"/>
      <c r="AH1101" s="18"/>
      <c r="AI1101" s="18"/>
      <c r="AJ1101" s="18"/>
      <c r="AK1101" s="18"/>
      <c r="AL1101" s="18"/>
      <c r="AM1101" s="18"/>
      <c r="AN1101" s="18"/>
      <c r="AO1101" s="18"/>
      <c r="AP1101" s="18"/>
      <c r="AQ1101" s="18"/>
      <c r="AR1101" s="18"/>
      <c r="AS1101" s="18"/>
      <c r="AT1101" s="18"/>
      <c r="AU1101" s="18"/>
      <c r="AV1101" s="18"/>
      <c r="AW1101" s="18"/>
      <c r="AX1101" s="18"/>
      <c r="AY1101" s="18"/>
      <c r="AZ1101" s="18"/>
      <c r="BA1101" s="18"/>
      <c r="BB1101" s="18"/>
      <c r="BC1101" s="18"/>
      <c r="BD1101" s="18"/>
      <c r="BE1101" s="18"/>
      <c r="BF1101" s="18"/>
      <c r="BG1101" s="18"/>
      <c r="BH1101" s="18"/>
      <c r="BI1101" s="18"/>
      <c r="BJ1101" s="18"/>
      <c r="BK1101" s="18"/>
      <c r="BL1101" s="18"/>
      <c r="BM1101" s="18"/>
      <c r="BN1101" s="18"/>
      <c r="BO1101" s="18"/>
      <c r="BP1101" s="18"/>
      <c r="BQ1101" s="18"/>
      <c r="BR1101" s="18"/>
      <c r="BS1101" s="18"/>
      <c r="BT1101" s="18"/>
      <c r="BU1101" s="18"/>
      <c r="BV1101" s="18"/>
      <c r="BW1101" s="18"/>
      <c r="BX1101" s="18"/>
      <c r="BY1101" s="18"/>
      <c r="BZ1101" s="18"/>
      <c r="CA1101" s="18"/>
      <c r="CB1101" s="18"/>
      <c r="CC1101" s="18"/>
      <c r="CD1101" s="18"/>
      <c r="CE1101" s="18"/>
      <c r="CF1101" s="18"/>
      <c r="CG1101" s="18"/>
      <c r="CH1101" s="18"/>
      <c r="CI1101" s="18"/>
      <c r="CJ1101" s="18"/>
      <c r="CK1101" s="18"/>
      <c r="CL1101" s="18"/>
      <c r="CM1101" s="18"/>
      <c r="CN1101" s="18"/>
      <c r="CO1101" s="18"/>
      <c r="CP1101" s="18"/>
      <c r="CQ1101" s="18"/>
      <c r="CR1101" s="18"/>
      <c r="CS1101" s="18"/>
      <c r="CT1101" s="18"/>
      <c r="CU1101" s="18"/>
    </row>
    <row r="1102" spans="1:99">
      <c r="A1102" s="19"/>
      <c r="B1102" s="19"/>
      <c r="C1102" s="19"/>
      <c r="D1102" s="19"/>
      <c r="E1102" s="19"/>
      <c r="F1102" s="19"/>
      <c r="G1102" s="19"/>
      <c r="H1102" s="19"/>
      <c r="I1102" s="19"/>
      <c r="J1102" s="19"/>
      <c r="K1102" s="18"/>
      <c r="L1102" s="18"/>
      <c r="M1102" s="18"/>
      <c r="N1102" s="18"/>
      <c r="O1102" s="18"/>
      <c r="P1102" s="18"/>
      <c r="Q1102" s="18"/>
      <c r="R1102" s="18"/>
      <c r="S1102" s="18"/>
      <c r="T1102" s="18"/>
      <c r="U1102" s="18"/>
      <c r="V1102" s="18"/>
      <c r="W1102" s="18"/>
      <c r="X1102" s="18"/>
      <c r="Y1102" s="18"/>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c r="BC1102" s="18"/>
      <c r="BD1102" s="18"/>
      <c r="BE1102" s="18"/>
      <c r="BF1102" s="18"/>
      <c r="BG1102" s="18"/>
      <c r="BH1102" s="18"/>
      <c r="BI1102" s="18"/>
      <c r="BJ1102" s="18"/>
      <c r="BK1102" s="18"/>
      <c r="BL1102" s="18"/>
      <c r="BM1102" s="18"/>
      <c r="BN1102" s="18"/>
      <c r="BO1102" s="18"/>
      <c r="BP1102" s="18"/>
      <c r="BQ1102" s="18"/>
      <c r="BR1102" s="18"/>
      <c r="BS1102" s="18"/>
      <c r="BT1102" s="18"/>
      <c r="BU1102" s="18"/>
      <c r="BV1102" s="18"/>
      <c r="BW1102" s="18"/>
      <c r="BX1102" s="18"/>
      <c r="BY1102" s="18"/>
      <c r="BZ1102" s="18"/>
      <c r="CA1102" s="18"/>
      <c r="CB1102" s="18"/>
      <c r="CC1102" s="18"/>
      <c r="CD1102" s="18"/>
      <c r="CE1102" s="18"/>
      <c r="CF1102" s="18"/>
      <c r="CG1102" s="18"/>
      <c r="CH1102" s="18"/>
      <c r="CI1102" s="18"/>
      <c r="CJ1102" s="18"/>
      <c r="CK1102" s="18"/>
      <c r="CL1102" s="18"/>
      <c r="CM1102" s="18"/>
      <c r="CN1102" s="18"/>
      <c r="CO1102" s="18"/>
      <c r="CP1102" s="18"/>
      <c r="CQ1102" s="18"/>
      <c r="CR1102" s="18"/>
      <c r="CS1102" s="18"/>
      <c r="CT1102" s="18"/>
      <c r="CU1102" s="18"/>
    </row>
    <row r="1103" spans="1:99">
      <c r="A1103" s="19"/>
      <c r="B1103" s="19"/>
      <c r="C1103" s="19"/>
      <c r="D1103" s="19"/>
      <c r="E1103" s="19"/>
      <c r="F1103" s="19"/>
      <c r="G1103" s="19"/>
      <c r="H1103" s="19"/>
      <c r="I1103" s="19"/>
      <c r="J1103" s="19"/>
      <c r="K1103" s="18"/>
      <c r="L1103" s="18"/>
      <c r="M1103" s="18"/>
      <c r="N1103" s="18"/>
      <c r="O1103" s="18"/>
      <c r="P1103" s="18"/>
      <c r="Q1103" s="18"/>
      <c r="R1103" s="18"/>
      <c r="S1103" s="18"/>
      <c r="T1103" s="18"/>
      <c r="U1103" s="18"/>
      <c r="V1103" s="18"/>
      <c r="W1103" s="18"/>
      <c r="X1103" s="18"/>
      <c r="Y1103" s="18"/>
      <c r="Z1103" s="18"/>
      <c r="AA1103" s="18"/>
      <c r="AB1103" s="18"/>
      <c r="AC1103" s="18"/>
      <c r="AD1103" s="18"/>
      <c r="AE1103" s="18"/>
      <c r="AF1103" s="18"/>
      <c r="AG1103" s="18"/>
      <c r="AH1103" s="18"/>
      <c r="AI1103" s="18"/>
      <c r="AJ1103" s="18"/>
      <c r="AK1103" s="18"/>
      <c r="AL1103" s="18"/>
      <c r="AM1103" s="18"/>
      <c r="AN1103" s="18"/>
      <c r="AO1103" s="18"/>
      <c r="AP1103" s="18"/>
      <c r="AQ1103" s="18"/>
      <c r="AR1103" s="18"/>
      <c r="AS1103" s="18"/>
      <c r="AT1103" s="18"/>
      <c r="AU1103" s="18"/>
      <c r="AV1103" s="18"/>
      <c r="AW1103" s="18"/>
      <c r="AX1103" s="18"/>
      <c r="AY1103" s="18"/>
      <c r="AZ1103" s="18"/>
      <c r="BA1103" s="18"/>
      <c r="BB1103" s="18"/>
      <c r="BC1103" s="18"/>
      <c r="BD1103" s="18"/>
      <c r="BE1103" s="18"/>
      <c r="BF1103" s="18"/>
      <c r="BG1103" s="18"/>
      <c r="BH1103" s="18"/>
      <c r="BI1103" s="18"/>
      <c r="BJ1103" s="18"/>
      <c r="BK1103" s="18"/>
      <c r="BL1103" s="18"/>
      <c r="BM1103" s="18"/>
      <c r="BN1103" s="18"/>
      <c r="BO1103" s="18"/>
      <c r="BP1103" s="18"/>
      <c r="BQ1103" s="18"/>
      <c r="BR1103" s="18"/>
      <c r="BS1103" s="18"/>
      <c r="BT1103" s="18"/>
      <c r="BU1103" s="18"/>
      <c r="BV1103" s="18"/>
      <c r="BW1103" s="18"/>
      <c r="BX1103" s="18"/>
      <c r="BY1103" s="18"/>
      <c r="BZ1103" s="18"/>
      <c r="CA1103" s="18"/>
      <c r="CB1103" s="18"/>
      <c r="CC1103" s="18"/>
      <c r="CD1103" s="18"/>
      <c r="CE1103" s="18"/>
      <c r="CF1103" s="18"/>
      <c r="CG1103" s="18"/>
      <c r="CH1103" s="18"/>
      <c r="CI1103" s="18"/>
      <c r="CJ1103" s="18"/>
      <c r="CK1103" s="18"/>
      <c r="CL1103" s="18"/>
      <c r="CM1103" s="18"/>
      <c r="CN1103" s="18"/>
      <c r="CO1103" s="18"/>
      <c r="CP1103" s="18"/>
      <c r="CQ1103" s="18"/>
      <c r="CR1103" s="18"/>
      <c r="CS1103" s="18"/>
      <c r="CT1103" s="18"/>
      <c r="CU1103" s="18"/>
    </row>
    <row r="1104" spans="1:99">
      <c r="A1104" s="19"/>
      <c r="B1104" s="19"/>
      <c r="C1104" s="19"/>
      <c r="D1104" s="19"/>
      <c r="E1104" s="19"/>
      <c r="F1104" s="19"/>
      <c r="G1104" s="19"/>
      <c r="H1104" s="19"/>
      <c r="I1104" s="19"/>
      <c r="J1104" s="19"/>
      <c r="K1104" s="18"/>
      <c r="L1104" s="18"/>
      <c r="M1104" s="18"/>
      <c r="N1104" s="18"/>
      <c r="O1104" s="18"/>
      <c r="P1104" s="18"/>
      <c r="Q1104" s="18"/>
      <c r="R1104" s="18"/>
      <c r="S1104" s="18"/>
      <c r="T1104" s="18"/>
      <c r="U1104" s="18"/>
      <c r="V1104" s="18"/>
      <c r="W1104" s="18"/>
      <c r="X1104" s="18"/>
      <c r="Y1104" s="18"/>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c r="BC1104" s="18"/>
      <c r="BD1104" s="18"/>
      <c r="BE1104" s="18"/>
      <c r="BF1104" s="18"/>
      <c r="BG1104" s="18"/>
      <c r="BH1104" s="18"/>
      <c r="BI1104" s="18"/>
      <c r="BJ1104" s="18"/>
      <c r="BK1104" s="18"/>
      <c r="BL1104" s="18"/>
      <c r="BM1104" s="18"/>
      <c r="BN1104" s="18"/>
      <c r="BO1104" s="18"/>
      <c r="BP1104" s="18"/>
      <c r="BQ1104" s="18"/>
      <c r="BR1104" s="18"/>
      <c r="BS1104" s="18"/>
      <c r="BT1104" s="18"/>
      <c r="BU1104" s="18"/>
      <c r="BV1104" s="18"/>
      <c r="BW1104" s="18"/>
      <c r="BX1104" s="18"/>
      <c r="BY1104" s="18"/>
      <c r="BZ1104" s="18"/>
      <c r="CA1104" s="18"/>
      <c r="CB1104" s="18"/>
      <c r="CC1104" s="18"/>
      <c r="CD1104" s="18"/>
      <c r="CE1104" s="18"/>
      <c r="CF1104" s="18"/>
      <c r="CG1104" s="18"/>
      <c r="CH1104" s="18"/>
      <c r="CI1104" s="18"/>
      <c r="CJ1104" s="18"/>
      <c r="CK1104" s="18"/>
      <c r="CL1104" s="18"/>
      <c r="CM1104" s="18"/>
      <c r="CN1104" s="18"/>
      <c r="CO1104" s="18"/>
      <c r="CP1104" s="18"/>
      <c r="CQ1104" s="18"/>
      <c r="CR1104" s="18"/>
      <c r="CS1104" s="18"/>
      <c r="CT1104" s="18"/>
      <c r="CU1104" s="18"/>
    </row>
    <row r="1105" spans="1:99">
      <c r="A1105" s="19"/>
      <c r="B1105" s="19"/>
      <c r="C1105" s="19"/>
      <c r="D1105" s="19"/>
      <c r="E1105" s="19"/>
      <c r="F1105" s="19"/>
      <c r="G1105" s="19"/>
      <c r="H1105" s="19"/>
      <c r="I1105" s="19"/>
      <c r="J1105" s="19"/>
      <c r="K1105" s="18"/>
      <c r="L1105" s="18"/>
      <c r="M1105" s="18"/>
      <c r="N1105" s="18"/>
      <c r="O1105" s="18"/>
      <c r="P1105" s="18"/>
      <c r="Q1105" s="18"/>
      <c r="R1105" s="18"/>
      <c r="S1105" s="18"/>
      <c r="T1105" s="18"/>
      <c r="U1105" s="18"/>
      <c r="V1105" s="18"/>
      <c r="W1105" s="18"/>
      <c r="X1105" s="18"/>
      <c r="Y1105" s="18"/>
      <c r="Z1105" s="18"/>
      <c r="AA1105" s="18"/>
      <c r="AB1105" s="18"/>
      <c r="AC1105" s="18"/>
      <c r="AD1105" s="18"/>
      <c r="AE1105" s="18"/>
      <c r="AF1105" s="18"/>
      <c r="AG1105" s="18"/>
      <c r="AH1105" s="18"/>
      <c r="AI1105" s="18"/>
      <c r="AJ1105" s="18"/>
      <c r="AK1105" s="18"/>
      <c r="AL1105" s="18"/>
      <c r="AM1105" s="18"/>
      <c r="AN1105" s="18"/>
      <c r="AO1105" s="18"/>
      <c r="AP1105" s="18"/>
      <c r="AQ1105" s="18"/>
      <c r="AR1105" s="18"/>
      <c r="AS1105" s="18"/>
      <c r="AT1105" s="18"/>
      <c r="AU1105" s="18"/>
      <c r="AV1105" s="18"/>
      <c r="AW1105" s="18"/>
      <c r="AX1105" s="18"/>
      <c r="AY1105" s="18"/>
      <c r="AZ1105" s="18"/>
      <c r="BA1105" s="18"/>
      <c r="BB1105" s="18"/>
      <c r="BC1105" s="18"/>
      <c r="BD1105" s="18"/>
      <c r="BE1105" s="18"/>
      <c r="BF1105" s="18"/>
      <c r="BG1105" s="18"/>
      <c r="BH1105" s="18"/>
      <c r="BI1105" s="18"/>
      <c r="BJ1105" s="18"/>
      <c r="BK1105" s="18"/>
      <c r="BL1105" s="18"/>
      <c r="BM1105" s="18"/>
      <c r="BN1105" s="18"/>
      <c r="BO1105" s="18"/>
      <c r="BP1105" s="18"/>
      <c r="BQ1105" s="18"/>
      <c r="BR1105" s="18"/>
      <c r="BS1105" s="18"/>
      <c r="BT1105" s="18"/>
      <c r="BU1105" s="18"/>
      <c r="BV1105" s="18"/>
      <c r="BW1105" s="18"/>
      <c r="BX1105" s="18"/>
      <c r="BY1105" s="18"/>
      <c r="BZ1105" s="18"/>
      <c r="CA1105" s="18"/>
      <c r="CB1105" s="18"/>
      <c r="CC1105" s="18"/>
      <c r="CD1105" s="18"/>
      <c r="CE1105" s="18"/>
      <c r="CF1105" s="18"/>
      <c r="CG1105" s="18"/>
      <c r="CH1105" s="18"/>
      <c r="CI1105" s="18"/>
      <c r="CJ1105" s="18"/>
      <c r="CK1105" s="18"/>
      <c r="CL1105" s="18"/>
      <c r="CM1105" s="18"/>
      <c r="CN1105" s="18"/>
      <c r="CO1105" s="18"/>
      <c r="CP1105" s="18"/>
      <c r="CQ1105" s="18"/>
      <c r="CR1105" s="18"/>
      <c r="CS1105" s="18"/>
      <c r="CT1105" s="18"/>
      <c r="CU1105" s="18"/>
    </row>
    <row r="1106" spans="1:99">
      <c r="A1106" s="19"/>
      <c r="B1106" s="19"/>
      <c r="C1106" s="19"/>
      <c r="D1106" s="19"/>
      <c r="E1106" s="19"/>
      <c r="F1106" s="19"/>
      <c r="G1106" s="19"/>
      <c r="H1106" s="19"/>
      <c r="I1106" s="19"/>
      <c r="J1106" s="19"/>
      <c r="K1106" s="18"/>
      <c r="L1106" s="18"/>
      <c r="M1106" s="18"/>
      <c r="N1106" s="18"/>
      <c r="O1106" s="18"/>
      <c r="P1106" s="18"/>
      <c r="Q1106" s="18"/>
      <c r="R1106" s="18"/>
      <c r="S1106" s="18"/>
      <c r="T1106" s="18"/>
      <c r="U1106" s="18"/>
      <c r="V1106" s="18"/>
      <c r="W1106" s="18"/>
      <c r="X1106" s="18"/>
      <c r="Y1106" s="18"/>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c r="BC1106" s="18"/>
      <c r="BD1106" s="18"/>
      <c r="BE1106" s="18"/>
      <c r="BF1106" s="18"/>
      <c r="BG1106" s="18"/>
      <c r="BH1106" s="18"/>
      <c r="BI1106" s="18"/>
      <c r="BJ1106" s="18"/>
      <c r="BK1106" s="18"/>
      <c r="BL1106" s="18"/>
      <c r="BM1106" s="18"/>
      <c r="BN1106" s="18"/>
      <c r="BO1106" s="18"/>
      <c r="BP1106" s="18"/>
      <c r="BQ1106" s="18"/>
      <c r="BR1106" s="18"/>
      <c r="BS1106" s="18"/>
      <c r="BT1106" s="18"/>
      <c r="BU1106" s="18"/>
      <c r="BV1106" s="18"/>
      <c r="BW1106" s="18"/>
      <c r="BX1106" s="18"/>
      <c r="BY1106" s="18"/>
      <c r="BZ1106" s="18"/>
      <c r="CA1106" s="18"/>
      <c r="CB1106" s="18"/>
      <c r="CC1106" s="18"/>
      <c r="CD1106" s="18"/>
      <c r="CE1106" s="18"/>
      <c r="CF1106" s="18"/>
      <c r="CG1106" s="18"/>
      <c r="CH1106" s="18"/>
      <c r="CI1106" s="18"/>
      <c r="CJ1106" s="18"/>
      <c r="CK1106" s="18"/>
      <c r="CL1106" s="18"/>
      <c r="CM1106" s="18"/>
      <c r="CN1106" s="18"/>
      <c r="CO1106" s="18"/>
      <c r="CP1106" s="18"/>
      <c r="CQ1106" s="18"/>
      <c r="CR1106" s="18"/>
      <c r="CS1106" s="18"/>
      <c r="CT1106" s="18"/>
      <c r="CU1106" s="18"/>
    </row>
    <row r="1107" spans="1:99">
      <c r="A1107" s="19"/>
      <c r="B1107" s="19"/>
      <c r="C1107" s="19"/>
      <c r="D1107" s="19"/>
      <c r="E1107" s="19"/>
      <c r="F1107" s="19"/>
      <c r="G1107" s="19"/>
      <c r="H1107" s="19"/>
      <c r="I1107" s="19"/>
      <c r="J1107" s="19"/>
      <c r="K1107" s="18"/>
      <c r="L1107" s="18"/>
      <c r="M1107" s="18"/>
      <c r="N1107" s="18"/>
      <c r="O1107" s="18"/>
      <c r="P1107" s="18"/>
      <c r="Q1107" s="18"/>
      <c r="R1107" s="18"/>
      <c r="S1107" s="18"/>
      <c r="T1107" s="18"/>
      <c r="U1107" s="18"/>
      <c r="V1107" s="18"/>
      <c r="W1107" s="18"/>
      <c r="X1107" s="18"/>
      <c r="Y1107" s="18"/>
      <c r="Z1107" s="18"/>
      <c r="AA1107" s="18"/>
      <c r="AB1107" s="18"/>
      <c r="AC1107" s="18"/>
      <c r="AD1107" s="18"/>
      <c r="AE1107" s="18"/>
      <c r="AF1107" s="18"/>
      <c r="AG1107" s="18"/>
      <c r="AH1107" s="18"/>
      <c r="AI1107" s="18"/>
      <c r="AJ1107" s="18"/>
      <c r="AK1107" s="18"/>
      <c r="AL1107" s="18"/>
      <c r="AM1107" s="18"/>
      <c r="AN1107" s="18"/>
      <c r="AO1107" s="18"/>
      <c r="AP1107" s="18"/>
      <c r="AQ1107" s="18"/>
      <c r="AR1107" s="18"/>
      <c r="AS1107" s="18"/>
      <c r="AT1107" s="18"/>
      <c r="AU1107" s="18"/>
      <c r="AV1107" s="18"/>
      <c r="AW1107" s="18"/>
      <c r="AX1107" s="18"/>
      <c r="AY1107" s="18"/>
      <c r="AZ1107" s="18"/>
      <c r="BA1107" s="18"/>
      <c r="BB1107" s="18"/>
      <c r="BC1107" s="18"/>
      <c r="BD1107" s="18"/>
      <c r="BE1107" s="18"/>
      <c r="BF1107" s="18"/>
      <c r="BG1107" s="18"/>
      <c r="BH1107" s="18"/>
      <c r="BI1107" s="18"/>
      <c r="BJ1107" s="18"/>
      <c r="BK1107" s="18"/>
      <c r="BL1107" s="18"/>
      <c r="BM1107" s="18"/>
      <c r="BN1107" s="18"/>
      <c r="BO1107" s="18"/>
      <c r="BP1107" s="18"/>
      <c r="BQ1107" s="18"/>
      <c r="BR1107" s="18"/>
      <c r="BS1107" s="18"/>
      <c r="BT1107" s="18"/>
      <c r="BU1107" s="18"/>
      <c r="BV1107" s="18"/>
      <c r="BW1107" s="18"/>
      <c r="BX1107" s="18"/>
      <c r="BY1107" s="18"/>
      <c r="BZ1107" s="18"/>
      <c r="CA1107" s="18"/>
      <c r="CB1107" s="18"/>
      <c r="CC1107" s="18"/>
      <c r="CD1107" s="18"/>
      <c r="CE1107" s="18"/>
      <c r="CF1107" s="18"/>
      <c r="CG1107" s="18"/>
      <c r="CH1107" s="18"/>
      <c r="CI1107" s="18"/>
      <c r="CJ1107" s="18"/>
      <c r="CK1107" s="18"/>
      <c r="CL1107" s="18"/>
      <c r="CM1107" s="18"/>
      <c r="CN1107" s="18"/>
      <c r="CO1107" s="18"/>
      <c r="CP1107" s="18"/>
      <c r="CQ1107" s="18"/>
      <c r="CR1107" s="18"/>
      <c r="CS1107" s="18"/>
      <c r="CT1107" s="18"/>
      <c r="CU1107" s="18"/>
    </row>
    <row r="1108" spans="1:99">
      <c r="A1108" s="19"/>
      <c r="B1108" s="19"/>
      <c r="C1108" s="19"/>
      <c r="D1108" s="19"/>
      <c r="E1108" s="19"/>
      <c r="F1108" s="19"/>
      <c r="G1108" s="19"/>
      <c r="H1108" s="19"/>
      <c r="I1108" s="19"/>
      <c r="J1108" s="19"/>
      <c r="K1108" s="18"/>
      <c r="L1108" s="18"/>
      <c r="M1108" s="18"/>
      <c r="N1108" s="18"/>
      <c r="O1108" s="18"/>
      <c r="P1108" s="18"/>
      <c r="Q1108" s="18"/>
      <c r="R1108" s="18"/>
      <c r="S1108" s="18"/>
      <c r="T1108" s="18"/>
      <c r="U1108" s="18"/>
      <c r="V1108" s="18"/>
      <c r="W1108" s="18"/>
      <c r="X1108" s="18"/>
      <c r="Y1108" s="18"/>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c r="BC1108" s="18"/>
      <c r="BD1108" s="18"/>
      <c r="BE1108" s="18"/>
      <c r="BF1108" s="18"/>
      <c r="BG1108" s="18"/>
      <c r="BH1108" s="18"/>
      <c r="BI1108" s="18"/>
      <c r="BJ1108" s="18"/>
      <c r="BK1108" s="18"/>
      <c r="BL1108" s="18"/>
      <c r="BM1108" s="18"/>
      <c r="BN1108" s="18"/>
      <c r="BO1108" s="18"/>
      <c r="BP1108" s="18"/>
      <c r="BQ1108" s="18"/>
      <c r="BR1108" s="18"/>
      <c r="BS1108" s="18"/>
      <c r="BT1108" s="18"/>
      <c r="BU1108" s="18"/>
      <c r="BV1108" s="18"/>
      <c r="BW1108" s="18"/>
      <c r="BX1108" s="18"/>
      <c r="BY1108" s="18"/>
      <c r="BZ1108" s="18"/>
      <c r="CA1108" s="18"/>
      <c r="CB1108" s="18"/>
      <c r="CC1108" s="18"/>
      <c r="CD1108" s="18"/>
      <c r="CE1108" s="18"/>
      <c r="CF1108" s="18"/>
      <c r="CG1108" s="18"/>
      <c r="CH1108" s="18"/>
      <c r="CI1108" s="18"/>
      <c r="CJ1108" s="18"/>
      <c r="CK1108" s="18"/>
      <c r="CL1108" s="18"/>
      <c r="CM1108" s="18"/>
      <c r="CN1108" s="18"/>
      <c r="CO1108" s="18"/>
      <c r="CP1108" s="18"/>
      <c r="CQ1108" s="18"/>
      <c r="CR1108" s="18"/>
      <c r="CS1108" s="18"/>
      <c r="CT1108" s="18"/>
      <c r="CU1108" s="18"/>
    </row>
    <row r="1109" spans="1:99">
      <c r="A1109" s="19"/>
      <c r="B1109" s="19"/>
      <c r="C1109" s="19"/>
      <c r="D1109" s="19"/>
      <c r="E1109" s="19"/>
      <c r="F1109" s="19"/>
      <c r="G1109" s="19"/>
      <c r="H1109" s="19"/>
      <c r="I1109" s="19"/>
      <c r="J1109" s="19"/>
      <c r="K1109" s="18"/>
      <c r="L1109" s="18"/>
      <c r="M1109" s="18"/>
      <c r="N1109" s="18"/>
      <c r="O1109" s="18"/>
      <c r="P1109" s="18"/>
      <c r="Q1109" s="18"/>
      <c r="R1109" s="18"/>
      <c r="S1109" s="18"/>
      <c r="T1109" s="18"/>
      <c r="U1109" s="18"/>
      <c r="V1109" s="18"/>
      <c r="W1109" s="18"/>
      <c r="X1109" s="18"/>
      <c r="Y1109" s="18"/>
      <c r="Z1109" s="18"/>
      <c r="AA1109" s="18"/>
      <c r="AB1109" s="18"/>
      <c r="AC1109" s="18"/>
      <c r="AD1109" s="18"/>
      <c r="AE1109" s="18"/>
      <c r="AF1109" s="18"/>
      <c r="AG1109" s="18"/>
      <c r="AH1109" s="18"/>
      <c r="AI1109" s="18"/>
      <c r="AJ1109" s="18"/>
      <c r="AK1109" s="18"/>
      <c r="AL1109" s="18"/>
      <c r="AM1109" s="18"/>
      <c r="AN1109" s="18"/>
      <c r="AO1109" s="18"/>
      <c r="AP1109" s="18"/>
      <c r="AQ1109" s="18"/>
      <c r="AR1109" s="18"/>
      <c r="AS1109" s="18"/>
      <c r="AT1109" s="18"/>
      <c r="AU1109" s="18"/>
      <c r="AV1109" s="18"/>
      <c r="AW1109" s="18"/>
      <c r="AX1109" s="18"/>
      <c r="AY1109" s="18"/>
      <c r="AZ1109" s="18"/>
      <c r="BA1109" s="18"/>
      <c r="BB1109" s="18"/>
      <c r="BC1109" s="18"/>
      <c r="BD1109" s="18"/>
      <c r="BE1109" s="18"/>
      <c r="BF1109" s="18"/>
      <c r="BG1109" s="18"/>
      <c r="BH1109" s="18"/>
      <c r="BI1109" s="18"/>
      <c r="BJ1109" s="18"/>
      <c r="BK1109" s="18"/>
      <c r="BL1109" s="18"/>
      <c r="BM1109" s="18"/>
      <c r="BN1109" s="18"/>
      <c r="BO1109" s="18"/>
      <c r="BP1109" s="18"/>
      <c r="BQ1109" s="18"/>
      <c r="BR1109" s="18"/>
      <c r="BS1109" s="18"/>
      <c r="BT1109" s="18"/>
      <c r="BU1109" s="18"/>
      <c r="BV1109" s="18"/>
      <c r="BW1109" s="18"/>
      <c r="BX1109" s="18"/>
      <c r="BY1109" s="18"/>
      <c r="BZ1109" s="18"/>
      <c r="CA1109" s="18"/>
      <c r="CB1109" s="18"/>
      <c r="CC1109" s="18"/>
      <c r="CD1109" s="18"/>
      <c r="CE1109" s="18"/>
      <c r="CF1109" s="18"/>
      <c r="CG1109" s="18"/>
      <c r="CH1109" s="18"/>
      <c r="CI1109" s="18"/>
      <c r="CJ1109" s="18"/>
      <c r="CK1109" s="18"/>
      <c r="CL1109" s="18"/>
      <c r="CM1109" s="18"/>
      <c r="CN1109" s="18"/>
      <c r="CO1109" s="18"/>
      <c r="CP1109" s="18"/>
      <c r="CQ1109" s="18"/>
      <c r="CR1109" s="18"/>
      <c r="CS1109" s="18"/>
      <c r="CT1109" s="18"/>
      <c r="CU1109" s="18"/>
    </row>
    <row r="1110" spans="1:99">
      <c r="A1110" s="19"/>
      <c r="B1110" s="19"/>
      <c r="C1110" s="19"/>
      <c r="D1110" s="19"/>
      <c r="E1110" s="19"/>
      <c r="F1110" s="19"/>
      <c r="G1110" s="19"/>
      <c r="H1110" s="19"/>
      <c r="I1110" s="19"/>
      <c r="J1110" s="19"/>
      <c r="K1110" s="18"/>
      <c r="L1110" s="18"/>
      <c r="M1110" s="18"/>
      <c r="N1110" s="18"/>
      <c r="O1110" s="18"/>
      <c r="P1110" s="18"/>
      <c r="Q1110" s="18"/>
      <c r="R1110" s="18"/>
      <c r="S1110" s="18"/>
      <c r="T1110" s="18"/>
      <c r="U1110" s="18"/>
      <c r="V1110" s="18"/>
      <c r="W1110" s="18"/>
      <c r="X1110" s="18"/>
      <c r="Y1110" s="18"/>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c r="BC1110" s="18"/>
      <c r="BD1110" s="18"/>
      <c r="BE1110" s="18"/>
      <c r="BF1110" s="18"/>
      <c r="BG1110" s="18"/>
      <c r="BH1110" s="18"/>
      <c r="BI1110" s="18"/>
      <c r="BJ1110" s="18"/>
      <c r="BK1110" s="18"/>
      <c r="BL1110" s="18"/>
      <c r="BM1110" s="18"/>
      <c r="BN1110" s="18"/>
      <c r="BO1110" s="18"/>
      <c r="BP1110" s="18"/>
      <c r="BQ1110" s="18"/>
      <c r="BR1110" s="18"/>
      <c r="BS1110" s="18"/>
      <c r="BT1110" s="18"/>
      <c r="BU1110" s="18"/>
      <c r="BV1110" s="18"/>
      <c r="BW1110" s="18"/>
      <c r="BX1110" s="18"/>
      <c r="BY1110" s="18"/>
      <c r="BZ1110" s="18"/>
      <c r="CA1110" s="18"/>
      <c r="CB1110" s="18"/>
      <c r="CC1110" s="18"/>
      <c r="CD1110" s="18"/>
      <c r="CE1110" s="18"/>
      <c r="CF1110" s="18"/>
      <c r="CG1110" s="18"/>
      <c r="CH1110" s="18"/>
      <c r="CI1110" s="18"/>
      <c r="CJ1110" s="18"/>
      <c r="CK1110" s="18"/>
      <c r="CL1110" s="18"/>
      <c r="CM1110" s="18"/>
      <c r="CN1110" s="18"/>
      <c r="CO1110" s="18"/>
      <c r="CP1110" s="18"/>
      <c r="CQ1110" s="18"/>
      <c r="CR1110" s="18"/>
      <c r="CS1110" s="18"/>
      <c r="CT1110" s="18"/>
      <c r="CU1110" s="18"/>
    </row>
    <row r="1111" spans="1:99">
      <c r="A1111" s="19"/>
      <c r="B1111" s="19"/>
      <c r="C1111" s="19"/>
      <c r="D1111" s="19"/>
      <c r="E1111" s="19"/>
      <c r="F1111" s="19"/>
      <c r="G1111" s="19"/>
      <c r="H1111" s="19"/>
      <c r="I1111" s="19"/>
      <c r="J1111" s="19"/>
      <c r="K1111" s="18"/>
      <c r="L1111" s="18"/>
      <c r="M1111" s="18"/>
      <c r="N1111" s="18"/>
      <c r="O1111" s="18"/>
      <c r="P1111" s="18"/>
      <c r="Q1111" s="18"/>
      <c r="R1111" s="18"/>
      <c r="S1111" s="18"/>
      <c r="T1111" s="18"/>
      <c r="U1111" s="18"/>
      <c r="V1111" s="18"/>
      <c r="W1111" s="18"/>
      <c r="X1111" s="18"/>
      <c r="Y1111" s="18"/>
      <c r="Z1111" s="18"/>
      <c r="AA1111" s="18"/>
      <c r="AB1111" s="18"/>
      <c r="AC1111" s="18"/>
      <c r="AD1111" s="18"/>
      <c r="AE1111" s="18"/>
      <c r="AF1111" s="18"/>
      <c r="AG1111" s="18"/>
      <c r="AH1111" s="18"/>
      <c r="AI1111" s="18"/>
      <c r="AJ1111" s="18"/>
      <c r="AK1111" s="18"/>
      <c r="AL1111" s="18"/>
      <c r="AM1111" s="18"/>
      <c r="AN1111" s="18"/>
      <c r="AO1111" s="18"/>
      <c r="AP1111" s="18"/>
      <c r="AQ1111" s="18"/>
      <c r="AR1111" s="18"/>
      <c r="AS1111" s="18"/>
      <c r="AT1111" s="18"/>
      <c r="AU1111" s="18"/>
      <c r="AV1111" s="18"/>
      <c r="AW1111" s="18"/>
      <c r="AX1111" s="18"/>
      <c r="AY1111" s="18"/>
      <c r="AZ1111" s="18"/>
      <c r="BA1111" s="18"/>
      <c r="BB1111" s="18"/>
      <c r="BC1111" s="18"/>
      <c r="BD1111" s="18"/>
      <c r="BE1111" s="18"/>
      <c r="BF1111" s="18"/>
      <c r="BG1111" s="18"/>
      <c r="BH1111" s="18"/>
      <c r="BI1111" s="18"/>
      <c r="BJ1111" s="18"/>
      <c r="BK1111" s="18"/>
      <c r="BL1111" s="18"/>
      <c r="BM1111" s="18"/>
      <c r="BN1111" s="18"/>
      <c r="BO1111" s="18"/>
      <c r="BP1111" s="18"/>
      <c r="BQ1111" s="18"/>
      <c r="BR1111" s="18"/>
      <c r="BS1111" s="18"/>
      <c r="BT1111" s="18"/>
      <c r="BU1111" s="18"/>
      <c r="BV1111" s="18"/>
      <c r="BW1111" s="18"/>
      <c r="BX1111" s="18"/>
      <c r="BY1111" s="18"/>
      <c r="BZ1111" s="18"/>
      <c r="CA1111" s="18"/>
      <c r="CB1111" s="18"/>
      <c r="CC1111" s="18"/>
      <c r="CD1111" s="18"/>
      <c r="CE1111" s="18"/>
      <c r="CF1111" s="18"/>
      <c r="CG1111" s="18"/>
      <c r="CH1111" s="18"/>
      <c r="CI1111" s="18"/>
      <c r="CJ1111" s="18"/>
      <c r="CK1111" s="18"/>
      <c r="CL1111" s="18"/>
      <c r="CM1111" s="18"/>
      <c r="CN1111" s="18"/>
      <c r="CO1111" s="18"/>
      <c r="CP1111" s="18"/>
      <c r="CQ1111" s="18"/>
      <c r="CR1111" s="18"/>
      <c r="CS1111" s="18"/>
      <c r="CT1111" s="18"/>
      <c r="CU1111" s="18"/>
    </row>
    <row r="1112" spans="1:99">
      <c r="A1112" s="19"/>
      <c r="B1112" s="19"/>
      <c r="C1112" s="19"/>
      <c r="D1112" s="19"/>
      <c r="E1112" s="19"/>
      <c r="F1112" s="19"/>
      <c r="G1112" s="19"/>
      <c r="H1112" s="19"/>
      <c r="I1112" s="19"/>
      <c r="J1112" s="19"/>
      <c r="K1112" s="18"/>
      <c r="L1112" s="18"/>
      <c r="M1112" s="18"/>
      <c r="N1112" s="18"/>
      <c r="O1112" s="18"/>
      <c r="P1112" s="18"/>
      <c r="Q1112" s="18"/>
      <c r="R1112" s="18"/>
      <c r="S1112" s="18"/>
      <c r="T1112" s="18"/>
      <c r="U1112" s="18"/>
      <c r="V1112" s="18"/>
      <c r="W1112" s="18"/>
      <c r="X1112" s="18"/>
      <c r="Y1112" s="18"/>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c r="BC1112" s="18"/>
      <c r="BD1112" s="18"/>
      <c r="BE1112" s="18"/>
      <c r="BF1112" s="18"/>
      <c r="BG1112" s="18"/>
      <c r="BH1112" s="18"/>
      <c r="BI1112" s="18"/>
      <c r="BJ1112" s="18"/>
      <c r="BK1112" s="18"/>
      <c r="BL1112" s="18"/>
      <c r="BM1112" s="18"/>
      <c r="BN1112" s="18"/>
      <c r="BO1112" s="18"/>
      <c r="BP1112" s="18"/>
      <c r="BQ1112" s="18"/>
      <c r="BR1112" s="18"/>
      <c r="BS1112" s="18"/>
      <c r="BT1112" s="18"/>
      <c r="BU1112" s="18"/>
      <c r="BV1112" s="18"/>
      <c r="BW1112" s="18"/>
      <c r="BX1112" s="18"/>
      <c r="BY1112" s="18"/>
      <c r="BZ1112" s="18"/>
      <c r="CA1112" s="18"/>
      <c r="CB1112" s="18"/>
      <c r="CC1112" s="18"/>
      <c r="CD1112" s="18"/>
      <c r="CE1112" s="18"/>
      <c r="CF1112" s="18"/>
      <c r="CG1112" s="18"/>
      <c r="CH1112" s="18"/>
      <c r="CI1112" s="18"/>
      <c r="CJ1112" s="18"/>
      <c r="CK1112" s="18"/>
      <c r="CL1112" s="18"/>
      <c r="CM1112" s="18"/>
      <c r="CN1112" s="18"/>
      <c r="CO1112" s="18"/>
      <c r="CP1112" s="18"/>
      <c r="CQ1112" s="18"/>
      <c r="CR1112" s="18"/>
      <c r="CS1112" s="18"/>
      <c r="CT1112" s="18"/>
      <c r="CU1112" s="18"/>
    </row>
    <row r="1113" spans="1:99">
      <c r="A1113" s="19"/>
      <c r="B1113" s="19"/>
      <c r="C1113" s="19"/>
      <c r="D1113" s="19"/>
      <c r="E1113" s="19"/>
      <c r="F1113" s="19"/>
      <c r="G1113" s="19"/>
      <c r="H1113" s="19"/>
      <c r="I1113" s="19"/>
      <c r="J1113" s="19"/>
      <c r="K1113" s="18"/>
      <c r="L1113" s="18"/>
      <c r="M1113" s="18"/>
      <c r="N1113" s="18"/>
      <c r="O1113" s="18"/>
      <c r="P1113" s="18"/>
      <c r="Q1113" s="18"/>
      <c r="R1113" s="18"/>
      <c r="S1113" s="18"/>
      <c r="T1113" s="18"/>
      <c r="U1113" s="18"/>
      <c r="V1113" s="18"/>
      <c r="W1113" s="18"/>
      <c r="X1113" s="18"/>
      <c r="Y1113" s="18"/>
      <c r="Z1113" s="18"/>
      <c r="AA1113" s="18"/>
      <c r="AB1113" s="18"/>
      <c r="AC1113" s="18"/>
      <c r="AD1113" s="18"/>
      <c r="AE1113" s="18"/>
      <c r="AF1113" s="18"/>
      <c r="AG1113" s="18"/>
      <c r="AH1113" s="18"/>
      <c r="AI1113" s="18"/>
      <c r="AJ1113" s="18"/>
      <c r="AK1113" s="18"/>
      <c r="AL1113" s="18"/>
      <c r="AM1113" s="18"/>
      <c r="AN1113" s="18"/>
      <c r="AO1113" s="18"/>
      <c r="AP1113" s="18"/>
      <c r="AQ1113" s="18"/>
      <c r="AR1113" s="18"/>
      <c r="AS1113" s="18"/>
      <c r="AT1113" s="18"/>
      <c r="AU1113" s="18"/>
      <c r="AV1113" s="18"/>
      <c r="AW1113" s="18"/>
      <c r="AX1113" s="18"/>
      <c r="AY1113" s="18"/>
      <c r="AZ1113" s="18"/>
      <c r="BA1113" s="18"/>
      <c r="BB1113" s="18"/>
      <c r="BC1113" s="18"/>
      <c r="BD1113" s="18"/>
      <c r="BE1113" s="18"/>
      <c r="BF1113" s="18"/>
      <c r="BG1113" s="18"/>
      <c r="BH1113" s="18"/>
      <c r="BI1113" s="18"/>
      <c r="BJ1113" s="18"/>
      <c r="BK1113" s="18"/>
      <c r="BL1113" s="18"/>
      <c r="BM1113" s="18"/>
      <c r="BN1113" s="18"/>
      <c r="BO1113" s="18"/>
      <c r="BP1113" s="18"/>
      <c r="BQ1113" s="18"/>
      <c r="BR1113" s="18"/>
      <c r="BS1113" s="18"/>
      <c r="BT1113" s="18"/>
      <c r="BU1113" s="18"/>
      <c r="BV1113" s="18"/>
      <c r="BW1113" s="18"/>
      <c r="BX1113" s="18"/>
      <c r="BY1113" s="18"/>
      <c r="BZ1113" s="18"/>
      <c r="CA1113" s="18"/>
      <c r="CB1113" s="18"/>
      <c r="CC1113" s="18"/>
      <c r="CD1113" s="18"/>
      <c r="CE1113" s="18"/>
      <c r="CF1113" s="18"/>
      <c r="CG1113" s="18"/>
      <c r="CH1113" s="18"/>
      <c r="CI1113" s="18"/>
      <c r="CJ1113" s="18"/>
      <c r="CK1113" s="18"/>
      <c r="CL1113" s="18"/>
      <c r="CM1113" s="18"/>
      <c r="CN1113" s="18"/>
      <c r="CO1113" s="18"/>
      <c r="CP1113" s="18"/>
      <c r="CQ1113" s="18"/>
      <c r="CR1113" s="18"/>
      <c r="CS1113" s="18"/>
      <c r="CT1113" s="18"/>
      <c r="CU1113" s="18"/>
    </row>
    <row r="1114" spans="1:99">
      <c r="A1114" s="19"/>
      <c r="B1114" s="19"/>
      <c r="C1114" s="19"/>
      <c r="D1114" s="19"/>
      <c r="E1114" s="19"/>
      <c r="F1114" s="19"/>
      <c r="G1114" s="19"/>
      <c r="H1114" s="19"/>
      <c r="I1114" s="19"/>
      <c r="J1114" s="19"/>
      <c r="K1114" s="18"/>
      <c r="L1114" s="18"/>
      <c r="M1114" s="18"/>
      <c r="N1114" s="18"/>
      <c r="O1114" s="18"/>
      <c r="P1114" s="18"/>
      <c r="Q1114" s="18"/>
      <c r="R1114" s="18"/>
      <c r="S1114" s="18"/>
      <c r="T1114" s="18"/>
      <c r="U1114" s="18"/>
      <c r="V1114" s="18"/>
      <c r="W1114" s="18"/>
      <c r="X1114" s="18"/>
      <c r="Y1114" s="18"/>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c r="BC1114" s="18"/>
      <c r="BD1114" s="18"/>
      <c r="BE1114" s="18"/>
      <c r="BF1114" s="18"/>
      <c r="BG1114" s="18"/>
      <c r="BH1114" s="18"/>
      <c r="BI1114" s="18"/>
      <c r="BJ1114" s="18"/>
      <c r="BK1114" s="18"/>
      <c r="BL1114" s="18"/>
      <c r="BM1114" s="18"/>
      <c r="BN1114" s="18"/>
      <c r="BO1114" s="18"/>
      <c r="BP1114" s="18"/>
      <c r="BQ1114" s="18"/>
      <c r="BR1114" s="18"/>
      <c r="BS1114" s="18"/>
      <c r="BT1114" s="18"/>
      <c r="BU1114" s="18"/>
      <c r="BV1114" s="18"/>
      <c r="BW1114" s="18"/>
      <c r="BX1114" s="18"/>
      <c r="BY1114" s="18"/>
      <c r="BZ1114" s="18"/>
      <c r="CA1114" s="18"/>
      <c r="CB1114" s="18"/>
      <c r="CC1114" s="18"/>
      <c r="CD1114" s="18"/>
      <c r="CE1114" s="18"/>
      <c r="CF1114" s="18"/>
      <c r="CG1114" s="18"/>
      <c r="CH1114" s="18"/>
      <c r="CI1114" s="18"/>
      <c r="CJ1114" s="18"/>
      <c r="CK1114" s="18"/>
      <c r="CL1114" s="18"/>
      <c r="CM1114" s="18"/>
      <c r="CN1114" s="18"/>
      <c r="CO1114" s="18"/>
      <c r="CP1114" s="18"/>
      <c r="CQ1114" s="18"/>
      <c r="CR1114" s="18"/>
      <c r="CS1114" s="18"/>
      <c r="CT1114" s="18"/>
      <c r="CU1114" s="18"/>
    </row>
    <row r="1115" spans="1:99">
      <c r="A1115" s="19"/>
      <c r="B1115" s="19"/>
      <c r="C1115" s="19"/>
      <c r="D1115" s="19"/>
      <c r="E1115" s="19"/>
      <c r="F1115" s="19"/>
      <c r="G1115" s="19"/>
      <c r="H1115" s="19"/>
      <c r="I1115" s="19"/>
      <c r="J1115" s="19"/>
      <c r="K1115" s="18"/>
      <c r="L1115" s="18"/>
      <c r="M1115" s="18"/>
      <c r="N1115" s="18"/>
      <c r="O1115" s="18"/>
      <c r="P1115" s="18"/>
      <c r="Q1115" s="18"/>
      <c r="R1115" s="18"/>
      <c r="S1115" s="18"/>
      <c r="T1115" s="18"/>
      <c r="U1115" s="18"/>
      <c r="V1115" s="18"/>
      <c r="W1115" s="18"/>
      <c r="X1115" s="18"/>
      <c r="Y1115" s="18"/>
      <c r="Z1115" s="18"/>
      <c r="AA1115" s="18"/>
      <c r="AB1115" s="18"/>
      <c r="AC1115" s="18"/>
      <c r="AD1115" s="18"/>
      <c r="AE1115" s="18"/>
      <c r="AF1115" s="18"/>
      <c r="AG1115" s="18"/>
      <c r="AH1115" s="18"/>
      <c r="AI1115" s="18"/>
      <c r="AJ1115" s="18"/>
      <c r="AK1115" s="18"/>
      <c r="AL1115" s="18"/>
      <c r="AM1115" s="18"/>
      <c r="AN1115" s="18"/>
      <c r="AO1115" s="18"/>
      <c r="AP1115" s="18"/>
      <c r="AQ1115" s="18"/>
      <c r="AR1115" s="18"/>
      <c r="AS1115" s="18"/>
      <c r="AT1115" s="18"/>
      <c r="AU1115" s="18"/>
      <c r="AV1115" s="18"/>
      <c r="AW1115" s="18"/>
      <c r="AX1115" s="18"/>
      <c r="AY1115" s="18"/>
      <c r="AZ1115" s="18"/>
      <c r="BA1115" s="18"/>
      <c r="BB1115" s="18"/>
      <c r="BC1115" s="18"/>
      <c r="BD1115" s="18"/>
      <c r="BE1115" s="18"/>
      <c r="BF1115" s="18"/>
      <c r="BG1115" s="18"/>
      <c r="BH1115" s="18"/>
      <c r="BI1115" s="18"/>
      <c r="BJ1115" s="18"/>
      <c r="BK1115" s="18"/>
      <c r="BL1115" s="18"/>
      <c r="BM1115" s="18"/>
      <c r="BN1115" s="18"/>
      <c r="BO1115" s="18"/>
      <c r="BP1115" s="18"/>
      <c r="BQ1115" s="18"/>
      <c r="BR1115" s="18"/>
      <c r="BS1115" s="18"/>
      <c r="BT1115" s="18"/>
      <c r="BU1115" s="18"/>
      <c r="BV1115" s="18"/>
      <c r="BW1115" s="18"/>
      <c r="BX1115" s="18"/>
      <c r="BY1115" s="18"/>
      <c r="BZ1115" s="18"/>
      <c r="CA1115" s="18"/>
      <c r="CB1115" s="18"/>
      <c r="CC1115" s="18"/>
      <c r="CD1115" s="18"/>
      <c r="CE1115" s="18"/>
      <c r="CF1115" s="18"/>
      <c r="CG1115" s="18"/>
      <c r="CH1115" s="18"/>
      <c r="CI1115" s="18"/>
      <c r="CJ1115" s="18"/>
      <c r="CK1115" s="18"/>
      <c r="CL1115" s="18"/>
      <c r="CM1115" s="18"/>
      <c r="CN1115" s="18"/>
      <c r="CO1115" s="18"/>
      <c r="CP1115" s="18"/>
      <c r="CQ1115" s="18"/>
      <c r="CR1115" s="18"/>
      <c r="CS1115" s="18"/>
      <c r="CT1115" s="18"/>
      <c r="CU1115" s="18"/>
    </row>
    <row r="1116" spans="1:99">
      <c r="A1116" s="19"/>
      <c r="B1116" s="19"/>
      <c r="C1116" s="19"/>
      <c r="D1116" s="19"/>
      <c r="E1116" s="19"/>
      <c r="F1116" s="19"/>
      <c r="G1116" s="19"/>
      <c r="H1116" s="19"/>
      <c r="I1116" s="19"/>
      <c r="J1116" s="19"/>
      <c r="K1116" s="18"/>
      <c r="L1116" s="18"/>
      <c r="M1116" s="18"/>
      <c r="N1116" s="18"/>
      <c r="O1116" s="18"/>
      <c r="P1116" s="18"/>
      <c r="Q1116" s="18"/>
      <c r="R1116" s="18"/>
      <c r="S1116" s="18"/>
      <c r="T1116" s="18"/>
      <c r="U1116" s="18"/>
      <c r="V1116" s="18"/>
      <c r="W1116" s="18"/>
      <c r="X1116" s="18"/>
      <c r="Y1116" s="18"/>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c r="BC1116" s="18"/>
      <c r="BD1116" s="18"/>
      <c r="BE1116" s="18"/>
      <c r="BF1116" s="18"/>
      <c r="BG1116" s="18"/>
      <c r="BH1116" s="18"/>
      <c r="BI1116" s="18"/>
      <c r="BJ1116" s="18"/>
      <c r="BK1116" s="18"/>
      <c r="BL1116" s="18"/>
      <c r="BM1116" s="18"/>
      <c r="BN1116" s="18"/>
      <c r="BO1116" s="18"/>
      <c r="BP1116" s="18"/>
      <c r="BQ1116" s="18"/>
      <c r="BR1116" s="18"/>
      <c r="BS1116" s="18"/>
      <c r="BT1116" s="18"/>
      <c r="BU1116" s="18"/>
      <c r="BV1116" s="18"/>
      <c r="BW1116" s="18"/>
      <c r="BX1116" s="18"/>
      <c r="BY1116" s="18"/>
      <c r="BZ1116" s="18"/>
      <c r="CA1116" s="18"/>
      <c r="CB1116" s="18"/>
      <c r="CC1116" s="18"/>
      <c r="CD1116" s="18"/>
      <c r="CE1116" s="18"/>
      <c r="CF1116" s="18"/>
      <c r="CG1116" s="18"/>
      <c r="CH1116" s="18"/>
      <c r="CI1116" s="18"/>
      <c r="CJ1116" s="18"/>
      <c r="CK1116" s="18"/>
      <c r="CL1116" s="18"/>
      <c r="CM1116" s="18"/>
      <c r="CN1116" s="18"/>
      <c r="CO1116" s="18"/>
      <c r="CP1116" s="18"/>
      <c r="CQ1116" s="18"/>
      <c r="CR1116" s="18"/>
      <c r="CS1116" s="18"/>
      <c r="CT1116" s="18"/>
      <c r="CU1116" s="18"/>
    </row>
    <row r="1117" spans="1:99">
      <c r="A1117" s="19"/>
      <c r="B1117" s="19"/>
      <c r="C1117" s="19"/>
      <c r="D1117" s="19"/>
      <c r="E1117" s="19"/>
      <c r="F1117" s="19"/>
      <c r="G1117" s="19"/>
      <c r="H1117" s="19"/>
      <c r="I1117" s="19"/>
      <c r="J1117" s="19"/>
      <c r="K1117" s="18"/>
      <c r="L1117" s="18"/>
      <c r="M1117" s="18"/>
      <c r="N1117" s="18"/>
      <c r="O1117" s="18"/>
      <c r="P1117" s="18"/>
      <c r="Q1117" s="18"/>
      <c r="R1117" s="18"/>
      <c r="S1117" s="18"/>
      <c r="T1117" s="18"/>
      <c r="U1117" s="18"/>
      <c r="V1117" s="18"/>
      <c r="W1117" s="18"/>
      <c r="X1117" s="18"/>
      <c r="Y1117" s="18"/>
      <c r="Z1117" s="18"/>
      <c r="AA1117" s="18"/>
      <c r="AB1117" s="18"/>
      <c r="AC1117" s="18"/>
      <c r="AD1117" s="18"/>
      <c r="AE1117" s="18"/>
      <c r="AF1117" s="18"/>
      <c r="AG1117" s="18"/>
      <c r="AH1117" s="18"/>
      <c r="AI1117" s="18"/>
      <c r="AJ1117" s="18"/>
      <c r="AK1117" s="18"/>
      <c r="AL1117" s="18"/>
      <c r="AM1117" s="18"/>
      <c r="AN1117" s="18"/>
      <c r="AO1117" s="18"/>
      <c r="AP1117" s="18"/>
      <c r="AQ1117" s="18"/>
      <c r="AR1117" s="18"/>
      <c r="AS1117" s="18"/>
      <c r="AT1117" s="18"/>
      <c r="AU1117" s="18"/>
      <c r="AV1117" s="18"/>
      <c r="AW1117" s="18"/>
      <c r="AX1117" s="18"/>
      <c r="AY1117" s="18"/>
      <c r="AZ1117" s="18"/>
      <c r="BA1117" s="18"/>
      <c r="BB1117" s="18"/>
      <c r="BC1117" s="18"/>
      <c r="BD1117" s="18"/>
      <c r="BE1117" s="18"/>
      <c r="BF1117" s="18"/>
      <c r="BG1117" s="18"/>
      <c r="BH1117" s="18"/>
      <c r="BI1117" s="18"/>
      <c r="BJ1117" s="18"/>
      <c r="BK1117" s="18"/>
      <c r="BL1117" s="18"/>
      <c r="BM1117" s="18"/>
      <c r="BN1117" s="18"/>
      <c r="BO1117" s="18"/>
      <c r="BP1117" s="18"/>
      <c r="BQ1117" s="18"/>
      <c r="BR1117" s="18"/>
      <c r="BS1117" s="18"/>
      <c r="BT1117" s="18"/>
      <c r="BU1117" s="18"/>
      <c r="BV1117" s="18"/>
      <c r="BW1117" s="18"/>
      <c r="BX1117" s="18"/>
      <c r="BY1117" s="18"/>
      <c r="BZ1117" s="18"/>
      <c r="CA1117" s="18"/>
      <c r="CB1117" s="18"/>
      <c r="CC1117" s="18"/>
      <c r="CD1117" s="18"/>
      <c r="CE1117" s="18"/>
      <c r="CF1117" s="18"/>
      <c r="CG1117" s="18"/>
      <c r="CH1117" s="18"/>
      <c r="CI1117" s="18"/>
      <c r="CJ1117" s="18"/>
      <c r="CK1117" s="18"/>
      <c r="CL1117" s="18"/>
      <c r="CM1117" s="18"/>
      <c r="CN1117" s="18"/>
      <c r="CO1117" s="18"/>
      <c r="CP1117" s="18"/>
      <c r="CQ1117" s="18"/>
      <c r="CR1117" s="18"/>
      <c r="CS1117" s="18"/>
      <c r="CT1117" s="18"/>
      <c r="CU1117" s="18"/>
    </row>
    <row r="1118" spans="1:99">
      <c r="A1118" s="19"/>
      <c r="B1118" s="19"/>
      <c r="C1118" s="19"/>
      <c r="D1118" s="19"/>
      <c r="E1118" s="19"/>
      <c r="F1118" s="19"/>
      <c r="G1118" s="19"/>
      <c r="H1118" s="19"/>
      <c r="I1118" s="19"/>
      <c r="J1118" s="19"/>
      <c r="K1118" s="18"/>
      <c r="L1118" s="18"/>
      <c r="M1118" s="18"/>
      <c r="N1118" s="18"/>
      <c r="O1118" s="18"/>
      <c r="P1118" s="18"/>
      <c r="Q1118" s="18"/>
      <c r="R1118" s="18"/>
      <c r="S1118" s="18"/>
      <c r="T1118" s="18"/>
      <c r="U1118" s="18"/>
      <c r="V1118" s="18"/>
      <c r="W1118" s="18"/>
      <c r="X1118" s="18"/>
      <c r="Y1118" s="18"/>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c r="BC1118" s="18"/>
      <c r="BD1118" s="18"/>
      <c r="BE1118" s="18"/>
      <c r="BF1118" s="18"/>
      <c r="BG1118" s="18"/>
      <c r="BH1118" s="18"/>
      <c r="BI1118" s="18"/>
      <c r="BJ1118" s="18"/>
      <c r="BK1118" s="18"/>
      <c r="BL1118" s="18"/>
      <c r="BM1118" s="18"/>
      <c r="BN1118" s="18"/>
      <c r="BO1118" s="18"/>
      <c r="BP1118" s="18"/>
      <c r="BQ1118" s="18"/>
      <c r="BR1118" s="18"/>
      <c r="BS1118" s="18"/>
      <c r="BT1118" s="18"/>
      <c r="BU1118" s="18"/>
      <c r="BV1118" s="18"/>
      <c r="BW1118" s="18"/>
      <c r="BX1118" s="18"/>
      <c r="BY1118" s="18"/>
      <c r="BZ1118" s="18"/>
      <c r="CA1118" s="18"/>
      <c r="CB1118" s="18"/>
      <c r="CC1118" s="18"/>
      <c r="CD1118" s="18"/>
      <c r="CE1118" s="18"/>
      <c r="CF1118" s="18"/>
      <c r="CG1118" s="18"/>
      <c r="CH1118" s="18"/>
      <c r="CI1118" s="18"/>
      <c r="CJ1118" s="18"/>
      <c r="CK1118" s="18"/>
      <c r="CL1118" s="18"/>
      <c r="CM1118" s="18"/>
      <c r="CN1118" s="18"/>
      <c r="CO1118" s="18"/>
      <c r="CP1118" s="18"/>
      <c r="CQ1118" s="18"/>
      <c r="CR1118" s="18"/>
      <c r="CS1118" s="18"/>
      <c r="CT1118" s="18"/>
      <c r="CU1118" s="18"/>
    </row>
    <row r="1119" spans="1:99">
      <c r="A1119" s="19"/>
      <c r="B1119" s="19"/>
      <c r="C1119" s="19"/>
      <c r="D1119" s="19"/>
      <c r="E1119" s="19"/>
      <c r="F1119" s="19"/>
      <c r="G1119" s="19"/>
      <c r="H1119" s="19"/>
      <c r="I1119" s="19"/>
      <c r="J1119" s="19"/>
      <c r="K1119" s="18"/>
      <c r="L1119" s="18"/>
      <c r="M1119" s="18"/>
      <c r="N1119" s="18"/>
      <c r="O1119" s="18"/>
      <c r="P1119" s="18"/>
      <c r="Q1119" s="18"/>
      <c r="R1119" s="18"/>
      <c r="S1119" s="18"/>
      <c r="T1119" s="18"/>
      <c r="U1119" s="18"/>
      <c r="V1119" s="18"/>
      <c r="W1119" s="18"/>
      <c r="X1119" s="18"/>
      <c r="Y1119" s="18"/>
      <c r="Z1119" s="18"/>
      <c r="AA1119" s="18"/>
      <c r="AB1119" s="18"/>
      <c r="AC1119" s="18"/>
      <c r="AD1119" s="18"/>
      <c r="AE1119" s="18"/>
      <c r="AF1119" s="18"/>
      <c r="AG1119" s="18"/>
      <c r="AH1119" s="18"/>
      <c r="AI1119" s="18"/>
      <c r="AJ1119" s="18"/>
      <c r="AK1119" s="18"/>
      <c r="AL1119" s="18"/>
      <c r="AM1119" s="18"/>
      <c r="AN1119" s="18"/>
      <c r="AO1119" s="18"/>
      <c r="AP1119" s="18"/>
      <c r="AQ1119" s="18"/>
      <c r="AR1119" s="18"/>
      <c r="AS1119" s="18"/>
      <c r="AT1119" s="18"/>
      <c r="AU1119" s="18"/>
      <c r="AV1119" s="18"/>
      <c r="AW1119" s="18"/>
      <c r="AX1119" s="18"/>
      <c r="AY1119" s="18"/>
      <c r="AZ1119" s="18"/>
      <c r="BA1119" s="18"/>
      <c r="BB1119" s="18"/>
      <c r="BC1119" s="18"/>
      <c r="BD1119" s="18"/>
      <c r="BE1119" s="18"/>
      <c r="BF1119" s="18"/>
      <c r="BG1119" s="18"/>
      <c r="BH1119" s="18"/>
      <c r="BI1119" s="18"/>
      <c r="BJ1119" s="18"/>
      <c r="BK1119" s="18"/>
      <c r="BL1119" s="18"/>
      <c r="BM1119" s="18"/>
      <c r="BN1119" s="18"/>
      <c r="BO1119" s="18"/>
      <c r="BP1119" s="18"/>
      <c r="BQ1119" s="18"/>
      <c r="BR1119" s="18"/>
      <c r="BS1119" s="18"/>
      <c r="BT1119" s="18"/>
      <c r="BU1119" s="18"/>
      <c r="BV1119" s="18"/>
      <c r="BW1119" s="18"/>
      <c r="BX1119" s="18"/>
      <c r="BY1119" s="18"/>
      <c r="BZ1119" s="18"/>
      <c r="CA1119" s="18"/>
      <c r="CB1119" s="18"/>
      <c r="CC1119" s="18"/>
      <c r="CD1119" s="18"/>
      <c r="CE1119" s="18"/>
      <c r="CF1119" s="18"/>
      <c r="CG1119" s="18"/>
      <c r="CH1119" s="18"/>
      <c r="CI1119" s="18"/>
      <c r="CJ1119" s="18"/>
      <c r="CK1119" s="18"/>
      <c r="CL1119" s="18"/>
      <c r="CM1119" s="18"/>
      <c r="CN1119" s="18"/>
      <c r="CO1119" s="18"/>
      <c r="CP1119" s="18"/>
      <c r="CQ1119" s="18"/>
      <c r="CR1119" s="18"/>
      <c r="CS1119" s="18"/>
      <c r="CT1119" s="18"/>
      <c r="CU1119" s="18"/>
    </row>
    <row r="1120" spans="1:99">
      <c r="A1120" s="19"/>
      <c r="B1120" s="19"/>
      <c r="C1120" s="19"/>
      <c r="D1120" s="19"/>
      <c r="E1120" s="19"/>
      <c r="F1120" s="19"/>
      <c r="G1120" s="19"/>
      <c r="H1120" s="19"/>
      <c r="I1120" s="19"/>
      <c r="J1120" s="19"/>
      <c r="K1120" s="18"/>
      <c r="L1120" s="18"/>
      <c r="M1120" s="18"/>
      <c r="N1120" s="18"/>
      <c r="O1120" s="18"/>
      <c r="P1120" s="18"/>
      <c r="Q1120" s="18"/>
      <c r="R1120" s="18"/>
      <c r="S1120" s="18"/>
      <c r="T1120" s="18"/>
      <c r="U1120" s="18"/>
      <c r="V1120" s="18"/>
      <c r="W1120" s="18"/>
      <c r="X1120" s="18"/>
      <c r="Y1120" s="18"/>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c r="BC1120" s="18"/>
      <c r="BD1120" s="18"/>
      <c r="BE1120" s="18"/>
      <c r="BF1120" s="18"/>
      <c r="BG1120" s="18"/>
      <c r="BH1120" s="18"/>
      <c r="BI1120" s="18"/>
      <c r="BJ1120" s="18"/>
      <c r="BK1120" s="18"/>
      <c r="BL1120" s="18"/>
      <c r="BM1120" s="18"/>
      <c r="BN1120" s="18"/>
      <c r="BO1120" s="18"/>
      <c r="BP1120" s="18"/>
      <c r="BQ1120" s="18"/>
      <c r="BR1120" s="18"/>
      <c r="BS1120" s="18"/>
      <c r="BT1120" s="18"/>
      <c r="BU1120" s="18"/>
      <c r="BV1120" s="18"/>
      <c r="BW1120" s="18"/>
      <c r="BX1120" s="18"/>
      <c r="BY1120" s="18"/>
      <c r="BZ1120" s="18"/>
      <c r="CA1120" s="18"/>
      <c r="CB1120" s="18"/>
      <c r="CC1120" s="18"/>
      <c r="CD1120" s="18"/>
      <c r="CE1120" s="18"/>
      <c r="CF1120" s="18"/>
      <c r="CG1120" s="18"/>
      <c r="CH1120" s="18"/>
      <c r="CI1120" s="18"/>
      <c r="CJ1120" s="18"/>
      <c r="CK1120" s="18"/>
      <c r="CL1120" s="18"/>
      <c r="CM1120" s="18"/>
      <c r="CN1120" s="18"/>
      <c r="CO1120" s="18"/>
      <c r="CP1120" s="18"/>
      <c r="CQ1120" s="18"/>
      <c r="CR1120" s="18"/>
      <c r="CS1120" s="18"/>
      <c r="CT1120" s="18"/>
      <c r="CU1120" s="18"/>
    </row>
    <row r="1121" spans="1:99">
      <c r="A1121" s="19"/>
      <c r="B1121" s="19"/>
      <c r="C1121" s="19"/>
      <c r="D1121" s="19"/>
      <c r="E1121" s="19"/>
      <c r="F1121" s="19"/>
      <c r="G1121" s="19"/>
      <c r="H1121" s="19"/>
      <c r="I1121" s="19"/>
      <c r="J1121" s="19"/>
      <c r="K1121" s="18"/>
      <c r="L1121" s="18"/>
      <c r="M1121" s="18"/>
      <c r="N1121" s="18"/>
      <c r="O1121" s="18"/>
      <c r="P1121" s="18"/>
      <c r="Q1121" s="18"/>
      <c r="R1121" s="18"/>
      <c r="S1121" s="18"/>
      <c r="T1121" s="18"/>
      <c r="U1121" s="18"/>
      <c r="V1121" s="18"/>
      <c r="W1121" s="18"/>
      <c r="X1121" s="18"/>
      <c r="Y1121" s="18"/>
      <c r="Z1121" s="18"/>
      <c r="AA1121" s="18"/>
      <c r="AB1121" s="18"/>
      <c r="AC1121" s="18"/>
      <c r="AD1121" s="18"/>
      <c r="AE1121" s="18"/>
      <c r="AF1121" s="18"/>
      <c r="AG1121" s="18"/>
      <c r="AH1121" s="18"/>
      <c r="AI1121" s="18"/>
      <c r="AJ1121" s="18"/>
      <c r="AK1121" s="18"/>
      <c r="AL1121" s="18"/>
      <c r="AM1121" s="18"/>
      <c r="AN1121" s="18"/>
      <c r="AO1121" s="18"/>
      <c r="AP1121" s="18"/>
      <c r="AQ1121" s="18"/>
      <c r="AR1121" s="18"/>
      <c r="AS1121" s="18"/>
      <c r="AT1121" s="18"/>
      <c r="AU1121" s="18"/>
      <c r="AV1121" s="18"/>
      <c r="AW1121" s="18"/>
      <c r="AX1121" s="18"/>
      <c r="AY1121" s="18"/>
      <c r="AZ1121" s="18"/>
      <c r="BA1121" s="18"/>
      <c r="BB1121" s="18"/>
      <c r="BC1121" s="18"/>
      <c r="BD1121" s="18"/>
      <c r="BE1121" s="18"/>
      <c r="BF1121" s="18"/>
      <c r="BG1121" s="18"/>
      <c r="BH1121" s="18"/>
      <c r="BI1121" s="18"/>
      <c r="BJ1121" s="18"/>
      <c r="BK1121" s="18"/>
      <c r="BL1121" s="18"/>
      <c r="BM1121" s="18"/>
      <c r="BN1121" s="18"/>
      <c r="BO1121" s="18"/>
      <c r="BP1121" s="18"/>
      <c r="BQ1121" s="18"/>
      <c r="BR1121" s="18"/>
      <c r="BS1121" s="18"/>
      <c r="BT1121" s="18"/>
      <c r="BU1121" s="18"/>
      <c r="BV1121" s="18"/>
      <c r="BW1121" s="18"/>
      <c r="BX1121" s="18"/>
      <c r="BY1121" s="18"/>
      <c r="BZ1121" s="18"/>
      <c r="CA1121" s="18"/>
      <c r="CB1121" s="18"/>
      <c r="CC1121" s="18"/>
      <c r="CD1121" s="18"/>
      <c r="CE1121" s="18"/>
      <c r="CF1121" s="18"/>
      <c r="CG1121" s="18"/>
      <c r="CH1121" s="18"/>
      <c r="CI1121" s="18"/>
      <c r="CJ1121" s="18"/>
      <c r="CK1121" s="18"/>
      <c r="CL1121" s="18"/>
      <c r="CM1121" s="18"/>
      <c r="CN1121" s="18"/>
      <c r="CO1121" s="18"/>
      <c r="CP1121" s="18"/>
      <c r="CQ1121" s="18"/>
      <c r="CR1121" s="18"/>
      <c r="CS1121" s="18"/>
      <c r="CT1121" s="18"/>
      <c r="CU1121" s="18"/>
    </row>
    <row r="1122" spans="1:99">
      <c r="A1122" s="19"/>
      <c r="B1122" s="19"/>
      <c r="C1122" s="19"/>
      <c r="D1122" s="19"/>
      <c r="E1122" s="19"/>
      <c r="F1122" s="19"/>
      <c r="G1122" s="19"/>
      <c r="H1122" s="19"/>
      <c r="I1122" s="19"/>
      <c r="J1122" s="19"/>
      <c r="K1122" s="18"/>
      <c r="L1122" s="18"/>
      <c r="M1122" s="18"/>
      <c r="N1122" s="18"/>
      <c r="O1122" s="18"/>
      <c r="P1122" s="18"/>
      <c r="Q1122" s="18"/>
      <c r="R1122" s="18"/>
      <c r="S1122" s="18"/>
      <c r="T1122" s="18"/>
      <c r="U1122" s="18"/>
      <c r="V1122" s="18"/>
      <c r="W1122" s="18"/>
      <c r="X1122" s="18"/>
      <c r="Y1122" s="18"/>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c r="BC1122" s="18"/>
      <c r="BD1122" s="18"/>
      <c r="BE1122" s="18"/>
      <c r="BF1122" s="18"/>
      <c r="BG1122" s="18"/>
      <c r="BH1122" s="18"/>
      <c r="BI1122" s="18"/>
      <c r="BJ1122" s="18"/>
      <c r="BK1122" s="18"/>
      <c r="BL1122" s="18"/>
      <c r="BM1122" s="18"/>
      <c r="BN1122" s="18"/>
      <c r="BO1122" s="18"/>
      <c r="BP1122" s="18"/>
      <c r="BQ1122" s="18"/>
      <c r="BR1122" s="18"/>
      <c r="BS1122" s="18"/>
      <c r="BT1122" s="18"/>
      <c r="BU1122" s="18"/>
      <c r="BV1122" s="18"/>
      <c r="BW1122" s="18"/>
      <c r="BX1122" s="18"/>
      <c r="BY1122" s="18"/>
      <c r="BZ1122" s="18"/>
      <c r="CA1122" s="18"/>
      <c r="CB1122" s="18"/>
      <c r="CC1122" s="18"/>
      <c r="CD1122" s="18"/>
      <c r="CE1122" s="18"/>
      <c r="CF1122" s="18"/>
      <c r="CG1122" s="18"/>
      <c r="CH1122" s="18"/>
      <c r="CI1122" s="18"/>
      <c r="CJ1122" s="18"/>
      <c r="CK1122" s="18"/>
      <c r="CL1122" s="18"/>
      <c r="CM1122" s="18"/>
      <c r="CN1122" s="18"/>
      <c r="CO1122" s="18"/>
      <c r="CP1122" s="18"/>
      <c r="CQ1122" s="18"/>
      <c r="CR1122" s="18"/>
      <c r="CS1122" s="18"/>
      <c r="CT1122" s="18"/>
      <c r="CU1122" s="18"/>
    </row>
    <row r="1123" spans="1:99">
      <c r="A1123" s="19"/>
      <c r="B1123" s="19"/>
      <c r="C1123" s="19"/>
      <c r="D1123" s="19"/>
      <c r="E1123" s="19"/>
      <c r="F1123" s="19"/>
      <c r="G1123" s="19"/>
      <c r="H1123" s="19"/>
      <c r="I1123" s="19"/>
      <c r="J1123" s="19"/>
      <c r="K1123" s="18"/>
      <c r="L1123" s="18"/>
      <c r="M1123" s="18"/>
      <c r="N1123" s="18"/>
      <c r="O1123" s="18"/>
      <c r="P1123" s="18"/>
      <c r="Q1123" s="18"/>
      <c r="R1123" s="18"/>
      <c r="S1123" s="18"/>
      <c r="T1123" s="18"/>
      <c r="U1123" s="18"/>
      <c r="V1123" s="18"/>
      <c r="W1123" s="18"/>
      <c r="X1123" s="18"/>
      <c r="Y1123" s="18"/>
      <c r="Z1123" s="18"/>
      <c r="AA1123" s="18"/>
      <c r="AB1123" s="18"/>
      <c r="AC1123" s="18"/>
      <c r="AD1123" s="18"/>
      <c r="AE1123" s="18"/>
      <c r="AF1123" s="18"/>
      <c r="AG1123" s="18"/>
      <c r="AH1123" s="18"/>
      <c r="AI1123" s="18"/>
      <c r="AJ1123" s="18"/>
      <c r="AK1123" s="18"/>
      <c r="AL1123" s="18"/>
      <c r="AM1123" s="18"/>
      <c r="AN1123" s="18"/>
      <c r="AO1123" s="18"/>
      <c r="AP1123" s="18"/>
      <c r="AQ1123" s="18"/>
      <c r="AR1123" s="18"/>
      <c r="AS1123" s="18"/>
      <c r="AT1123" s="18"/>
      <c r="AU1123" s="18"/>
      <c r="AV1123" s="18"/>
      <c r="AW1123" s="18"/>
      <c r="AX1123" s="18"/>
      <c r="AY1123" s="18"/>
      <c r="AZ1123" s="18"/>
      <c r="BA1123" s="18"/>
      <c r="BB1123" s="18"/>
      <c r="BC1123" s="18"/>
      <c r="BD1123" s="18"/>
      <c r="BE1123" s="18"/>
      <c r="BF1123" s="18"/>
      <c r="BG1123" s="18"/>
      <c r="BH1123" s="18"/>
      <c r="BI1123" s="18"/>
      <c r="BJ1123" s="18"/>
      <c r="BK1123" s="18"/>
      <c r="BL1123" s="18"/>
      <c r="BM1123" s="18"/>
      <c r="BN1123" s="18"/>
      <c r="BO1123" s="18"/>
      <c r="BP1123" s="18"/>
      <c r="BQ1123" s="18"/>
      <c r="BR1123" s="18"/>
      <c r="BS1123" s="18"/>
      <c r="BT1123" s="18"/>
      <c r="BU1123" s="18"/>
      <c r="BV1123" s="18"/>
      <c r="BW1123" s="18"/>
      <c r="BX1123" s="18"/>
      <c r="BY1123" s="18"/>
      <c r="BZ1123" s="18"/>
      <c r="CA1123" s="18"/>
      <c r="CB1123" s="18"/>
      <c r="CC1123" s="18"/>
      <c r="CD1123" s="18"/>
      <c r="CE1123" s="18"/>
      <c r="CF1123" s="18"/>
      <c r="CG1123" s="18"/>
      <c r="CH1123" s="18"/>
      <c r="CI1123" s="18"/>
      <c r="CJ1123" s="18"/>
      <c r="CK1123" s="18"/>
      <c r="CL1123" s="18"/>
      <c r="CM1123" s="18"/>
      <c r="CN1123" s="18"/>
      <c r="CO1123" s="18"/>
      <c r="CP1123" s="18"/>
      <c r="CQ1123" s="18"/>
      <c r="CR1123" s="18"/>
      <c r="CS1123" s="18"/>
      <c r="CT1123" s="18"/>
      <c r="CU1123" s="18"/>
    </row>
    <row r="1124" spans="1:99">
      <c r="A1124" s="19"/>
      <c r="B1124" s="19"/>
      <c r="C1124" s="19"/>
      <c r="D1124" s="19"/>
      <c r="E1124" s="19"/>
      <c r="F1124" s="19"/>
      <c r="G1124" s="19"/>
      <c r="H1124" s="19"/>
      <c r="I1124" s="19"/>
      <c r="J1124" s="19"/>
      <c r="K1124" s="18"/>
      <c r="L1124" s="18"/>
      <c r="M1124" s="18"/>
      <c r="N1124" s="18"/>
      <c r="O1124" s="18"/>
      <c r="P1124" s="18"/>
      <c r="Q1124" s="18"/>
      <c r="R1124" s="18"/>
      <c r="S1124" s="18"/>
      <c r="T1124" s="18"/>
      <c r="U1124" s="18"/>
      <c r="V1124" s="18"/>
      <c r="W1124" s="18"/>
      <c r="X1124" s="18"/>
      <c r="Y1124" s="18"/>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c r="BC1124" s="18"/>
      <c r="BD1124" s="18"/>
      <c r="BE1124" s="18"/>
      <c r="BF1124" s="18"/>
      <c r="BG1124" s="18"/>
      <c r="BH1124" s="18"/>
      <c r="BI1124" s="18"/>
      <c r="BJ1124" s="18"/>
      <c r="BK1124" s="18"/>
      <c r="BL1124" s="18"/>
      <c r="BM1124" s="18"/>
      <c r="BN1124" s="18"/>
      <c r="BO1124" s="18"/>
      <c r="BP1124" s="18"/>
      <c r="BQ1124" s="18"/>
      <c r="BR1124" s="18"/>
      <c r="BS1124" s="18"/>
      <c r="BT1124" s="18"/>
      <c r="BU1124" s="18"/>
      <c r="BV1124" s="18"/>
      <c r="BW1124" s="18"/>
      <c r="BX1124" s="18"/>
      <c r="BY1124" s="18"/>
      <c r="BZ1124" s="18"/>
      <c r="CA1124" s="18"/>
      <c r="CB1124" s="18"/>
      <c r="CC1124" s="18"/>
      <c r="CD1124" s="18"/>
      <c r="CE1124" s="18"/>
      <c r="CF1124" s="18"/>
      <c r="CG1124" s="18"/>
      <c r="CH1124" s="18"/>
      <c r="CI1124" s="18"/>
      <c r="CJ1124" s="18"/>
      <c r="CK1124" s="18"/>
      <c r="CL1124" s="18"/>
      <c r="CM1124" s="18"/>
      <c r="CN1124" s="18"/>
      <c r="CO1124" s="18"/>
      <c r="CP1124" s="18"/>
      <c r="CQ1124" s="18"/>
      <c r="CR1124" s="18"/>
      <c r="CS1124" s="18"/>
      <c r="CT1124" s="18"/>
      <c r="CU1124" s="18"/>
    </row>
    <row r="1125" spans="1:99">
      <c r="A1125" s="19"/>
      <c r="B1125" s="19"/>
      <c r="C1125" s="19"/>
      <c r="D1125" s="19"/>
      <c r="E1125" s="19"/>
      <c r="F1125" s="19"/>
      <c r="G1125" s="19"/>
      <c r="H1125" s="19"/>
      <c r="I1125" s="19"/>
      <c r="J1125" s="19"/>
      <c r="K1125" s="18"/>
      <c r="L1125" s="18"/>
      <c r="M1125" s="18"/>
      <c r="N1125" s="18"/>
      <c r="O1125" s="18"/>
      <c r="P1125" s="18"/>
      <c r="Q1125" s="18"/>
      <c r="R1125" s="18"/>
      <c r="S1125" s="18"/>
      <c r="T1125" s="18"/>
      <c r="U1125" s="18"/>
      <c r="V1125" s="18"/>
      <c r="W1125" s="18"/>
      <c r="X1125" s="18"/>
      <c r="Y1125" s="18"/>
      <c r="Z1125" s="18"/>
      <c r="AA1125" s="18"/>
      <c r="AB1125" s="18"/>
      <c r="AC1125" s="18"/>
      <c r="AD1125" s="18"/>
      <c r="AE1125" s="18"/>
      <c r="AF1125" s="18"/>
      <c r="AG1125" s="18"/>
      <c r="AH1125" s="18"/>
      <c r="AI1125" s="18"/>
      <c r="AJ1125" s="18"/>
      <c r="AK1125" s="18"/>
      <c r="AL1125" s="18"/>
      <c r="AM1125" s="18"/>
      <c r="AN1125" s="18"/>
      <c r="AO1125" s="18"/>
      <c r="AP1125" s="18"/>
      <c r="AQ1125" s="18"/>
      <c r="AR1125" s="18"/>
      <c r="AS1125" s="18"/>
      <c r="AT1125" s="18"/>
      <c r="AU1125" s="18"/>
      <c r="AV1125" s="18"/>
      <c r="AW1125" s="18"/>
      <c r="AX1125" s="18"/>
      <c r="AY1125" s="18"/>
      <c r="AZ1125" s="18"/>
      <c r="BA1125" s="18"/>
      <c r="BB1125" s="18"/>
      <c r="BC1125" s="18"/>
      <c r="BD1125" s="18"/>
      <c r="BE1125" s="18"/>
      <c r="BF1125" s="18"/>
      <c r="BG1125" s="18"/>
      <c r="BH1125" s="18"/>
      <c r="BI1125" s="18"/>
      <c r="BJ1125" s="18"/>
      <c r="BK1125" s="18"/>
      <c r="BL1125" s="18"/>
      <c r="BM1125" s="18"/>
      <c r="BN1125" s="18"/>
      <c r="BO1125" s="18"/>
      <c r="BP1125" s="18"/>
      <c r="BQ1125" s="18"/>
      <c r="BR1125" s="18"/>
      <c r="BS1125" s="18"/>
      <c r="BT1125" s="18"/>
      <c r="BU1125" s="18"/>
      <c r="BV1125" s="18"/>
      <c r="BW1125" s="18"/>
      <c r="BX1125" s="18"/>
      <c r="BY1125" s="18"/>
      <c r="BZ1125" s="18"/>
      <c r="CA1125" s="18"/>
      <c r="CB1125" s="18"/>
      <c r="CC1125" s="18"/>
      <c r="CD1125" s="18"/>
      <c r="CE1125" s="18"/>
      <c r="CF1125" s="18"/>
      <c r="CG1125" s="18"/>
      <c r="CH1125" s="18"/>
      <c r="CI1125" s="18"/>
      <c r="CJ1125" s="18"/>
      <c r="CK1125" s="18"/>
      <c r="CL1125" s="18"/>
      <c r="CM1125" s="18"/>
      <c r="CN1125" s="18"/>
      <c r="CO1125" s="18"/>
      <c r="CP1125" s="18"/>
      <c r="CQ1125" s="18"/>
      <c r="CR1125" s="18"/>
      <c r="CS1125" s="18"/>
      <c r="CT1125" s="18"/>
      <c r="CU1125" s="18"/>
    </row>
    <row r="1126" spans="1:99">
      <c r="A1126" s="19"/>
      <c r="B1126" s="19"/>
      <c r="C1126" s="19"/>
      <c r="D1126" s="19"/>
      <c r="E1126" s="19"/>
      <c r="F1126" s="19"/>
      <c r="G1126" s="19"/>
      <c r="H1126" s="19"/>
      <c r="I1126" s="19"/>
      <c r="J1126" s="19"/>
      <c r="K1126" s="18"/>
      <c r="L1126" s="18"/>
      <c r="M1126" s="18"/>
      <c r="N1126" s="18"/>
      <c r="O1126" s="18"/>
      <c r="P1126" s="18"/>
      <c r="Q1126" s="18"/>
      <c r="R1126" s="18"/>
      <c r="S1126" s="18"/>
      <c r="T1126" s="18"/>
      <c r="U1126" s="18"/>
      <c r="V1126" s="18"/>
      <c r="W1126" s="18"/>
      <c r="X1126" s="18"/>
      <c r="Y1126" s="18"/>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c r="BC1126" s="18"/>
      <c r="BD1126" s="18"/>
      <c r="BE1126" s="18"/>
      <c r="BF1126" s="18"/>
      <c r="BG1126" s="18"/>
      <c r="BH1126" s="18"/>
      <c r="BI1126" s="18"/>
      <c r="BJ1126" s="18"/>
      <c r="BK1126" s="18"/>
      <c r="BL1126" s="18"/>
      <c r="BM1126" s="18"/>
      <c r="BN1126" s="18"/>
      <c r="BO1126" s="18"/>
      <c r="BP1126" s="18"/>
      <c r="BQ1126" s="18"/>
      <c r="BR1126" s="18"/>
      <c r="BS1126" s="18"/>
      <c r="BT1126" s="18"/>
      <c r="BU1126" s="18"/>
      <c r="BV1126" s="18"/>
      <c r="BW1126" s="18"/>
      <c r="BX1126" s="18"/>
      <c r="BY1126" s="18"/>
      <c r="BZ1126" s="18"/>
      <c r="CA1126" s="18"/>
      <c r="CB1126" s="18"/>
      <c r="CC1126" s="18"/>
      <c r="CD1126" s="18"/>
      <c r="CE1126" s="18"/>
      <c r="CF1126" s="18"/>
      <c r="CG1126" s="18"/>
      <c r="CH1126" s="18"/>
      <c r="CI1126" s="18"/>
      <c r="CJ1126" s="18"/>
      <c r="CK1126" s="18"/>
      <c r="CL1126" s="18"/>
      <c r="CM1126" s="18"/>
      <c r="CN1126" s="18"/>
      <c r="CO1126" s="18"/>
      <c r="CP1126" s="18"/>
      <c r="CQ1126" s="18"/>
      <c r="CR1126" s="18"/>
      <c r="CS1126" s="18"/>
      <c r="CT1126" s="18"/>
      <c r="CU1126" s="18"/>
    </row>
    <row r="1127" spans="1:99">
      <c r="A1127" s="19"/>
      <c r="B1127" s="19"/>
      <c r="C1127" s="19"/>
      <c r="D1127" s="19"/>
      <c r="E1127" s="19"/>
      <c r="F1127" s="19"/>
      <c r="G1127" s="19"/>
      <c r="H1127" s="19"/>
      <c r="I1127" s="19"/>
      <c r="J1127" s="19"/>
      <c r="K1127" s="18"/>
      <c r="L1127" s="18"/>
      <c r="M1127" s="18"/>
      <c r="N1127" s="18"/>
      <c r="O1127" s="18"/>
      <c r="P1127" s="18"/>
      <c r="Q1127" s="18"/>
      <c r="R1127" s="18"/>
      <c r="S1127" s="18"/>
      <c r="T1127" s="18"/>
      <c r="U1127" s="18"/>
      <c r="V1127" s="18"/>
      <c r="W1127" s="18"/>
      <c r="X1127" s="18"/>
      <c r="Y1127" s="18"/>
      <c r="Z1127" s="18"/>
      <c r="AA1127" s="18"/>
      <c r="AB1127" s="18"/>
      <c r="AC1127" s="18"/>
      <c r="AD1127" s="18"/>
      <c r="AE1127" s="18"/>
      <c r="AF1127" s="18"/>
      <c r="AG1127" s="18"/>
      <c r="AH1127" s="18"/>
      <c r="AI1127" s="18"/>
      <c r="AJ1127" s="18"/>
      <c r="AK1127" s="18"/>
      <c r="AL1127" s="18"/>
      <c r="AM1127" s="18"/>
      <c r="AN1127" s="18"/>
      <c r="AO1127" s="18"/>
      <c r="AP1127" s="18"/>
      <c r="AQ1127" s="18"/>
      <c r="AR1127" s="18"/>
      <c r="AS1127" s="18"/>
      <c r="AT1127" s="18"/>
      <c r="AU1127" s="18"/>
      <c r="AV1127" s="18"/>
      <c r="AW1127" s="18"/>
      <c r="AX1127" s="18"/>
      <c r="AY1127" s="18"/>
      <c r="AZ1127" s="18"/>
      <c r="BA1127" s="18"/>
      <c r="BB1127" s="18"/>
      <c r="BC1127" s="18"/>
      <c r="BD1127" s="18"/>
      <c r="BE1127" s="18"/>
      <c r="BF1127" s="18"/>
      <c r="BG1127" s="18"/>
      <c r="BH1127" s="18"/>
      <c r="BI1127" s="18"/>
      <c r="BJ1127" s="18"/>
      <c r="BK1127" s="18"/>
      <c r="BL1127" s="18"/>
      <c r="BM1127" s="18"/>
      <c r="BN1127" s="18"/>
      <c r="BO1127" s="18"/>
      <c r="BP1127" s="18"/>
      <c r="BQ1127" s="18"/>
      <c r="BR1127" s="18"/>
      <c r="BS1127" s="18"/>
      <c r="BT1127" s="18"/>
      <c r="BU1127" s="18"/>
      <c r="BV1127" s="18"/>
      <c r="BW1127" s="18"/>
      <c r="BX1127" s="18"/>
      <c r="BY1127" s="18"/>
      <c r="BZ1127" s="18"/>
      <c r="CA1127" s="18"/>
      <c r="CB1127" s="18"/>
      <c r="CC1127" s="18"/>
      <c r="CD1127" s="18"/>
      <c r="CE1127" s="18"/>
      <c r="CF1127" s="18"/>
      <c r="CG1127" s="18"/>
      <c r="CH1127" s="18"/>
      <c r="CI1127" s="18"/>
      <c r="CJ1127" s="18"/>
      <c r="CK1127" s="18"/>
      <c r="CL1127" s="18"/>
      <c r="CM1127" s="18"/>
      <c r="CN1127" s="18"/>
      <c r="CO1127" s="18"/>
      <c r="CP1127" s="18"/>
      <c r="CQ1127" s="18"/>
      <c r="CR1127" s="18"/>
      <c r="CS1127" s="18"/>
      <c r="CT1127" s="18"/>
      <c r="CU1127" s="18"/>
    </row>
    <row r="1128" spans="1:99">
      <c r="A1128" s="19"/>
      <c r="B1128" s="19"/>
      <c r="C1128" s="19"/>
      <c r="D1128" s="19"/>
      <c r="E1128" s="19"/>
      <c r="F1128" s="19"/>
      <c r="G1128" s="19"/>
      <c r="H1128" s="19"/>
      <c r="I1128" s="19"/>
      <c r="J1128" s="19"/>
      <c r="K1128" s="18"/>
      <c r="L1128" s="18"/>
      <c r="M1128" s="18"/>
      <c r="N1128" s="18"/>
      <c r="O1128" s="18"/>
      <c r="P1128" s="18"/>
      <c r="Q1128" s="18"/>
      <c r="R1128" s="18"/>
      <c r="S1128" s="18"/>
      <c r="T1128" s="18"/>
      <c r="U1128" s="18"/>
      <c r="V1128" s="18"/>
      <c r="W1128" s="18"/>
      <c r="X1128" s="18"/>
      <c r="Y1128" s="18"/>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c r="BC1128" s="18"/>
      <c r="BD1128" s="18"/>
      <c r="BE1128" s="18"/>
      <c r="BF1128" s="18"/>
      <c r="BG1128" s="18"/>
      <c r="BH1128" s="18"/>
      <c r="BI1128" s="18"/>
      <c r="BJ1128" s="18"/>
      <c r="BK1128" s="18"/>
      <c r="BL1128" s="18"/>
      <c r="BM1128" s="18"/>
      <c r="BN1128" s="18"/>
      <c r="BO1128" s="18"/>
      <c r="BP1128" s="18"/>
      <c r="BQ1128" s="18"/>
      <c r="BR1128" s="18"/>
      <c r="BS1128" s="18"/>
      <c r="BT1128" s="18"/>
      <c r="BU1128" s="18"/>
      <c r="BV1128" s="18"/>
      <c r="BW1128" s="18"/>
      <c r="BX1128" s="18"/>
      <c r="BY1128" s="18"/>
      <c r="BZ1128" s="18"/>
      <c r="CA1128" s="18"/>
      <c r="CB1128" s="18"/>
      <c r="CC1128" s="18"/>
      <c r="CD1128" s="18"/>
      <c r="CE1128" s="18"/>
      <c r="CF1128" s="18"/>
      <c r="CG1128" s="18"/>
      <c r="CH1128" s="18"/>
      <c r="CI1128" s="18"/>
      <c r="CJ1128" s="18"/>
      <c r="CK1128" s="18"/>
      <c r="CL1128" s="18"/>
      <c r="CM1128" s="18"/>
      <c r="CN1128" s="18"/>
      <c r="CO1128" s="18"/>
      <c r="CP1128" s="18"/>
      <c r="CQ1128" s="18"/>
      <c r="CR1128" s="18"/>
      <c r="CS1128" s="18"/>
      <c r="CT1128" s="18"/>
      <c r="CU1128" s="18"/>
    </row>
    <row r="1129" spans="1:99">
      <c r="A1129" s="19"/>
      <c r="B1129" s="19"/>
      <c r="C1129" s="19"/>
      <c r="D1129" s="19"/>
      <c r="E1129" s="19"/>
      <c r="F1129" s="19"/>
      <c r="G1129" s="19"/>
      <c r="H1129" s="19"/>
      <c r="I1129" s="19"/>
      <c r="J1129" s="19"/>
      <c r="K1129" s="18"/>
      <c r="L1129" s="18"/>
      <c r="M1129" s="18"/>
      <c r="N1129" s="18"/>
      <c r="O1129" s="18"/>
      <c r="P1129" s="18"/>
      <c r="Q1129" s="18"/>
      <c r="R1129" s="18"/>
      <c r="S1129" s="18"/>
      <c r="T1129" s="18"/>
      <c r="U1129" s="18"/>
      <c r="V1129" s="18"/>
      <c r="W1129" s="18"/>
      <c r="X1129" s="18"/>
      <c r="Y1129" s="18"/>
      <c r="Z1129" s="18"/>
      <c r="AA1129" s="18"/>
      <c r="AB1129" s="18"/>
      <c r="AC1129" s="18"/>
      <c r="AD1129" s="18"/>
      <c r="AE1129" s="18"/>
      <c r="AF1129" s="18"/>
      <c r="AG1129" s="18"/>
      <c r="AH1129" s="18"/>
      <c r="AI1129" s="18"/>
      <c r="AJ1129" s="18"/>
      <c r="AK1129" s="18"/>
      <c r="AL1129" s="18"/>
      <c r="AM1129" s="18"/>
      <c r="AN1129" s="18"/>
      <c r="AO1129" s="18"/>
      <c r="AP1129" s="18"/>
      <c r="AQ1129" s="18"/>
      <c r="AR1129" s="18"/>
      <c r="AS1129" s="18"/>
      <c r="AT1129" s="18"/>
      <c r="AU1129" s="18"/>
      <c r="AV1129" s="18"/>
      <c r="AW1129" s="18"/>
      <c r="AX1129" s="18"/>
      <c r="AY1129" s="18"/>
      <c r="AZ1129" s="18"/>
      <c r="BA1129" s="18"/>
      <c r="BB1129" s="18"/>
      <c r="BC1129" s="18"/>
      <c r="BD1129" s="18"/>
      <c r="BE1129" s="18"/>
      <c r="BF1129" s="18"/>
      <c r="BG1129" s="18"/>
      <c r="BH1129" s="18"/>
      <c r="BI1129" s="18"/>
      <c r="BJ1129" s="18"/>
      <c r="BK1129" s="18"/>
      <c r="BL1129" s="18"/>
      <c r="BM1129" s="18"/>
      <c r="BN1129" s="18"/>
      <c r="BO1129" s="18"/>
      <c r="BP1129" s="18"/>
      <c r="BQ1129" s="18"/>
      <c r="BR1129" s="18"/>
      <c r="BS1129" s="18"/>
      <c r="BT1129" s="18"/>
      <c r="BU1129" s="18"/>
      <c r="BV1129" s="18"/>
      <c r="BW1129" s="18"/>
      <c r="BX1129" s="18"/>
      <c r="BY1129" s="18"/>
      <c r="BZ1129" s="18"/>
      <c r="CA1129" s="18"/>
      <c r="CB1129" s="18"/>
      <c r="CC1129" s="18"/>
      <c r="CD1129" s="18"/>
      <c r="CE1129" s="18"/>
      <c r="CF1129" s="18"/>
      <c r="CG1129" s="18"/>
      <c r="CH1129" s="18"/>
      <c r="CI1129" s="18"/>
      <c r="CJ1129" s="18"/>
      <c r="CK1129" s="18"/>
      <c r="CL1129" s="18"/>
      <c r="CM1129" s="18"/>
      <c r="CN1129" s="18"/>
      <c r="CO1129" s="18"/>
      <c r="CP1129" s="18"/>
      <c r="CQ1129" s="18"/>
      <c r="CR1129" s="18"/>
      <c r="CS1129" s="18"/>
      <c r="CT1129" s="18"/>
      <c r="CU1129" s="18"/>
    </row>
    <row r="1130" spans="1:99">
      <c r="A1130" s="19"/>
      <c r="B1130" s="19"/>
      <c r="C1130" s="19"/>
      <c r="D1130" s="19"/>
      <c r="E1130" s="19"/>
      <c r="F1130" s="19"/>
      <c r="G1130" s="19"/>
      <c r="H1130" s="19"/>
      <c r="I1130" s="19"/>
      <c r="J1130" s="19"/>
      <c r="K1130" s="18"/>
      <c r="L1130" s="18"/>
      <c r="M1130" s="18"/>
      <c r="N1130" s="18"/>
      <c r="O1130" s="18"/>
      <c r="P1130" s="18"/>
      <c r="Q1130" s="18"/>
      <c r="R1130" s="18"/>
      <c r="S1130" s="18"/>
      <c r="T1130" s="18"/>
      <c r="U1130" s="18"/>
      <c r="V1130" s="18"/>
      <c r="W1130" s="18"/>
      <c r="X1130" s="18"/>
      <c r="Y1130" s="18"/>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c r="BC1130" s="18"/>
      <c r="BD1130" s="18"/>
      <c r="BE1130" s="18"/>
      <c r="BF1130" s="18"/>
      <c r="BG1130" s="18"/>
      <c r="BH1130" s="18"/>
      <c r="BI1130" s="18"/>
      <c r="BJ1130" s="18"/>
      <c r="BK1130" s="18"/>
      <c r="BL1130" s="18"/>
      <c r="BM1130" s="18"/>
      <c r="BN1130" s="18"/>
      <c r="BO1130" s="18"/>
      <c r="BP1130" s="18"/>
      <c r="BQ1130" s="18"/>
      <c r="BR1130" s="18"/>
      <c r="BS1130" s="18"/>
      <c r="BT1130" s="18"/>
      <c r="BU1130" s="18"/>
      <c r="BV1130" s="18"/>
      <c r="BW1130" s="18"/>
      <c r="BX1130" s="18"/>
      <c r="BY1130" s="18"/>
      <c r="BZ1130" s="18"/>
      <c r="CA1130" s="18"/>
      <c r="CB1130" s="18"/>
      <c r="CC1130" s="18"/>
      <c r="CD1130" s="18"/>
      <c r="CE1130" s="18"/>
      <c r="CF1130" s="18"/>
      <c r="CG1130" s="18"/>
      <c r="CH1130" s="18"/>
      <c r="CI1130" s="18"/>
      <c r="CJ1130" s="18"/>
      <c r="CK1130" s="18"/>
      <c r="CL1130" s="18"/>
      <c r="CM1130" s="18"/>
      <c r="CN1130" s="18"/>
      <c r="CO1130" s="18"/>
      <c r="CP1130" s="18"/>
      <c r="CQ1130" s="18"/>
      <c r="CR1130" s="18"/>
      <c r="CS1130" s="18"/>
      <c r="CT1130" s="18"/>
      <c r="CU1130" s="18"/>
    </row>
    <row r="1131" spans="1:99">
      <c r="A1131" s="19"/>
      <c r="B1131" s="19"/>
      <c r="C1131" s="19"/>
      <c r="D1131" s="19"/>
      <c r="E1131" s="19"/>
      <c r="F1131" s="19"/>
      <c r="G1131" s="19"/>
      <c r="H1131" s="19"/>
      <c r="I1131" s="19"/>
      <c r="J1131" s="19"/>
      <c r="K1131" s="18"/>
      <c r="L1131" s="18"/>
      <c r="M1131" s="18"/>
      <c r="N1131" s="18"/>
      <c r="O1131" s="18"/>
      <c r="P1131" s="18"/>
      <c r="Q1131" s="18"/>
      <c r="R1131" s="18"/>
      <c r="S1131" s="18"/>
      <c r="T1131" s="18"/>
      <c r="U1131" s="18"/>
      <c r="V1131" s="18"/>
      <c r="W1131" s="18"/>
      <c r="X1131" s="18"/>
      <c r="Y1131" s="18"/>
      <c r="Z1131" s="18"/>
      <c r="AA1131" s="18"/>
      <c r="AB1131" s="18"/>
      <c r="AC1131" s="18"/>
      <c r="AD1131" s="18"/>
      <c r="AE1131" s="18"/>
      <c r="AF1131" s="18"/>
      <c r="AG1131" s="18"/>
      <c r="AH1131" s="18"/>
      <c r="AI1131" s="18"/>
      <c r="AJ1131" s="18"/>
      <c r="AK1131" s="18"/>
      <c r="AL1131" s="18"/>
      <c r="AM1131" s="18"/>
      <c r="AN1131" s="18"/>
      <c r="AO1131" s="18"/>
      <c r="AP1131" s="18"/>
      <c r="AQ1131" s="18"/>
      <c r="AR1131" s="18"/>
      <c r="AS1131" s="18"/>
      <c r="AT1131" s="18"/>
      <c r="AU1131" s="18"/>
      <c r="AV1131" s="18"/>
      <c r="AW1131" s="18"/>
      <c r="AX1131" s="18"/>
      <c r="AY1131" s="18"/>
      <c r="AZ1131" s="18"/>
      <c r="BA1131" s="18"/>
      <c r="BB1131" s="18"/>
      <c r="BC1131" s="18"/>
      <c r="BD1131" s="18"/>
      <c r="BE1131" s="18"/>
      <c r="BF1131" s="18"/>
      <c r="BG1131" s="18"/>
      <c r="BH1131" s="18"/>
      <c r="BI1131" s="18"/>
      <c r="BJ1131" s="18"/>
      <c r="BK1131" s="18"/>
      <c r="BL1131" s="18"/>
      <c r="BM1131" s="18"/>
      <c r="BN1131" s="18"/>
      <c r="BO1131" s="18"/>
      <c r="BP1131" s="18"/>
      <c r="BQ1131" s="18"/>
      <c r="BR1131" s="18"/>
      <c r="BS1131" s="18"/>
      <c r="BT1131" s="18"/>
      <c r="BU1131" s="18"/>
      <c r="BV1131" s="18"/>
      <c r="BW1131" s="18"/>
      <c r="BX1131" s="18"/>
      <c r="BY1131" s="18"/>
      <c r="BZ1131" s="18"/>
      <c r="CA1131" s="18"/>
      <c r="CB1131" s="18"/>
      <c r="CC1131" s="18"/>
      <c r="CD1131" s="18"/>
      <c r="CE1131" s="18"/>
      <c r="CF1131" s="18"/>
      <c r="CG1131" s="18"/>
      <c r="CH1131" s="18"/>
      <c r="CI1131" s="18"/>
      <c r="CJ1131" s="18"/>
      <c r="CK1131" s="18"/>
      <c r="CL1131" s="18"/>
      <c r="CM1131" s="18"/>
      <c r="CN1131" s="18"/>
      <c r="CO1131" s="18"/>
      <c r="CP1131" s="18"/>
      <c r="CQ1131" s="18"/>
      <c r="CR1131" s="18"/>
      <c r="CS1131" s="18"/>
      <c r="CT1131" s="18"/>
      <c r="CU1131" s="18"/>
    </row>
    <row r="1132" spans="1:99">
      <c r="A1132" s="19"/>
      <c r="B1132" s="19"/>
      <c r="C1132" s="19"/>
      <c r="D1132" s="19"/>
      <c r="E1132" s="19"/>
      <c r="F1132" s="19"/>
      <c r="G1132" s="19"/>
      <c r="H1132" s="19"/>
      <c r="I1132" s="19"/>
      <c r="J1132" s="19"/>
      <c r="K1132" s="18"/>
      <c r="L1132" s="18"/>
      <c r="M1132" s="18"/>
      <c r="N1132" s="18"/>
      <c r="O1132" s="18"/>
      <c r="P1132" s="18"/>
      <c r="Q1132" s="18"/>
      <c r="R1132" s="18"/>
      <c r="S1132" s="18"/>
      <c r="T1132" s="18"/>
      <c r="U1132" s="18"/>
      <c r="V1132" s="18"/>
      <c r="W1132" s="18"/>
      <c r="X1132" s="18"/>
      <c r="Y1132" s="18"/>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c r="BC1132" s="18"/>
      <c r="BD1132" s="18"/>
      <c r="BE1132" s="18"/>
      <c r="BF1132" s="18"/>
      <c r="BG1132" s="18"/>
      <c r="BH1132" s="18"/>
      <c r="BI1132" s="18"/>
      <c r="BJ1132" s="18"/>
      <c r="BK1132" s="18"/>
      <c r="BL1132" s="18"/>
      <c r="BM1132" s="18"/>
      <c r="BN1132" s="18"/>
      <c r="BO1132" s="18"/>
      <c r="BP1132" s="18"/>
      <c r="BQ1132" s="18"/>
      <c r="BR1132" s="18"/>
      <c r="BS1132" s="18"/>
      <c r="BT1132" s="18"/>
      <c r="BU1132" s="18"/>
      <c r="BV1132" s="18"/>
      <c r="BW1132" s="18"/>
      <c r="BX1132" s="18"/>
      <c r="BY1132" s="18"/>
      <c r="BZ1132" s="18"/>
      <c r="CA1132" s="18"/>
      <c r="CB1132" s="18"/>
      <c r="CC1132" s="18"/>
      <c r="CD1132" s="18"/>
      <c r="CE1132" s="18"/>
      <c r="CF1132" s="18"/>
      <c r="CG1132" s="18"/>
      <c r="CH1132" s="18"/>
      <c r="CI1132" s="18"/>
      <c r="CJ1132" s="18"/>
      <c r="CK1132" s="18"/>
      <c r="CL1132" s="18"/>
      <c r="CM1132" s="18"/>
      <c r="CN1132" s="18"/>
      <c r="CO1132" s="18"/>
      <c r="CP1132" s="18"/>
      <c r="CQ1132" s="18"/>
      <c r="CR1132" s="18"/>
      <c r="CS1132" s="18"/>
      <c r="CT1132" s="18"/>
      <c r="CU1132" s="18"/>
    </row>
    <row r="1133" spans="1:99">
      <c r="A1133" s="19"/>
      <c r="B1133" s="19"/>
      <c r="C1133" s="19"/>
      <c r="D1133" s="19"/>
      <c r="E1133" s="19"/>
      <c r="F1133" s="19"/>
      <c r="G1133" s="19"/>
      <c r="H1133" s="19"/>
      <c r="I1133" s="19"/>
      <c r="J1133" s="19"/>
      <c r="K1133" s="18"/>
      <c r="L1133" s="18"/>
      <c r="M1133" s="18"/>
      <c r="N1133" s="18"/>
      <c r="O1133" s="18"/>
      <c r="P1133" s="18"/>
      <c r="Q1133" s="18"/>
      <c r="R1133" s="18"/>
      <c r="S1133" s="18"/>
      <c r="T1133" s="18"/>
      <c r="U1133" s="18"/>
      <c r="V1133" s="18"/>
      <c r="W1133" s="18"/>
      <c r="X1133" s="18"/>
      <c r="Y1133" s="18"/>
      <c r="Z1133" s="18"/>
      <c r="AA1133" s="18"/>
      <c r="AB1133" s="18"/>
      <c r="AC1133" s="18"/>
      <c r="AD1133" s="18"/>
      <c r="AE1133" s="18"/>
      <c r="AF1133" s="18"/>
      <c r="AG1133" s="18"/>
      <c r="AH1133" s="18"/>
      <c r="AI1133" s="18"/>
      <c r="AJ1133" s="18"/>
      <c r="AK1133" s="18"/>
      <c r="AL1133" s="18"/>
      <c r="AM1133" s="18"/>
      <c r="AN1133" s="18"/>
      <c r="AO1133" s="18"/>
      <c r="AP1133" s="18"/>
      <c r="AQ1133" s="18"/>
      <c r="AR1133" s="18"/>
      <c r="AS1133" s="18"/>
      <c r="AT1133" s="18"/>
      <c r="AU1133" s="18"/>
      <c r="AV1133" s="18"/>
      <c r="AW1133" s="18"/>
      <c r="AX1133" s="18"/>
      <c r="AY1133" s="18"/>
      <c r="AZ1133" s="18"/>
      <c r="BA1133" s="18"/>
      <c r="BB1133" s="18"/>
      <c r="BC1133" s="18"/>
      <c r="BD1133" s="18"/>
      <c r="BE1133" s="18"/>
      <c r="BF1133" s="18"/>
      <c r="BG1133" s="18"/>
      <c r="BH1133" s="18"/>
      <c r="BI1133" s="18"/>
      <c r="BJ1133" s="18"/>
      <c r="BK1133" s="18"/>
      <c r="BL1133" s="18"/>
      <c r="BM1133" s="18"/>
      <c r="BN1133" s="18"/>
      <c r="BO1133" s="18"/>
      <c r="BP1133" s="18"/>
      <c r="BQ1133" s="18"/>
      <c r="BR1133" s="18"/>
      <c r="BS1133" s="18"/>
      <c r="BT1133" s="18"/>
      <c r="BU1133" s="18"/>
      <c r="BV1133" s="18"/>
      <c r="BW1133" s="18"/>
      <c r="BX1133" s="18"/>
      <c r="BY1133" s="18"/>
      <c r="BZ1133" s="18"/>
      <c r="CA1133" s="18"/>
      <c r="CB1133" s="18"/>
      <c r="CC1133" s="18"/>
      <c r="CD1133" s="18"/>
      <c r="CE1133" s="18"/>
      <c r="CF1133" s="18"/>
      <c r="CG1133" s="18"/>
      <c r="CH1133" s="18"/>
      <c r="CI1133" s="18"/>
      <c r="CJ1133" s="18"/>
      <c r="CK1133" s="18"/>
      <c r="CL1133" s="18"/>
      <c r="CM1133" s="18"/>
      <c r="CN1133" s="18"/>
      <c r="CO1133" s="18"/>
      <c r="CP1133" s="18"/>
      <c r="CQ1133" s="18"/>
      <c r="CR1133" s="18"/>
      <c r="CS1133" s="18"/>
      <c r="CT1133" s="18"/>
      <c r="CU1133" s="18"/>
    </row>
    <row r="1134" spans="1:99">
      <c r="A1134" s="19"/>
      <c r="B1134" s="19"/>
      <c r="C1134" s="19"/>
      <c r="D1134" s="19"/>
      <c r="E1134" s="19"/>
      <c r="F1134" s="19"/>
      <c r="G1134" s="19"/>
      <c r="H1134" s="19"/>
      <c r="I1134" s="19"/>
      <c r="J1134" s="19"/>
      <c r="K1134" s="18"/>
      <c r="L1134" s="18"/>
      <c r="M1134" s="18"/>
      <c r="N1134" s="18"/>
      <c r="O1134" s="18"/>
      <c r="P1134" s="18"/>
      <c r="Q1134" s="18"/>
      <c r="R1134" s="18"/>
      <c r="S1134" s="18"/>
      <c r="T1134" s="18"/>
      <c r="U1134" s="18"/>
      <c r="V1134" s="18"/>
      <c r="W1134" s="18"/>
      <c r="X1134" s="18"/>
      <c r="Y1134" s="18"/>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c r="BC1134" s="18"/>
      <c r="BD1134" s="18"/>
      <c r="BE1134" s="18"/>
      <c r="BF1134" s="18"/>
      <c r="BG1134" s="18"/>
      <c r="BH1134" s="18"/>
      <c r="BI1134" s="18"/>
      <c r="BJ1134" s="18"/>
      <c r="BK1134" s="18"/>
      <c r="BL1134" s="18"/>
      <c r="BM1134" s="18"/>
      <c r="BN1134" s="18"/>
      <c r="BO1134" s="18"/>
      <c r="BP1134" s="18"/>
      <c r="BQ1134" s="18"/>
      <c r="BR1134" s="18"/>
      <c r="BS1134" s="18"/>
      <c r="BT1134" s="18"/>
      <c r="BU1134" s="18"/>
      <c r="BV1134" s="18"/>
      <c r="BW1134" s="18"/>
      <c r="BX1134" s="18"/>
      <c r="BY1134" s="18"/>
      <c r="BZ1134" s="18"/>
      <c r="CA1134" s="18"/>
      <c r="CB1134" s="18"/>
      <c r="CC1134" s="18"/>
      <c r="CD1134" s="18"/>
      <c r="CE1134" s="18"/>
      <c r="CF1134" s="18"/>
      <c r="CG1134" s="18"/>
      <c r="CH1134" s="18"/>
      <c r="CI1134" s="18"/>
      <c r="CJ1134" s="18"/>
      <c r="CK1134" s="18"/>
      <c r="CL1134" s="18"/>
      <c r="CM1134" s="18"/>
      <c r="CN1134" s="18"/>
      <c r="CO1134" s="18"/>
      <c r="CP1134" s="18"/>
      <c r="CQ1134" s="18"/>
      <c r="CR1134" s="18"/>
      <c r="CS1134" s="18"/>
      <c r="CT1134" s="18"/>
      <c r="CU1134" s="18"/>
    </row>
    <row r="1135" spans="1:99">
      <c r="A1135" s="19"/>
      <c r="B1135" s="19"/>
      <c r="C1135" s="19"/>
      <c r="D1135" s="19"/>
      <c r="E1135" s="19"/>
      <c r="F1135" s="19"/>
      <c r="G1135" s="19"/>
      <c r="H1135" s="19"/>
      <c r="I1135" s="19"/>
      <c r="J1135" s="19"/>
      <c r="K1135" s="18"/>
      <c r="L1135" s="18"/>
      <c r="M1135" s="18"/>
      <c r="N1135" s="18"/>
      <c r="O1135" s="18"/>
      <c r="P1135" s="18"/>
      <c r="Q1135" s="18"/>
      <c r="R1135" s="18"/>
      <c r="S1135" s="18"/>
      <c r="T1135" s="18"/>
      <c r="U1135" s="18"/>
      <c r="V1135" s="18"/>
      <c r="W1135" s="18"/>
      <c r="X1135" s="18"/>
      <c r="Y1135" s="18"/>
      <c r="Z1135" s="18"/>
      <c r="AA1135" s="18"/>
      <c r="AB1135" s="18"/>
      <c r="AC1135" s="18"/>
      <c r="AD1135" s="18"/>
      <c r="AE1135" s="18"/>
      <c r="AF1135" s="18"/>
      <c r="AG1135" s="18"/>
      <c r="AH1135" s="18"/>
      <c r="AI1135" s="18"/>
      <c r="AJ1135" s="18"/>
      <c r="AK1135" s="18"/>
      <c r="AL1135" s="18"/>
      <c r="AM1135" s="18"/>
      <c r="AN1135" s="18"/>
      <c r="AO1135" s="18"/>
      <c r="AP1135" s="18"/>
      <c r="AQ1135" s="18"/>
      <c r="AR1135" s="18"/>
      <c r="AS1135" s="18"/>
      <c r="AT1135" s="18"/>
      <c r="AU1135" s="18"/>
      <c r="AV1135" s="18"/>
      <c r="AW1135" s="18"/>
      <c r="AX1135" s="18"/>
      <c r="AY1135" s="18"/>
      <c r="AZ1135" s="18"/>
      <c r="BA1135" s="18"/>
      <c r="BB1135" s="18"/>
      <c r="BC1135" s="18"/>
      <c r="BD1135" s="18"/>
      <c r="BE1135" s="18"/>
      <c r="BF1135" s="18"/>
      <c r="BG1135" s="18"/>
      <c r="BH1135" s="18"/>
      <c r="BI1135" s="18"/>
      <c r="BJ1135" s="18"/>
      <c r="BK1135" s="18"/>
      <c r="BL1135" s="18"/>
      <c r="BM1135" s="18"/>
      <c r="BN1135" s="18"/>
      <c r="BO1135" s="18"/>
      <c r="BP1135" s="18"/>
      <c r="BQ1135" s="18"/>
      <c r="BR1135" s="18"/>
      <c r="BS1135" s="18"/>
      <c r="BT1135" s="18"/>
      <c r="BU1135" s="18"/>
      <c r="BV1135" s="18"/>
      <c r="BW1135" s="18"/>
      <c r="BX1135" s="18"/>
      <c r="BY1135" s="18"/>
      <c r="BZ1135" s="18"/>
      <c r="CA1135" s="18"/>
      <c r="CB1135" s="18"/>
      <c r="CC1135" s="18"/>
      <c r="CD1135" s="18"/>
      <c r="CE1135" s="18"/>
      <c r="CF1135" s="18"/>
      <c r="CG1135" s="18"/>
      <c r="CH1135" s="18"/>
      <c r="CI1135" s="18"/>
      <c r="CJ1135" s="18"/>
      <c r="CK1135" s="18"/>
      <c r="CL1135" s="18"/>
      <c r="CM1135" s="18"/>
      <c r="CN1135" s="18"/>
      <c r="CO1135" s="18"/>
      <c r="CP1135" s="18"/>
      <c r="CQ1135" s="18"/>
      <c r="CR1135" s="18"/>
      <c r="CS1135" s="18"/>
      <c r="CT1135" s="18"/>
      <c r="CU1135" s="18"/>
    </row>
    <row r="1136" spans="1:99">
      <c r="A1136" s="19"/>
      <c r="B1136" s="19"/>
      <c r="C1136" s="19"/>
      <c r="D1136" s="19"/>
      <c r="E1136" s="19"/>
      <c r="F1136" s="19"/>
      <c r="G1136" s="19"/>
      <c r="H1136" s="19"/>
      <c r="I1136" s="19"/>
      <c r="J1136" s="19"/>
      <c r="K1136" s="18"/>
      <c r="L1136" s="18"/>
      <c r="M1136" s="18"/>
      <c r="N1136" s="18"/>
      <c r="O1136" s="18"/>
      <c r="P1136" s="18"/>
      <c r="Q1136" s="18"/>
      <c r="R1136" s="18"/>
      <c r="S1136" s="18"/>
      <c r="T1136" s="18"/>
      <c r="U1136" s="18"/>
      <c r="V1136" s="18"/>
      <c r="W1136" s="18"/>
      <c r="X1136" s="18"/>
      <c r="Y1136" s="18"/>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c r="BC1136" s="18"/>
      <c r="BD1136" s="18"/>
      <c r="BE1136" s="18"/>
      <c r="BF1136" s="18"/>
      <c r="BG1136" s="18"/>
      <c r="BH1136" s="18"/>
      <c r="BI1136" s="18"/>
      <c r="BJ1136" s="18"/>
      <c r="BK1136" s="18"/>
      <c r="BL1136" s="18"/>
      <c r="BM1136" s="18"/>
      <c r="BN1136" s="18"/>
      <c r="BO1136" s="18"/>
      <c r="BP1136" s="18"/>
      <c r="BQ1136" s="18"/>
      <c r="BR1136" s="18"/>
      <c r="BS1136" s="18"/>
      <c r="BT1136" s="18"/>
      <c r="BU1136" s="18"/>
      <c r="BV1136" s="18"/>
      <c r="BW1136" s="18"/>
      <c r="BX1136" s="18"/>
      <c r="BY1136" s="18"/>
      <c r="BZ1136" s="18"/>
      <c r="CA1136" s="18"/>
      <c r="CB1136" s="18"/>
      <c r="CC1136" s="18"/>
      <c r="CD1136" s="18"/>
      <c r="CE1136" s="18"/>
      <c r="CF1136" s="18"/>
      <c r="CG1136" s="18"/>
      <c r="CH1136" s="18"/>
      <c r="CI1136" s="18"/>
      <c r="CJ1136" s="18"/>
      <c r="CK1136" s="18"/>
      <c r="CL1136" s="18"/>
      <c r="CM1136" s="18"/>
      <c r="CN1136" s="18"/>
      <c r="CO1136" s="18"/>
      <c r="CP1136" s="18"/>
      <c r="CQ1136" s="18"/>
      <c r="CR1136" s="18"/>
      <c r="CS1136" s="18"/>
      <c r="CT1136" s="18"/>
      <c r="CU1136" s="18"/>
    </row>
    <row r="1137" spans="1:99">
      <c r="A1137" s="19"/>
      <c r="B1137" s="19"/>
      <c r="C1137" s="19"/>
      <c r="D1137" s="19"/>
      <c r="E1137" s="19"/>
      <c r="F1137" s="19"/>
      <c r="G1137" s="19"/>
      <c r="H1137" s="19"/>
      <c r="I1137" s="19"/>
      <c r="J1137" s="19"/>
      <c r="K1137" s="18"/>
      <c r="L1137" s="18"/>
      <c r="M1137" s="18"/>
      <c r="N1137" s="18"/>
      <c r="O1137" s="18"/>
      <c r="P1137" s="18"/>
      <c r="Q1137" s="18"/>
      <c r="R1137" s="18"/>
      <c r="S1137" s="18"/>
      <c r="T1137" s="18"/>
      <c r="U1137" s="18"/>
      <c r="V1137" s="18"/>
      <c r="W1137" s="18"/>
      <c r="X1137" s="18"/>
      <c r="Y1137" s="18"/>
      <c r="Z1137" s="18"/>
      <c r="AA1137" s="18"/>
      <c r="AB1137" s="18"/>
      <c r="AC1137" s="18"/>
      <c r="AD1137" s="18"/>
      <c r="AE1137" s="18"/>
      <c r="AF1137" s="18"/>
      <c r="AG1137" s="18"/>
      <c r="AH1137" s="18"/>
      <c r="AI1137" s="18"/>
      <c r="AJ1137" s="18"/>
      <c r="AK1137" s="18"/>
      <c r="AL1137" s="18"/>
      <c r="AM1137" s="18"/>
      <c r="AN1137" s="18"/>
      <c r="AO1137" s="18"/>
      <c r="AP1137" s="18"/>
      <c r="AQ1137" s="18"/>
      <c r="AR1137" s="18"/>
      <c r="AS1137" s="18"/>
      <c r="AT1137" s="18"/>
      <c r="AU1137" s="18"/>
      <c r="AV1137" s="18"/>
      <c r="AW1137" s="18"/>
      <c r="AX1137" s="18"/>
      <c r="AY1137" s="18"/>
      <c r="AZ1137" s="18"/>
      <c r="BA1137" s="18"/>
      <c r="BB1137" s="18"/>
      <c r="BC1137" s="18"/>
      <c r="BD1137" s="18"/>
      <c r="BE1137" s="18"/>
      <c r="BF1137" s="18"/>
      <c r="BG1137" s="18"/>
      <c r="BH1137" s="18"/>
      <c r="BI1137" s="18"/>
      <c r="BJ1137" s="18"/>
      <c r="BK1137" s="18"/>
      <c r="BL1137" s="18"/>
      <c r="BM1137" s="18"/>
      <c r="BN1137" s="18"/>
      <c r="BO1137" s="18"/>
      <c r="BP1137" s="18"/>
      <c r="BQ1137" s="18"/>
      <c r="BR1137" s="18"/>
      <c r="BS1137" s="18"/>
      <c r="BT1137" s="18"/>
      <c r="BU1137" s="18"/>
      <c r="BV1137" s="18"/>
      <c r="BW1137" s="18"/>
      <c r="BX1137" s="18"/>
      <c r="BY1137" s="18"/>
      <c r="BZ1137" s="18"/>
      <c r="CA1137" s="18"/>
      <c r="CB1137" s="18"/>
      <c r="CC1137" s="18"/>
      <c r="CD1137" s="18"/>
      <c r="CE1137" s="18"/>
      <c r="CF1137" s="18"/>
      <c r="CG1137" s="18"/>
      <c r="CH1137" s="18"/>
      <c r="CI1137" s="18"/>
      <c r="CJ1137" s="18"/>
      <c r="CK1137" s="18"/>
      <c r="CL1137" s="18"/>
      <c r="CM1137" s="18"/>
      <c r="CN1137" s="18"/>
      <c r="CO1137" s="18"/>
      <c r="CP1137" s="18"/>
      <c r="CQ1137" s="18"/>
      <c r="CR1137" s="18"/>
      <c r="CS1137" s="18"/>
      <c r="CT1137" s="18"/>
      <c r="CU1137" s="18"/>
    </row>
    <row r="1138" spans="1:99">
      <c r="A1138" s="19"/>
      <c r="B1138" s="19"/>
      <c r="C1138" s="19"/>
      <c r="D1138" s="19"/>
      <c r="E1138" s="19"/>
      <c r="F1138" s="19"/>
      <c r="G1138" s="19"/>
      <c r="H1138" s="19"/>
      <c r="I1138" s="19"/>
      <c r="J1138" s="19"/>
      <c r="K1138" s="18"/>
      <c r="L1138" s="18"/>
      <c r="M1138" s="18"/>
      <c r="N1138" s="18"/>
      <c r="O1138" s="18"/>
      <c r="P1138" s="18"/>
      <c r="Q1138" s="18"/>
      <c r="R1138" s="18"/>
      <c r="S1138" s="18"/>
      <c r="T1138" s="18"/>
      <c r="U1138" s="18"/>
      <c r="V1138" s="18"/>
      <c r="W1138" s="18"/>
      <c r="X1138" s="18"/>
      <c r="Y1138" s="18"/>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c r="BC1138" s="18"/>
      <c r="BD1138" s="18"/>
      <c r="BE1138" s="18"/>
      <c r="BF1138" s="18"/>
      <c r="BG1138" s="18"/>
      <c r="BH1138" s="18"/>
      <c r="BI1138" s="18"/>
      <c r="BJ1138" s="18"/>
      <c r="BK1138" s="18"/>
      <c r="BL1138" s="18"/>
      <c r="BM1138" s="18"/>
      <c r="BN1138" s="18"/>
      <c r="BO1138" s="18"/>
      <c r="BP1138" s="18"/>
      <c r="BQ1138" s="18"/>
      <c r="BR1138" s="18"/>
      <c r="BS1138" s="18"/>
      <c r="BT1138" s="18"/>
      <c r="BU1138" s="18"/>
      <c r="BV1138" s="18"/>
      <c r="BW1138" s="18"/>
      <c r="BX1138" s="18"/>
      <c r="BY1138" s="18"/>
      <c r="BZ1138" s="18"/>
      <c r="CA1138" s="18"/>
      <c r="CB1138" s="18"/>
      <c r="CC1138" s="18"/>
      <c r="CD1138" s="18"/>
      <c r="CE1138" s="18"/>
      <c r="CF1138" s="18"/>
      <c r="CG1138" s="18"/>
      <c r="CH1138" s="18"/>
      <c r="CI1138" s="18"/>
      <c r="CJ1138" s="18"/>
      <c r="CK1138" s="18"/>
      <c r="CL1138" s="18"/>
      <c r="CM1138" s="18"/>
      <c r="CN1138" s="18"/>
      <c r="CO1138" s="18"/>
      <c r="CP1138" s="18"/>
      <c r="CQ1138" s="18"/>
      <c r="CR1138" s="18"/>
      <c r="CS1138" s="18"/>
      <c r="CT1138" s="18"/>
      <c r="CU1138" s="18"/>
    </row>
    <row r="1139" spans="1:99">
      <c r="A1139" s="19"/>
      <c r="B1139" s="19"/>
      <c r="C1139" s="19"/>
      <c r="D1139" s="19"/>
      <c r="E1139" s="19"/>
      <c r="F1139" s="19"/>
      <c r="G1139" s="19"/>
      <c r="H1139" s="19"/>
      <c r="I1139" s="19"/>
      <c r="J1139" s="19"/>
      <c r="K1139" s="18"/>
      <c r="L1139" s="18"/>
      <c r="M1139" s="18"/>
      <c r="N1139" s="18"/>
      <c r="O1139" s="18"/>
      <c r="P1139" s="18"/>
      <c r="Q1139" s="18"/>
      <c r="R1139" s="18"/>
      <c r="S1139" s="18"/>
      <c r="T1139" s="18"/>
      <c r="U1139" s="18"/>
      <c r="V1139" s="18"/>
      <c r="W1139" s="18"/>
      <c r="X1139" s="18"/>
      <c r="Y1139" s="18"/>
      <c r="Z1139" s="18"/>
      <c r="AA1139" s="18"/>
      <c r="AB1139" s="18"/>
      <c r="AC1139" s="18"/>
      <c r="AD1139" s="18"/>
      <c r="AE1139" s="18"/>
      <c r="AF1139" s="18"/>
      <c r="AG1139" s="18"/>
      <c r="AH1139" s="18"/>
      <c r="AI1139" s="18"/>
      <c r="AJ1139" s="18"/>
      <c r="AK1139" s="18"/>
      <c r="AL1139" s="18"/>
      <c r="AM1139" s="18"/>
      <c r="AN1139" s="18"/>
      <c r="AO1139" s="18"/>
      <c r="AP1139" s="18"/>
      <c r="AQ1139" s="18"/>
      <c r="AR1139" s="18"/>
      <c r="AS1139" s="18"/>
      <c r="AT1139" s="18"/>
      <c r="AU1139" s="18"/>
      <c r="AV1139" s="18"/>
      <c r="AW1139" s="18"/>
      <c r="AX1139" s="18"/>
      <c r="AY1139" s="18"/>
      <c r="AZ1139" s="18"/>
      <c r="BA1139" s="18"/>
      <c r="BB1139" s="18"/>
      <c r="BC1139" s="18"/>
      <c r="BD1139" s="18"/>
      <c r="BE1139" s="18"/>
      <c r="BF1139" s="18"/>
      <c r="BG1139" s="18"/>
      <c r="BH1139" s="18"/>
      <c r="BI1139" s="18"/>
      <c r="BJ1139" s="18"/>
      <c r="BK1139" s="18"/>
      <c r="BL1139" s="18"/>
      <c r="BM1139" s="18"/>
      <c r="BN1139" s="18"/>
      <c r="BO1139" s="18"/>
      <c r="BP1139" s="18"/>
      <c r="BQ1139" s="18"/>
      <c r="BR1139" s="18"/>
      <c r="BS1139" s="18"/>
      <c r="BT1139" s="18"/>
      <c r="BU1139" s="18"/>
      <c r="BV1139" s="18"/>
      <c r="BW1139" s="18"/>
      <c r="BX1139" s="18"/>
      <c r="BY1139" s="18"/>
      <c r="BZ1139" s="18"/>
      <c r="CA1139" s="18"/>
      <c r="CB1139" s="18"/>
      <c r="CC1139" s="18"/>
      <c r="CD1139" s="18"/>
      <c r="CE1139" s="18"/>
      <c r="CF1139" s="18"/>
      <c r="CG1139" s="18"/>
      <c r="CH1139" s="18"/>
      <c r="CI1139" s="18"/>
      <c r="CJ1139" s="18"/>
      <c r="CK1139" s="18"/>
      <c r="CL1139" s="18"/>
      <c r="CM1139" s="18"/>
      <c r="CN1139" s="18"/>
      <c r="CO1139" s="18"/>
      <c r="CP1139" s="18"/>
      <c r="CQ1139" s="18"/>
      <c r="CR1139" s="18"/>
      <c r="CS1139" s="18"/>
      <c r="CT1139" s="18"/>
      <c r="CU1139" s="18"/>
    </row>
    <row r="1140" spans="1:99">
      <c r="A1140" s="19"/>
      <c r="B1140" s="19"/>
      <c r="C1140" s="19"/>
      <c r="D1140" s="19"/>
      <c r="E1140" s="19"/>
      <c r="F1140" s="19"/>
      <c r="G1140" s="19"/>
      <c r="H1140" s="19"/>
      <c r="I1140" s="19"/>
      <c r="J1140" s="19"/>
      <c r="K1140" s="18"/>
      <c r="L1140" s="18"/>
      <c r="M1140" s="18"/>
      <c r="N1140" s="18"/>
      <c r="O1140" s="18"/>
      <c r="P1140" s="18"/>
      <c r="Q1140" s="18"/>
      <c r="R1140" s="18"/>
      <c r="S1140" s="18"/>
      <c r="T1140" s="18"/>
      <c r="U1140" s="18"/>
      <c r="V1140" s="18"/>
      <c r="W1140" s="18"/>
      <c r="X1140" s="18"/>
      <c r="Y1140" s="18"/>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c r="BC1140" s="18"/>
      <c r="BD1140" s="18"/>
      <c r="BE1140" s="18"/>
      <c r="BF1140" s="18"/>
      <c r="BG1140" s="18"/>
      <c r="BH1140" s="18"/>
      <c r="BI1140" s="18"/>
      <c r="BJ1140" s="18"/>
      <c r="BK1140" s="18"/>
      <c r="BL1140" s="18"/>
      <c r="BM1140" s="18"/>
      <c r="BN1140" s="18"/>
      <c r="BO1140" s="18"/>
      <c r="BP1140" s="18"/>
      <c r="BQ1140" s="18"/>
      <c r="BR1140" s="18"/>
      <c r="BS1140" s="18"/>
      <c r="BT1140" s="18"/>
      <c r="BU1140" s="18"/>
      <c r="BV1140" s="18"/>
      <c r="BW1140" s="18"/>
      <c r="BX1140" s="18"/>
      <c r="BY1140" s="18"/>
      <c r="BZ1140" s="18"/>
      <c r="CA1140" s="18"/>
      <c r="CB1140" s="18"/>
      <c r="CC1140" s="18"/>
      <c r="CD1140" s="18"/>
      <c r="CE1140" s="18"/>
      <c r="CF1140" s="18"/>
      <c r="CG1140" s="18"/>
      <c r="CH1140" s="18"/>
      <c r="CI1140" s="18"/>
      <c r="CJ1140" s="18"/>
      <c r="CK1140" s="18"/>
      <c r="CL1140" s="18"/>
      <c r="CM1140" s="18"/>
      <c r="CN1140" s="18"/>
      <c r="CO1140" s="18"/>
      <c r="CP1140" s="18"/>
      <c r="CQ1140" s="18"/>
      <c r="CR1140" s="18"/>
      <c r="CS1140" s="18"/>
      <c r="CT1140" s="18"/>
      <c r="CU1140" s="18"/>
    </row>
    <row r="1141" spans="1:99">
      <c r="A1141" s="19"/>
      <c r="B1141" s="19"/>
      <c r="C1141" s="19"/>
      <c r="D1141" s="19"/>
      <c r="E1141" s="19"/>
      <c r="F1141" s="19"/>
      <c r="G1141" s="19"/>
      <c r="H1141" s="19"/>
      <c r="I1141" s="19"/>
      <c r="J1141" s="19"/>
      <c r="K1141" s="18"/>
      <c r="L1141" s="18"/>
      <c r="M1141" s="18"/>
      <c r="N1141" s="18"/>
      <c r="O1141" s="18"/>
      <c r="P1141" s="18"/>
      <c r="Q1141" s="18"/>
      <c r="R1141" s="18"/>
      <c r="S1141" s="18"/>
      <c r="T1141" s="18"/>
      <c r="U1141" s="18"/>
      <c r="V1141" s="18"/>
      <c r="W1141" s="18"/>
      <c r="X1141" s="18"/>
      <c r="Y1141" s="18"/>
      <c r="Z1141" s="18"/>
      <c r="AA1141" s="18"/>
      <c r="AB1141" s="18"/>
      <c r="AC1141" s="18"/>
      <c r="AD1141" s="18"/>
      <c r="AE1141" s="18"/>
      <c r="AF1141" s="18"/>
      <c r="AG1141" s="18"/>
      <c r="AH1141" s="18"/>
      <c r="AI1141" s="18"/>
      <c r="AJ1141" s="18"/>
      <c r="AK1141" s="18"/>
      <c r="AL1141" s="18"/>
      <c r="AM1141" s="18"/>
      <c r="AN1141" s="18"/>
      <c r="AO1141" s="18"/>
      <c r="AP1141" s="18"/>
      <c r="AQ1141" s="18"/>
      <c r="AR1141" s="18"/>
      <c r="AS1141" s="18"/>
      <c r="AT1141" s="18"/>
      <c r="AU1141" s="18"/>
      <c r="AV1141" s="18"/>
      <c r="AW1141" s="18"/>
      <c r="AX1141" s="18"/>
      <c r="AY1141" s="18"/>
      <c r="AZ1141" s="18"/>
      <c r="BA1141" s="18"/>
      <c r="BB1141" s="18"/>
      <c r="BC1141" s="18"/>
      <c r="BD1141" s="18"/>
      <c r="BE1141" s="18"/>
      <c r="BF1141" s="18"/>
      <c r="BG1141" s="18"/>
      <c r="BH1141" s="18"/>
      <c r="BI1141" s="18"/>
      <c r="BJ1141" s="18"/>
      <c r="BK1141" s="18"/>
      <c r="BL1141" s="18"/>
      <c r="BM1141" s="18"/>
      <c r="BN1141" s="18"/>
      <c r="BO1141" s="18"/>
      <c r="BP1141" s="18"/>
      <c r="BQ1141" s="18"/>
      <c r="BR1141" s="18"/>
      <c r="BS1141" s="18"/>
      <c r="BT1141" s="18"/>
      <c r="BU1141" s="18"/>
      <c r="BV1141" s="18"/>
      <c r="BW1141" s="18"/>
      <c r="BX1141" s="18"/>
      <c r="BY1141" s="18"/>
      <c r="BZ1141" s="18"/>
      <c r="CA1141" s="18"/>
      <c r="CB1141" s="18"/>
      <c r="CC1141" s="18"/>
      <c r="CD1141" s="18"/>
      <c r="CE1141" s="18"/>
      <c r="CF1141" s="18"/>
      <c r="CG1141" s="18"/>
      <c r="CH1141" s="18"/>
      <c r="CI1141" s="18"/>
      <c r="CJ1141" s="18"/>
      <c r="CK1141" s="18"/>
      <c r="CL1141" s="18"/>
      <c r="CM1141" s="18"/>
      <c r="CN1141" s="18"/>
      <c r="CO1141" s="18"/>
      <c r="CP1141" s="18"/>
      <c r="CQ1141" s="18"/>
      <c r="CR1141" s="18"/>
      <c r="CS1141" s="18"/>
      <c r="CT1141" s="18"/>
      <c r="CU1141" s="18"/>
    </row>
    <row r="1142" spans="1:99">
      <c r="A1142" s="19"/>
      <c r="B1142" s="19"/>
      <c r="C1142" s="19"/>
      <c r="D1142" s="19"/>
      <c r="E1142" s="19"/>
      <c r="F1142" s="19"/>
      <c r="G1142" s="19"/>
      <c r="H1142" s="19"/>
      <c r="I1142" s="19"/>
      <c r="J1142" s="19"/>
      <c r="K1142" s="18"/>
      <c r="L1142" s="18"/>
      <c r="M1142" s="18"/>
      <c r="N1142" s="18"/>
      <c r="O1142" s="18"/>
      <c r="P1142" s="18"/>
      <c r="Q1142" s="18"/>
      <c r="R1142" s="18"/>
      <c r="S1142" s="18"/>
      <c r="T1142" s="18"/>
      <c r="U1142" s="18"/>
      <c r="V1142" s="18"/>
      <c r="W1142" s="18"/>
      <c r="X1142" s="18"/>
      <c r="Y1142" s="18"/>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c r="BC1142" s="18"/>
      <c r="BD1142" s="18"/>
      <c r="BE1142" s="18"/>
      <c r="BF1142" s="18"/>
      <c r="BG1142" s="18"/>
      <c r="BH1142" s="18"/>
      <c r="BI1142" s="18"/>
      <c r="BJ1142" s="18"/>
      <c r="BK1142" s="18"/>
      <c r="BL1142" s="18"/>
      <c r="BM1142" s="18"/>
      <c r="BN1142" s="18"/>
      <c r="BO1142" s="18"/>
      <c r="BP1142" s="18"/>
      <c r="BQ1142" s="18"/>
      <c r="BR1142" s="18"/>
      <c r="BS1142" s="18"/>
      <c r="BT1142" s="18"/>
      <c r="BU1142" s="18"/>
      <c r="BV1142" s="18"/>
      <c r="BW1142" s="18"/>
      <c r="BX1142" s="18"/>
      <c r="BY1142" s="18"/>
      <c r="BZ1142" s="18"/>
      <c r="CA1142" s="18"/>
      <c r="CB1142" s="18"/>
      <c r="CC1142" s="18"/>
      <c r="CD1142" s="18"/>
      <c r="CE1142" s="18"/>
      <c r="CF1142" s="18"/>
      <c r="CG1142" s="18"/>
      <c r="CH1142" s="18"/>
      <c r="CI1142" s="18"/>
      <c r="CJ1142" s="18"/>
      <c r="CK1142" s="18"/>
      <c r="CL1142" s="18"/>
      <c r="CM1142" s="18"/>
      <c r="CN1142" s="18"/>
      <c r="CO1142" s="18"/>
      <c r="CP1142" s="18"/>
      <c r="CQ1142" s="18"/>
      <c r="CR1142" s="18"/>
      <c r="CS1142" s="18"/>
      <c r="CT1142" s="18"/>
      <c r="CU1142" s="18"/>
    </row>
    <row r="1143" spans="1:99">
      <c r="A1143" s="19"/>
      <c r="B1143" s="19"/>
      <c r="C1143" s="19"/>
      <c r="D1143" s="19"/>
      <c r="E1143" s="19"/>
      <c r="F1143" s="19"/>
      <c r="G1143" s="19"/>
      <c r="H1143" s="19"/>
      <c r="I1143" s="19"/>
      <c r="J1143" s="19"/>
      <c r="K1143" s="18"/>
      <c r="L1143" s="18"/>
      <c r="M1143" s="18"/>
      <c r="N1143" s="18"/>
      <c r="O1143" s="18"/>
      <c r="P1143" s="18"/>
      <c r="Q1143" s="18"/>
      <c r="R1143" s="18"/>
      <c r="S1143" s="18"/>
      <c r="T1143" s="18"/>
      <c r="U1143" s="18"/>
      <c r="V1143" s="18"/>
      <c r="W1143" s="18"/>
      <c r="X1143" s="18"/>
      <c r="Y1143" s="18"/>
      <c r="Z1143" s="18"/>
      <c r="AA1143" s="18"/>
      <c r="AB1143" s="18"/>
      <c r="AC1143" s="18"/>
      <c r="AD1143" s="18"/>
      <c r="AE1143" s="18"/>
      <c r="AF1143" s="18"/>
      <c r="AG1143" s="18"/>
      <c r="AH1143" s="18"/>
      <c r="AI1143" s="18"/>
      <c r="AJ1143" s="18"/>
      <c r="AK1143" s="18"/>
      <c r="AL1143" s="18"/>
      <c r="AM1143" s="18"/>
      <c r="AN1143" s="18"/>
      <c r="AO1143" s="18"/>
      <c r="AP1143" s="18"/>
      <c r="AQ1143" s="18"/>
      <c r="AR1143" s="18"/>
      <c r="AS1143" s="18"/>
      <c r="AT1143" s="18"/>
      <c r="AU1143" s="18"/>
      <c r="AV1143" s="18"/>
      <c r="AW1143" s="18"/>
      <c r="AX1143" s="18"/>
      <c r="AY1143" s="18"/>
      <c r="AZ1143" s="18"/>
      <c r="BA1143" s="18"/>
      <c r="BB1143" s="18"/>
      <c r="BC1143" s="18"/>
      <c r="BD1143" s="18"/>
      <c r="BE1143" s="18"/>
      <c r="BF1143" s="18"/>
      <c r="BG1143" s="18"/>
      <c r="BH1143" s="18"/>
      <c r="BI1143" s="18"/>
      <c r="BJ1143" s="18"/>
      <c r="BK1143" s="18"/>
      <c r="BL1143" s="18"/>
      <c r="BM1143" s="18"/>
      <c r="BN1143" s="18"/>
      <c r="BO1143" s="18"/>
      <c r="BP1143" s="18"/>
      <c r="BQ1143" s="18"/>
      <c r="BR1143" s="18"/>
      <c r="BS1143" s="18"/>
      <c r="BT1143" s="18"/>
      <c r="BU1143" s="18"/>
      <c r="BV1143" s="18"/>
      <c r="BW1143" s="18"/>
      <c r="BX1143" s="18"/>
      <c r="BY1143" s="18"/>
      <c r="BZ1143" s="18"/>
      <c r="CA1143" s="18"/>
      <c r="CB1143" s="18"/>
      <c r="CC1143" s="18"/>
      <c r="CD1143" s="18"/>
      <c r="CE1143" s="18"/>
      <c r="CF1143" s="18"/>
      <c r="CG1143" s="18"/>
      <c r="CH1143" s="18"/>
      <c r="CI1143" s="18"/>
      <c r="CJ1143" s="18"/>
      <c r="CK1143" s="18"/>
      <c r="CL1143" s="18"/>
      <c r="CM1143" s="18"/>
      <c r="CN1143" s="18"/>
      <c r="CO1143" s="18"/>
      <c r="CP1143" s="18"/>
      <c r="CQ1143" s="18"/>
      <c r="CR1143" s="18"/>
      <c r="CS1143" s="18"/>
      <c r="CT1143" s="18"/>
      <c r="CU1143" s="18"/>
    </row>
    <row r="1144" spans="1:99">
      <c r="A1144" s="19"/>
      <c r="B1144" s="19"/>
      <c r="C1144" s="19"/>
      <c r="D1144" s="19"/>
      <c r="E1144" s="19"/>
      <c r="F1144" s="19"/>
      <c r="G1144" s="19"/>
      <c r="H1144" s="19"/>
      <c r="I1144" s="19"/>
      <c r="J1144" s="19"/>
      <c r="K1144" s="18"/>
      <c r="L1144" s="18"/>
      <c r="M1144" s="18"/>
      <c r="N1144" s="18"/>
      <c r="O1144" s="18"/>
      <c r="P1144" s="18"/>
      <c r="Q1144" s="18"/>
      <c r="R1144" s="18"/>
      <c r="S1144" s="18"/>
      <c r="T1144" s="18"/>
      <c r="U1144" s="18"/>
      <c r="V1144" s="18"/>
      <c r="W1144" s="18"/>
      <c r="X1144" s="18"/>
      <c r="Y1144" s="18"/>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c r="BC1144" s="18"/>
      <c r="BD1144" s="18"/>
      <c r="BE1144" s="18"/>
      <c r="BF1144" s="18"/>
      <c r="BG1144" s="18"/>
      <c r="BH1144" s="18"/>
      <c r="BI1144" s="18"/>
      <c r="BJ1144" s="18"/>
      <c r="BK1144" s="18"/>
      <c r="BL1144" s="18"/>
      <c r="BM1144" s="18"/>
      <c r="BN1144" s="18"/>
      <c r="BO1144" s="18"/>
      <c r="BP1144" s="18"/>
      <c r="BQ1144" s="18"/>
      <c r="BR1144" s="18"/>
      <c r="BS1144" s="18"/>
      <c r="BT1144" s="18"/>
      <c r="BU1144" s="18"/>
      <c r="BV1144" s="18"/>
      <c r="BW1144" s="18"/>
      <c r="BX1144" s="18"/>
      <c r="BY1144" s="18"/>
      <c r="BZ1144" s="18"/>
      <c r="CA1144" s="18"/>
      <c r="CB1144" s="18"/>
      <c r="CC1144" s="18"/>
      <c r="CD1144" s="18"/>
      <c r="CE1144" s="18"/>
      <c r="CF1144" s="18"/>
      <c r="CG1144" s="18"/>
      <c r="CH1144" s="18"/>
      <c r="CI1144" s="18"/>
      <c r="CJ1144" s="18"/>
      <c r="CK1144" s="18"/>
      <c r="CL1144" s="18"/>
      <c r="CM1144" s="18"/>
      <c r="CN1144" s="18"/>
      <c r="CO1144" s="18"/>
      <c r="CP1144" s="18"/>
      <c r="CQ1144" s="18"/>
      <c r="CR1144" s="18"/>
      <c r="CS1144" s="18"/>
      <c r="CT1144" s="18"/>
      <c r="CU1144" s="18"/>
    </row>
    <row r="1145" spans="1:99">
      <c r="A1145" s="19"/>
      <c r="B1145" s="19"/>
      <c r="C1145" s="19"/>
      <c r="D1145" s="19"/>
      <c r="E1145" s="19"/>
      <c r="F1145" s="19"/>
      <c r="G1145" s="19"/>
      <c r="H1145" s="19"/>
      <c r="I1145" s="19"/>
      <c r="J1145" s="19"/>
      <c r="K1145" s="18"/>
      <c r="L1145" s="18"/>
      <c r="M1145" s="18"/>
      <c r="N1145" s="18"/>
      <c r="O1145" s="18"/>
      <c r="P1145" s="18"/>
      <c r="Q1145" s="18"/>
      <c r="R1145" s="18"/>
      <c r="S1145" s="18"/>
      <c r="T1145" s="18"/>
      <c r="U1145" s="18"/>
      <c r="V1145" s="18"/>
      <c r="W1145" s="18"/>
      <c r="X1145" s="18"/>
      <c r="Y1145" s="18"/>
      <c r="Z1145" s="18"/>
      <c r="AA1145" s="18"/>
      <c r="AB1145" s="18"/>
      <c r="AC1145" s="18"/>
      <c r="AD1145" s="18"/>
      <c r="AE1145" s="18"/>
      <c r="AF1145" s="18"/>
      <c r="AG1145" s="18"/>
      <c r="AH1145" s="18"/>
      <c r="AI1145" s="18"/>
      <c r="AJ1145" s="18"/>
      <c r="AK1145" s="18"/>
      <c r="AL1145" s="18"/>
      <c r="AM1145" s="18"/>
      <c r="AN1145" s="18"/>
      <c r="AO1145" s="18"/>
      <c r="AP1145" s="18"/>
      <c r="AQ1145" s="18"/>
      <c r="AR1145" s="18"/>
      <c r="AS1145" s="18"/>
      <c r="AT1145" s="18"/>
      <c r="AU1145" s="18"/>
      <c r="AV1145" s="18"/>
      <c r="AW1145" s="18"/>
      <c r="AX1145" s="18"/>
      <c r="AY1145" s="18"/>
      <c r="AZ1145" s="18"/>
      <c r="BA1145" s="18"/>
      <c r="BB1145" s="18"/>
      <c r="BC1145" s="18"/>
      <c r="BD1145" s="18"/>
      <c r="BE1145" s="18"/>
      <c r="BF1145" s="18"/>
      <c r="BG1145" s="18"/>
      <c r="BH1145" s="18"/>
      <c r="BI1145" s="18"/>
      <c r="BJ1145" s="18"/>
      <c r="BK1145" s="18"/>
      <c r="BL1145" s="18"/>
      <c r="BM1145" s="18"/>
      <c r="BN1145" s="18"/>
      <c r="BO1145" s="18"/>
      <c r="BP1145" s="18"/>
      <c r="BQ1145" s="18"/>
      <c r="BR1145" s="18"/>
      <c r="BS1145" s="18"/>
      <c r="BT1145" s="18"/>
      <c r="BU1145" s="18"/>
      <c r="BV1145" s="18"/>
      <c r="BW1145" s="18"/>
      <c r="BX1145" s="18"/>
      <c r="BY1145" s="18"/>
      <c r="BZ1145" s="18"/>
      <c r="CA1145" s="18"/>
      <c r="CB1145" s="18"/>
      <c r="CC1145" s="18"/>
      <c r="CD1145" s="18"/>
      <c r="CE1145" s="18"/>
      <c r="CF1145" s="18"/>
      <c r="CG1145" s="18"/>
      <c r="CH1145" s="18"/>
      <c r="CI1145" s="18"/>
      <c r="CJ1145" s="18"/>
      <c r="CK1145" s="18"/>
      <c r="CL1145" s="18"/>
      <c r="CM1145" s="18"/>
      <c r="CN1145" s="18"/>
      <c r="CO1145" s="18"/>
      <c r="CP1145" s="18"/>
      <c r="CQ1145" s="18"/>
      <c r="CR1145" s="18"/>
      <c r="CS1145" s="18"/>
      <c r="CT1145" s="18"/>
      <c r="CU1145" s="18"/>
    </row>
    <row r="1146" spans="1:99">
      <c r="A1146" s="19"/>
      <c r="B1146" s="19"/>
      <c r="C1146" s="19"/>
      <c r="D1146" s="19"/>
      <c r="E1146" s="19"/>
      <c r="F1146" s="19"/>
      <c r="G1146" s="19"/>
      <c r="H1146" s="19"/>
      <c r="I1146" s="19"/>
      <c r="J1146" s="19"/>
      <c r="K1146" s="18"/>
      <c r="L1146" s="18"/>
      <c r="M1146" s="18"/>
      <c r="N1146" s="18"/>
      <c r="O1146" s="18"/>
      <c r="P1146" s="18"/>
      <c r="Q1146" s="18"/>
      <c r="R1146" s="18"/>
      <c r="S1146" s="18"/>
      <c r="T1146" s="18"/>
      <c r="U1146" s="18"/>
      <c r="V1146" s="18"/>
      <c r="W1146" s="18"/>
      <c r="X1146" s="18"/>
      <c r="Y1146" s="18"/>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c r="BC1146" s="18"/>
      <c r="BD1146" s="18"/>
      <c r="BE1146" s="18"/>
      <c r="BF1146" s="18"/>
      <c r="BG1146" s="18"/>
      <c r="BH1146" s="18"/>
      <c r="BI1146" s="18"/>
      <c r="BJ1146" s="18"/>
      <c r="BK1146" s="18"/>
      <c r="BL1146" s="18"/>
      <c r="BM1146" s="18"/>
      <c r="BN1146" s="18"/>
      <c r="BO1146" s="18"/>
      <c r="BP1146" s="18"/>
      <c r="BQ1146" s="18"/>
      <c r="BR1146" s="18"/>
      <c r="BS1146" s="18"/>
      <c r="BT1146" s="18"/>
      <c r="BU1146" s="18"/>
      <c r="BV1146" s="18"/>
      <c r="BW1146" s="18"/>
      <c r="BX1146" s="18"/>
      <c r="BY1146" s="18"/>
      <c r="BZ1146" s="18"/>
      <c r="CA1146" s="18"/>
      <c r="CB1146" s="18"/>
      <c r="CC1146" s="18"/>
      <c r="CD1146" s="18"/>
      <c r="CE1146" s="18"/>
      <c r="CF1146" s="18"/>
      <c r="CG1146" s="18"/>
      <c r="CH1146" s="18"/>
      <c r="CI1146" s="18"/>
      <c r="CJ1146" s="18"/>
      <c r="CK1146" s="18"/>
      <c r="CL1146" s="18"/>
      <c r="CM1146" s="18"/>
      <c r="CN1146" s="18"/>
      <c r="CO1146" s="18"/>
      <c r="CP1146" s="18"/>
      <c r="CQ1146" s="18"/>
      <c r="CR1146" s="18"/>
      <c r="CS1146" s="18"/>
      <c r="CT1146" s="18"/>
      <c r="CU1146" s="18"/>
    </row>
    <row r="1147" spans="1:99">
      <c r="A1147" s="19"/>
      <c r="B1147" s="19"/>
      <c r="C1147" s="19"/>
      <c r="D1147" s="19"/>
      <c r="E1147" s="19"/>
      <c r="F1147" s="19"/>
      <c r="G1147" s="19"/>
      <c r="H1147" s="19"/>
      <c r="I1147" s="19"/>
      <c r="J1147" s="19"/>
      <c r="K1147" s="18"/>
      <c r="L1147" s="18"/>
      <c r="M1147" s="18"/>
      <c r="N1147" s="18"/>
      <c r="O1147" s="18"/>
      <c r="P1147" s="18"/>
      <c r="Q1147" s="18"/>
      <c r="R1147" s="18"/>
      <c r="S1147" s="18"/>
      <c r="T1147" s="18"/>
      <c r="U1147" s="18"/>
      <c r="V1147" s="18"/>
      <c r="W1147" s="18"/>
      <c r="X1147" s="18"/>
      <c r="Y1147" s="18"/>
      <c r="Z1147" s="18"/>
      <c r="AA1147" s="18"/>
      <c r="AB1147" s="18"/>
      <c r="AC1147" s="18"/>
      <c r="AD1147" s="18"/>
      <c r="AE1147" s="18"/>
      <c r="AF1147" s="18"/>
      <c r="AG1147" s="18"/>
      <c r="AH1147" s="18"/>
      <c r="AI1147" s="18"/>
      <c r="AJ1147" s="18"/>
      <c r="AK1147" s="18"/>
      <c r="AL1147" s="18"/>
      <c r="AM1147" s="18"/>
      <c r="AN1147" s="18"/>
      <c r="AO1147" s="18"/>
      <c r="AP1147" s="18"/>
      <c r="AQ1147" s="18"/>
      <c r="AR1147" s="18"/>
      <c r="AS1147" s="18"/>
      <c r="AT1147" s="18"/>
      <c r="AU1147" s="18"/>
      <c r="AV1147" s="18"/>
      <c r="AW1147" s="18"/>
      <c r="AX1147" s="18"/>
      <c r="AY1147" s="18"/>
      <c r="AZ1147" s="18"/>
      <c r="BA1147" s="18"/>
      <c r="BB1147" s="18"/>
      <c r="BC1147" s="18"/>
      <c r="BD1147" s="18"/>
      <c r="BE1147" s="18"/>
      <c r="BF1147" s="18"/>
      <c r="BG1147" s="18"/>
      <c r="BH1147" s="18"/>
      <c r="BI1147" s="18"/>
      <c r="BJ1147" s="18"/>
      <c r="BK1147" s="18"/>
      <c r="BL1147" s="18"/>
      <c r="BM1147" s="18"/>
      <c r="BN1147" s="18"/>
      <c r="BO1147" s="18"/>
      <c r="BP1147" s="18"/>
      <c r="BQ1147" s="18"/>
      <c r="BR1147" s="18"/>
      <c r="BS1147" s="18"/>
      <c r="BT1147" s="18"/>
      <c r="BU1147" s="18"/>
      <c r="BV1147" s="18"/>
      <c r="BW1147" s="18"/>
      <c r="BX1147" s="18"/>
      <c r="BY1147" s="18"/>
      <c r="BZ1147" s="18"/>
      <c r="CA1147" s="18"/>
      <c r="CB1147" s="18"/>
      <c r="CC1147" s="18"/>
      <c r="CD1147" s="18"/>
      <c r="CE1147" s="18"/>
      <c r="CF1147" s="18"/>
      <c r="CG1147" s="18"/>
      <c r="CH1147" s="18"/>
      <c r="CI1147" s="18"/>
      <c r="CJ1147" s="18"/>
      <c r="CK1147" s="18"/>
      <c r="CL1147" s="18"/>
      <c r="CM1147" s="18"/>
      <c r="CN1147" s="18"/>
      <c r="CO1147" s="18"/>
      <c r="CP1147" s="18"/>
      <c r="CQ1147" s="18"/>
      <c r="CR1147" s="18"/>
      <c r="CS1147" s="18"/>
      <c r="CT1147" s="18"/>
      <c r="CU1147" s="18"/>
    </row>
    <row r="1148" spans="1:99">
      <c r="A1148" s="19"/>
      <c r="B1148" s="19"/>
      <c r="C1148" s="19"/>
      <c r="D1148" s="19"/>
      <c r="E1148" s="19"/>
      <c r="F1148" s="19"/>
      <c r="G1148" s="19"/>
      <c r="H1148" s="19"/>
      <c r="I1148" s="19"/>
      <c r="J1148" s="19"/>
      <c r="K1148" s="18"/>
      <c r="L1148" s="18"/>
      <c r="M1148" s="18"/>
      <c r="N1148" s="18"/>
      <c r="O1148" s="18"/>
      <c r="P1148" s="18"/>
      <c r="Q1148" s="18"/>
      <c r="R1148" s="18"/>
      <c r="S1148" s="18"/>
      <c r="T1148" s="18"/>
      <c r="U1148" s="18"/>
      <c r="V1148" s="18"/>
      <c r="W1148" s="18"/>
      <c r="X1148" s="18"/>
      <c r="Y1148" s="18"/>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c r="BC1148" s="18"/>
      <c r="BD1148" s="18"/>
      <c r="BE1148" s="18"/>
      <c r="BF1148" s="18"/>
      <c r="BG1148" s="18"/>
      <c r="BH1148" s="18"/>
      <c r="BI1148" s="18"/>
      <c r="BJ1148" s="18"/>
      <c r="BK1148" s="18"/>
      <c r="BL1148" s="18"/>
      <c r="BM1148" s="18"/>
      <c r="BN1148" s="18"/>
      <c r="BO1148" s="18"/>
      <c r="BP1148" s="18"/>
      <c r="BQ1148" s="18"/>
      <c r="BR1148" s="18"/>
      <c r="BS1148" s="18"/>
      <c r="BT1148" s="18"/>
      <c r="BU1148" s="18"/>
      <c r="BV1148" s="18"/>
      <c r="BW1148" s="18"/>
      <c r="BX1148" s="18"/>
      <c r="BY1148" s="18"/>
      <c r="BZ1148" s="18"/>
      <c r="CA1148" s="18"/>
      <c r="CB1148" s="18"/>
      <c r="CC1148" s="18"/>
      <c r="CD1148" s="18"/>
      <c r="CE1148" s="18"/>
      <c r="CF1148" s="18"/>
      <c r="CG1148" s="18"/>
      <c r="CH1148" s="18"/>
      <c r="CI1148" s="18"/>
      <c r="CJ1148" s="18"/>
      <c r="CK1148" s="18"/>
      <c r="CL1148" s="18"/>
      <c r="CM1148" s="18"/>
      <c r="CN1148" s="18"/>
      <c r="CO1148" s="18"/>
      <c r="CP1148" s="18"/>
      <c r="CQ1148" s="18"/>
      <c r="CR1148" s="18"/>
      <c r="CS1148" s="18"/>
      <c r="CT1148" s="18"/>
      <c r="CU1148" s="18"/>
    </row>
    <row r="1149" spans="1:99">
      <c r="A1149" s="19"/>
      <c r="B1149" s="19"/>
      <c r="C1149" s="19"/>
      <c r="D1149" s="19"/>
      <c r="E1149" s="19"/>
      <c r="F1149" s="19"/>
      <c r="G1149" s="19"/>
      <c r="H1149" s="19"/>
      <c r="I1149" s="19"/>
      <c r="J1149" s="19"/>
      <c r="K1149" s="18"/>
      <c r="L1149" s="18"/>
      <c r="M1149" s="18"/>
      <c r="N1149" s="18"/>
      <c r="O1149" s="18"/>
      <c r="P1149" s="18"/>
      <c r="Q1149" s="18"/>
      <c r="R1149" s="18"/>
      <c r="S1149" s="18"/>
      <c r="T1149" s="18"/>
      <c r="U1149" s="18"/>
      <c r="V1149" s="18"/>
      <c r="W1149" s="18"/>
      <c r="X1149" s="18"/>
      <c r="Y1149" s="18"/>
      <c r="Z1149" s="18"/>
      <c r="AA1149" s="18"/>
      <c r="AB1149" s="18"/>
      <c r="AC1149" s="18"/>
      <c r="AD1149" s="18"/>
      <c r="AE1149" s="18"/>
      <c r="AF1149" s="18"/>
      <c r="AG1149" s="18"/>
      <c r="AH1149" s="18"/>
      <c r="AI1149" s="18"/>
      <c r="AJ1149" s="18"/>
      <c r="AK1149" s="18"/>
      <c r="AL1149" s="18"/>
      <c r="AM1149" s="18"/>
      <c r="AN1149" s="18"/>
      <c r="AO1149" s="18"/>
      <c r="AP1149" s="18"/>
      <c r="AQ1149" s="18"/>
      <c r="AR1149" s="18"/>
      <c r="AS1149" s="18"/>
      <c r="AT1149" s="18"/>
      <c r="AU1149" s="18"/>
      <c r="AV1149" s="18"/>
      <c r="AW1149" s="18"/>
      <c r="AX1149" s="18"/>
      <c r="AY1149" s="18"/>
      <c r="AZ1149" s="18"/>
      <c r="BA1149" s="18"/>
      <c r="BB1149" s="18"/>
      <c r="BC1149" s="18"/>
      <c r="BD1149" s="18"/>
      <c r="BE1149" s="18"/>
      <c r="BF1149" s="18"/>
      <c r="BG1149" s="18"/>
      <c r="BH1149" s="18"/>
      <c r="BI1149" s="18"/>
      <c r="BJ1149" s="18"/>
      <c r="BK1149" s="18"/>
      <c r="BL1149" s="18"/>
      <c r="BM1149" s="18"/>
      <c r="BN1149" s="18"/>
      <c r="BO1149" s="18"/>
      <c r="BP1149" s="18"/>
      <c r="BQ1149" s="18"/>
      <c r="BR1149" s="18"/>
      <c r="BS1149" s="18"/>
      <c r="BT1149" s="18"/>
      <c r="BU1149" s="18"/>
      <c r="BV1149" s="18"/>
      <c r="BW1149" s="18"/>
      <c r="BX1149" s="18"/>
      <c r="BY1149" s="18"/>
      <c r="BZ1149" s="18"/>
      <c r="CA1149" s="18"/>
      <c r="CB1149" s="18"/>
      <c r="CC1149" s="18"/>
      <c r="CD1149" s="18"/>
      <c r="CE1149" s="18"/>
      <c r="CF1149" s="18"/>
      <c r="CG1149" s="18"/>
      <c r="CH1149" s="18"/>
      <c r="CI1149" s="18"/>
      <c r="CJ1149" s="18"/>
      <c r="CK1149" s="18"/>
      <c r="CL1149" s="18"/>
      <c r="CM1149" s="18"/>
      <c r="CN1149" s="18"/>
      <c r="CO1149" s="18"/>
      <c r="CP1149" s="18"/>
      <c r="CQ1149" s="18"/>
      <c r="CR1149" s="18"/>
      <c r="CS1149" s="18"/>
      <c r="CT1149" s="18"/>
      <c r="CU1149" s="18"/>
    </row>
    <row r="1150" spans="1:99">
      <c r="A1150" s="19"/>
      <c r="B1150" s="19"/>
      <c r="C1150" s="19"/>
      <c r="D1150" s="19"/>
      <c r="E1150" s="19"/>
      <c r="F1150" s="19"/>
      <c r="G1150" s="19"/>
      <c r="H1150" s="19"/>
      <c r="I1150" s="19"/>
      <c r="J1150" s="19"/>
      <c r="K1150" s="18"/>
      <c r="L1150" s="18"/>
      <c r="M1150" s="18"/>
      <c r="N1150" s="18"/>
      <c r="O1150" s="18"/>
      <c r="P1150" s="18"/>
      <c r="Q1150" s="18"/>
      <c r="R1150" s="18"/>
      <c r="S1150" s="18"/>
      <c r="T1150" s="18"/>
      <c r="U1150" s="18"/>
      <c r="V1150" s="18"/>
      <c r="W1150" s="18"/>
      <c r="X1150" s="18"/>
      <c r="Y1150" s="18"/>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c r="BC1150" s="18"/>
      <c r="BD1150" s="18"/>
      <c r="BE1150" s="18"/>
      <c r="BF1150" s="18"/>
      <c r="BG1150" s="18"/>
      <c r="BH1150" s="18"/>
      <c r="BI1150" s="18"/>
      <c r="BJ1150" s="18"/>
      <c r="BK1150" s="18"/>
      <c r="BL1150" s="18"/>
      <c r="BM1150" s="18"/>
      <c r="BN1150" s="18"/>
      <c r="BO1150" s="18"/>
      <c r="BP1150" s="18"/>
      <c r="BQ1150" s="18"/>
      <c r="BR1150" s="18"/>
      <c r="BS1150" s="18"/>
      <c r="BT1150" s="18"/>
      <c r="BU1150" s="18"/>
      <c r="BV1150" s="18"/>
      <c r="BW1150" s="18"/>
      <c r="BX1150" s="18"/>
      <c r="BY1150" s="18"/>
      <c r="BZ1150" s="18"/>
      <c r="CA1150" s="18"/>
      <c r="CB1150" s="18"/>
      <c r="CC1150" s="18"/>
      <c r="CD1150" s="18"/>
      <c r="CE1150" s="18"/>
      <c r="CF1150" s="18"/>
      <c r="CG1150" s="18"/>
      <c r="CH1150" s="18"/>
      <c r="CI1150" s="18"/>
      <c r="CJ1150" s="18"/>
      <c r="CK1150" s="18"/>
      <c r="CL1150" s="18"/>
      <c r="CM1150" s="18"/>
      <c r="CN1150" s="18"/>
      <c r="CO1150" s="18"/>
      <c r="CP1150" s="18"/>
      <c r="CQ1150" s="18"/>
      <c r="CR1150" s="18"/>
      <c r="CS1150" s="18"/>
      <c r="CT1150" s="18"/>
      <c r="CU1150" s="18"/>
    </row>
    <row r="1151" spans="1:99">
      <c r="A1151" s="19"/>
      <c r="B1151" s="19"/>
      <c r="C1151" s="19"/>
      <c r="D1151" s="19"/>
      <c r="E1151" s="19"/>
      <c r="F1151" s="19"/>
      <c r="G1151" s="19"/>
      <c r="H1151" s="19"/>
      <c r="I1151" s="19"/>
      <c r="J1151" s="19"/>
      <c r="K1151" s="18"/>
      <c r="L1151" s="18"/>
      <c r="M1151" s="18"/>
      <c r="N1151" s="18"/>
      <c r="O1151" s="18"/>
      <c r="P1151" s="18"/>
      <c r="Q1151" s="18"/>
      <c r="R1151" s="18"/>
      <c r="S1151" s="18"/>
      <c r="T1151" s="18"/>
      <c r="U1151" s="18"/>
      <c r="V1151" s="18"/>
      <c r="W1151" s="18"/>
      <c r="X1151" s="18"/>
      <c r="Y1151" s="18"/>
      <c r="Z1151" s="18"/>
      <c r="AA1151" s="18"/>
      <c r="AB1151" s="18"/>
      <c r="AC1151" s="18"/>
      <c r="AD1151" s="18"/>
      <c r="AE1151" s="18"/>
      <c r="AF1151" s="18"/>
      <c r="AG1151" s="18"/>
      <c r="AH1151" s="18"/>
      <c r="AI1151" s="18"/>
      <c r="AJ1151" s="18"/>
      <c r="AK1151" s="18"/>
      <c r="AL1151" s="18"/>
      <c r="AM1151" s="18"/>
      <c r="AN1151" s="18"/>
      <c r="AO1151" s="18"/>
      <c r="AP1151" s="18"/>
      <c r="AQ1151" s="18"/>
      <c r="AR1151" s="18"/>
      <c r="AS1151" s="18"/>
      <c r="AT1151" s="18"/>
      <c r="AU1151" s="18"/>
      <c r="AV1151" s="18"/>
      <c r="AW1151" s="18"/>
      <c r="AX1151" s="18"/>
      <c r="AY1151" s="18"/>
      <c r="AZ1151" s="18"/>
      <c r="BA1151" s="18"/>
      <c r="BB1151" s="18"/>
      <c r="BC1151" s="18"/>
      <c r="BD1151" s="18"/>
      <c r="BE1151" s="18"/>
      <c r="BF1151" s="18"/>
      <c r="BG1151" s="18"/>
      <c r="BH1151" s="18"/>
      <c r="BI1151" s="18"/>
      <c r="BJ1151" s="18"/>
      <c r="BK1151" s="18"/>
      <c r="BL1151" s="18"/>
      <c r="BM1151" s="18"/>
      <c r="BN1151" s="18"/>
      <c r="BO1151" s="18"/>
      <c r="BP1151" s="18"/>
      <c r="BQ1151" s="18"/>
      <c r="BR1151" s="18"/>
      <c r="BS1151" s="18"/>
      <c r="BT1151" s="18"/>
      <c r="BU1151" s="18"/>
      <c r="BV1151" s="18"/>
      <c r="BW1151" s="18"/>
      <c r="BX1151" s="18"/>
      <c r="BY1151" s="18"/>
      <c r="BZ1151" s="18"/>
      <c r="CA1151" s="18"/>
      <c r="CB1151" s="18"/>
      <c r="CC1151" s="18"/>
      <c r="CD1151" s="18"/>
      <c r="CE1151" s="18"/>
      <c r="CF1151" s="18"/>
      <c r="CG1151" s="18"/>
      <c r="CH1151" s="18"/>
      <c r="CI1151" s="18"/>
      <c r="CJ1151" s="18"/>
      <c r="CK1151" s="18"/>
      <c r="CL1151" s="18"/>
      <c r="CM1151" s="18"/>
      <c r="CN1151" s="18"/>
      <c r="CO1151" s="18"/>
      <c r="CP1151" s="18"/>
      <c r="CQ1151" s="18"/>
      <c r="CR1151" s="18"/>
      <c r="CS1151" s="18"/>
      <c r="CT1151" s="18"/>
      <c r="CU1151" s="18"/>
    </row>
    <row r="1152" spans="1:99">
      <c r="A1152" s="19"/>
      <c r="B1152" s="19"/>
      <c r="C1152" s="19"/>
      <c r="D1152" s="19"/>
      <c r="E1152" s="19"/>
      <c r="F1152" s="19"/>
      <c r="G1152" s="19"/>
      <c r="H1152" s="19"/>
      <c r="I1152" s="19"/>
      <c r="J1152" s="19"/>
      <c r="K1152" s="18"/>
      <c r="L1152" s="18"/>
      <c r="M1152" s="18"/>
      <c r="N1152" s="18"/>
      <c r="O1152" s="18"/>
      <c r="P1152" s="18"/>
      <c r="Q1152" s="18"/>
      <c r="R1152" s="18"/>
      <c r="S1152" s="18"/>
      <c r="T1152" s="18"/>
      <c r="U1152" s="18"/>
      <c r="V1152" s="18"/>
      <c r="W1152" s="18"/>
      <c r="X1152" s="18"/>
      <c r="Y1152" s="18"/>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c r="BC1152" s="18"/>
      <c r="BD1152" s="18"/>
      <c r="BE1152" s="18"/>
      <c r="BF1152" s="18"/>
      <c r="BG1152" s="18"/>
      <c r="BH1152" s="18"/>
      <c r="BI1152" s="18"/>
      <c r="BJ1152" s="18"/>
      <c r="BK1152" s="18"/>
      <c r="BL1152" s="18"/>
      <c r="BM1152" s="18"/>
      <c r="BN1152" s="18"/>
      <c r="BO1152" s="18"/>
      <c r="BP1152" s="18"/>
      <c r="BQ1152" s="18"/>
      <c r="BR1152" s="18"/>
      <c r="BS1152" s="18"/>
      <c r="BT1152" s="18"/>
      <c r="BU1152" s="18"/>
      <c r="BV1152" s="18"/>
      <c r="BW1152" s="18"/>
      <c r="BX1152" s="18"/>
      <c r="BY1152" s="18"/>
      <c r="BZ1152" s="18"/>
      <c r="CA1152" s="18"/>
      <c r="CB1152" s="18"/>
      <c r="CC1152" s="18"/>
      <c r="CD1152" s="18"/>
      <c r="CE1152" s="18"/>
      <c r="CF1152" s="18"/>
      <c r="CG1152" s="18"/>
      <c r="CH1152" s="18"/>
      <c r="CI1152" s="18"/>
      <c r="CJ1152" s="18"/>
      <c r="CK1152" s="18"/>
      <c r="CL1152" s="18"/>
      <c r="CM1152" s="18"/>
      <c r="CN1152" s="18"/>
      <c r="CO1152" s="18"/>
      <c r="CP1152" s="18"/>
      <c r="CQ1152" s="18"/>
      <c r="CR1152" s="18"/>
      <c r="CS1152" s="18"/>
      <c r="CT1152" s="18"/>
      <c r="CU1152" s="18"/>
    </row>
    <row r="1153" spans="1:99">
      <c r="A1153" s="19"/>
      <c r="B1153" s="19"/>
      <c r="C1153" s="19"/>
      <c r="D1153" s="19"/>
      <c r="E1153" s="19"/>
      <c r="F1153" s="19"/>
      <c r="G1153" s="19"/>
      <c r="H1153" s="19"/>
      <c r="I1153" s="19"/>
      <c r="J1153" s="19"/>
      <c r="K1153" s="18"/>
      <c r="L1153" s="18"/>
      <c r="M1153" s="18"/>
      <c r="N1153" s="18"/>
      <c r="O1153" s="18"/>
      <c r="P1153" s="18"/>
      <c r="Q1153" s="18"/>
      <c r="R1153" s="18"/>
      <c r="S1153" s="18"/>
      <c r="T1153" s="18"/>
      <c r="U1153" s="18"/>
      <c r="V1153" s="18"/>
      <c r="W1153" s="18"/>
      <c r="X1153" s="18"/>
      <c r="Y1153" s="18"/>
      <c r="Z1153" s="18"/>
      <c r="AA1153" s="18"/>
      <c r="AB1153" s="18"/>
      <c r="AC1153" s="18"/>
      <c r="AD1153" s="18"/>
      <c r="AE1153" s="18"/>
      <c r="AF1153" s="18"/>
      <c r="AG1153" s="18"/>
      <c r="AH1153" s="18"/>
      <c r="AI1153" s="18"/>
      <c r="AJ1153" s="18"/>
      <c r="AK1153" s="18"/>
      <c r="AL1153" s="18"/>
      <c r="AM1153" s="18"/>
      <c r="AN1153" s="18"/>
      <c r="AO1153" s="18"/>
      <c r="AP1153" s="18"/>
      <c r="AQ1153" s="18"/>
      <c r="AR1153" s="18"/>
      <c r="AS1153" s="18"/>
      <c r="AT1153" s="18"/>
      <c r="AU1153" s="18"/>
      <c r="AV1153" s="18"/>
      <c r="AW1153" s="18"/>
      <c r="AX1153" s="18"/>
      <c r="AY1153" s="18"/>
      <c r="AZ1153" s="18"/>
      <c r="BA1153" s="18"/>
      <c r="BB1153" s="18"/>
      <c r="BC1153" s="18"/>
      <c r="BD1153" s="18"/>
      <c r="BE1153" s="18"/>
      <c r="BF1153" s="18"/>
      <c r="BG1153" s="18"/>
      <c r="BH1153" s="18"/>
      <c r="BI1153" s="18"/>
      <c r="BJ1153" s="18"/>
      <c r="BK1153" s="18"/>
      <c r="BL1153" s="18"/>
      <c r="BM1153" s="18"/>
      <c r="BN1153" s="18"/>
      <c r="BO1153" s="18"/>
      <c r="BP1153" s="18"/>
      <c r="BQ1153" s="18"/>
      <c r="BR1153" s="18"/>
      <c r="BS1153" s="18"/>
      <c r="BT1153" s="18"/>
      <c r="BU1153" s="18"/>
      <c r="BV1153" s="18"/>
      <c r="BW1153" s="18"/>
      <c r="BX1153" s="18"/>
      <c r="BY1153" s="18"/>
      <c r="BZ1153" s="18"/>
      <c r="CA1153" s="18"/>
      <c r="CB1153" s="18"/>
      <c r="CC1153" s="18"/>
      <c r="CD1153" s="18"/>
      <c r="CE1153" s="18"/>
      <c r="CF1153" s="18"/>
      <c r="CG1153" s="18"/>
      <c r="CH1153" s="18"/>
      <c r="CI1153" s="18"/>
      <c r="CJ1153" s="18"/>
      <c r="CK1153" s="18"/>
      <c r="CL1153" s="18"/>
      <c r="CM1153" s="18"/>
      <c r="CN1153" s="18"/>
      <c r="CO1153" s="18"/>
      <c r="CP1153" s="18"/>
      <c r="CQ1153" s="18"/>
      <c r="CR1153" s="18"/>
      <c r="CS1153" s="18"/>
      <c r="CT1153" s="18"/>
      <c r="CU1153" s="18"/>
    </row>
    <row r="1154" spans="1:99">
      <c r="A1154" s="19"/>
      <c r="B1154" s="19"/>
      <c r="C1154" s="19"/>
      <c r="D1154" s="19"/>
      <c r="E1154" s="19"/>
      <c r="F1154" s="19"/>
      <c r="G1154" s="19"/>
      <c r="H1154" s="19"/>
      <c r="I1154" s="19"/>
      <c r="J1154" s="19"/>
      <c r="K1154" s="18"/>
      <c r="L1154" s="18"/>
      <c r="M1154" s="18"/>
      <c r="N1154" s="18"/>
      <c r="O1154" s="18"/>
      <c r="P1154" s="18"/>
      <c r="Q1154" s="18"/>
      <c r="R1154" s="18"/>
      <c r="S1154" s="18"/>
      <c r="T1154" s="18"/>
      <c r="U1154" s="18"/>
      <c r="V1154" s="18"/>
      <c r="W1154" s="18"/>
      <c r="X1154" s="18"/>
      <c r="Y1154" s="18"/>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c r="BC1154" s="18"/>
      <c r="BD1154" s="18"/>
      <c r="BE1154" s="18"/>
      <c r="BF1154" s="18"/>
      <c r="BG1154" s="18"/>
      <c r="BH1154" s="18"/>
      <c r="BI1154" s="18"/>
      <c r="BJ1154" s="18"/>
      <c r="BK1154" s="18"/>
      <c r="BL1154" s="18"/>
      <c r="BM1154" s="18"/>
      <c r="BN1154" s="18"/>
      <c r="BO1154" s="18"/>
      <c r="BP1154" s="18"/>
      <c r="BQ1154" s="18"/>
      <c r="BR1154" s="18"/>
      <c r="BS1154" s="18"/>
      <c r="BT1154" s="18"/>
      <c r="BU1154" s="18"/>
      <c r="BV1154" s="18"/>
      <c r="BW1154" s="18"/>
      <c r="BX1154" s="18"/>
      <c r="BY1154" s="18"/>
      <c r="BZ1154" s="18"/>
      <c r="CA1154" s="18"/>
      <c r="CB1154" s="18"/>
      <c r="CC1154" s="18"/>
      <c r="CD1154" s="18"/>
      <c r="CE1154" s="18"/>
      <c r="CF1154" s="18"/>
      <c r="CG1154" s="18"/>
      <c r="CH1154" s="18"/>
      <c r="CI1154" s="18"/>
      <c r="CJ1154" s="18"/>
      <c r="CK1154" s="18"/>
      <c r="CL1154" s="18"/>
      <c r="CM1154" s="18"/>
      <c r="CN1154" s="18"/>
      <c r="CO1154" s="18"/>
      <c r="CP1154" s="18"/>
      <c r="CQ1154" s="18"/>
      <c r="CR1154" s="18"/>
      <c r="CS1154" s="18"/>
      <c r="CT1154" s="18"/>
      <c r="CU1154" s="18"/>
    </row>
    <row r="1155" spans="1:99">
      <c r="A1155" s="19"/>
      <c r="B1155" s="19"/>
      <c r="C1155" s="19"/>
      <c r="D1155" s="19"/>
      <c r="E1155" s="19"/>
      <c r="F1155" s="19"/>
      <c r="G1155" s="19"/>
      <c r="H1155" s="19"/>
      <c r="I1155" s="19"/>
      <c r="J1155" s="19"/>
      <c r="K1155" s="18"/>
      <c r="L1155" s="18"/>
      <c r="M1155" s="18"/>
      <c r="N1155" s="18"/>
      <c r="O1155" s="18"/>
      <c r="P1155" s="18"/>
      <c r="Q1155" s="18"/>
      <c r="R1155" s="18"/>
      <c r="S1155" s="18"/>
      <c r="T1155" s="18"/>
      <c r="U1155" s="18"/>
      <c r="V1155" s="18"/>
      <c r="W1155" s="18"/>
      <c r="X1155" s="18"/>
      <c r="Y1155" s="18"/>
      <c r="Z1155" s="18"/>
      <c r="AA1155" s="18"/>
      <c r="AB1155" s="18"/>
      <c r="AC1155" s="18"/>
      <c r="AD1155" s="18"/>
      <c r="AE1155" s="18"/>
      <c r="AF1155" s="18"/>
      <c r="AG1155" s="18"/>
      <c r="AH1155" s="18"/>
      <c r="AI1155" s="18"/>
      <c r="AJ1155" s="18"/>
      <c r="AK1155" s="18"/>
      <c r="AL1155" s="18"/>
      <c r="AM1155" s="18"/>
      <c r="AN1155" s="18"/>
      <c r="AO1155" s="18"/>
      <c r="AP1155" s="18"/>
      <c r="AQ1155" s="18"/>
      <c r="AR1155" s="18"/>
      <c r="AS1155" s="18"/>
      <c r="AT1155" s="18"/>
      <c r="AU1155" s="18"/>
      <c r="AV1155" s="18"/>
      <c r="AW1155" s="18"/>
      <c r="AX1155" s="18"/>
      <c r="AY1155" s="18"/>
      <c r="AZ1155" s="18"/>
      <c r="BA1155" s="18"/>
      <c r="BB1155" s="18"/>
      <c r="BC1155" s="18"/>
      <c r="BD1155" s="18"/>
      <c r="BE1155" s="18"/>
      <c r="BF1155" s="18"/>
      <c r="BG1155" s="18"/>
      <c r="BH1155" s="18"/>
      <c r="BI1155" s="18"/>
      <c r="BJ1155" s="18"/>
      <c r="BK1155" s="18"/>
      <c r="BL1155" s="18"/>
      <c r="BM1155" s="18"/>
      <c r="BN1155" s="18"/>
      <c r="BO1155" s="18"/>
      <c r="BP1155" s="18"/>
      <c r="BQ1155" s="18"/>
      <c r="BR1155" s="18"/>
      <c r="BS1155" s="18"/>
      <c r="BT1155" s="18"/>
      <c r="BU1155" s="18"/>
      <c r="BV1155" s="18"/>
      <c r="BW1155" s="18"/>
      <c r="BX1155" s="18"/>
      <c r="BY1155" s="18"/>
      <c r="BZ1155" s="18"/>
      <c r="CA1155" s="18"/>
      <c r="CB1155" s="18"/>
      <c r="CC1155" s="18"/>
      <c r="CD1155" s="18"/>
      <c r="CE1155" s="18"/>
      <c r="CF1155" s="18"/>
      <c r="CG1155" s="18"/>
      <c r="CH1155" s="18"/>
      <c r="CI1155" s="18"/>
      <c r="CJ1155" s="18"/>
      <c r="CK1155" s="18"/>
      <c r="CL1155" s="18"/>
      <c r="CM1155" s="18"/>
      <c r="CN1155" s="18"/>
      <c r="CO1155" s="18"/>
      <c r="CP1155" s="18"/>
      <c r="CQ1155" s="18"/>
      <c r="CR1155" s="18"/>
      <c r="CS1155" s="18"/>
      <c r="CT1155" s="18"/>
      <c r="CU1155" s="18"/>
    </row>
    <row r="1156" spans="1:99">
      <c r="A1156" s="19"/>
      <c r="B1156" s="19"/>
      <c r="C1156" s="19"/>
      <c r="D1156" s="19"/>
      <c r="E1156" s="19"/>
      <c r="F1156" s="19"/>
      <c r="G1156" s="19"/>
      <c r="H1156" s="19"/>
      <c r="I1156" s="19"/>
      <c r="J1156" s="19"/>
      <c r="K1156" s="18"/>
      <c r="L1156" s="18"/>
      <c r="M1156" s="18"/>
      <c r="N1156" s="18"/>
      <c r="O1156" s="18"/>
      <c r="P1156" s="18"/>
      <c r="Q1156" s="18"/>
      <c r="R1156" s="18"/>
      <c r="S1156" s="18"/>
      <c r="T1156" s="18"/>
      <c r="U1156" s="18"/>
      <c r="V1156" s="18"/>
      <c r="W1156" s="18"/>
      <c r="X1156" s="18"/>
      <c r="Y1156" s="18"/>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c r="BC1156" s="18"/>
      <c r="BD1156" s="18"/>
      <c r="BE1156" s="18"/>
      <c r="BF1156" s="18"/>
      <c r="BG1156" s="18"/>
      <c r="BH1156" s="18"/>
      <c r="BI1156" s="18"/>
      <c r="BJ1156" s="18"/>
      <c r="BK1156" s="18"/>
      <c r="BL1156" s="18"/>
      <c r="BM1156" s="18"/>
      <c r="BN1156" s="18"/>
      <c r="BO1156" s="18"/>
      <c r="BP1156" s="18"/>
      <c r="BQ1156" s="18"/>
      <c r="BR1156" s="18"/>
      <c r="BS1156" s="18"/>
      <c r="BT1156" s="18"/>
      <c r="BU1156" s="18"/>
      <c r="BV1156" s="18"/>
      <c r="BW1156" s="18"/>
      <c r="BX1156" s="18"/>
      <c r="BY1156" s="18"/>
      <c r="BZ1156" s="18"/>
      <c r="CA1156" s="18"/>
      <c r="CB1156" s="18"/>
      <c r="CC1156" s="18"/>
      <c r="CD1156" s="18"/>
      <c r="CE1156" s="18"/>
      <c r="CF1156" s="18"/>
      <c r="CG1156" s="18"/>
      <c r="CH1156" s="18"/>
      <c r="CI1156" s="18"/>
      <c r="CJ1156" s="18"/>
      <c r="CK1156" s="18"/>
      <c r="CL1156" s="18"/>
      <c r="CM1156" s="18"/>
      <c r="CN1156" s="18"/>
      <c r="CO1156" s="18"/>
      <c r="CP1156" s="18"/>
      <c r="CQ1156" s="18"/>
      <c r="CR1156" s="18"/>
      <c r="CS1156" s="18"/>
      <c r="CT1156" s="18"/>
      <c r="CU1156" s="18"/>
    </row>
    <row r="1157" spans="1:99">
      <c r="A1157" s="19"/>
      <c r="B1157" s="19"/>
      <c r="C1157" s="19"/>
      <c r="D1157" s="19"/>
      <c r="E1157" s="19"/>
      <c r="F1157" s="19"/>
      <c r="G1157" s="19"/>
      <c r="H1157" s="19"/>
      <c r="I1157" s="19"/>
      <c r="J1157" s="19"/>
      <c r="K1157" s="18"/>
      <c r="L1157" s="18"/>
      <c r="M1157" s="18"/>
      <c r="N1157" s="18"/>
      <c r="O1157" s="18"/>
      <c r="P1157" s="18"/>
      <c r="Q1157" s="18"/>
      <c r="R1157" s="18"/>
      <c r="S1157" s="18"/>
      <c r="T1157" s="18"/>
      <c r="U1157" s="18"/>
      <c r="V1157" s="18"/>
      <c r="W1157" s="18"/>
      <c r="X1157" s="18"/>
      <c r="Y1157" s="18"/>
      <c r="Z1157" s="18"/>
      <c r="AA1157" s="18"/>
      <c r="AB1157" s="18"/>
      <c r="AC1157" s="18"/>
      <c r="AD1157" s="18"/>
      <c r="AE1157" s="18"/>
      <c r="AF1157" s="18"/>
      <c r="AG1157" s="18"/>
      <c r="AH1157" s="18"/>
      <c r="AI1157" s="18"/>
      <c r="AJ1157" s="18"/>
      <c r="AK1157" s="18"/>
      <c r="AL1157" s="18"/>
      <c r="AM1157" s="18"/>
      <c r="AN1157" s="18"/>
      <c r="AO1157" s="18"/>
      <c r="AP1157" s="18"/>
      <c r="AQ1157" s="18"/>
      <c r="AR1157" s="18"/>
      <c r="AS1157" s="18"/>
      <c r="AT1157" s="18"/>
      <c r="AU1157" s="18"/>
      <c r="AV1157" s="18"/>
      <c r="AW1157" s="18"/>
      <c r="AX1157" s="18"/>
      <c r="AY1157" s="18"/>
      <c r="AZ1157" s="18"/>
      <c r="BA1157" s="18"/>
      <c r="BB1157" s="18"/>
      <c r="BC1157" s="18"/>
      <c r="BD1157" s="18"/>
      <c r="BE1157" s="18"/>
      <c r="BF1157" s="18"/>
      <c r="BG1157" s="18"/>
      <c r="BH1157" s="18"/>
      <c r="BI1157" s="18"/>
      <c r="BJ1157" s="18"/>
      <c r="BK1157" s="18"/>
      <c r="BL1157" s="18"/>
      <c r="BM1157" s="18"/>
      <c r="BN1157" s="18"/>
      <c r="BO1157" s="18"/>
      <c r="BP1157" s="18"/>
      <c r="BQ1157" s="18"/>
      <c r="BR1157" s="18"/>
      <c r="BS1157" s="18"/>
      <c r="BT1157" s="18"/>
      <c r="BU1157" s="18"/>
      <c r="BV1157" s="18"/>
      <c r="BW1157" s="18"/>
      <c r="BX1157" s="18"/>
      <c r="BY1157" s="18"/>
      <c r="BZ1157" s="18"/>
      <c r="CA1157" s="18"/>
      <c r="CB1157" s="18"/>
      <c r="CC1157" s="18"/>
      <c r="CD1157" s="18"/>
      <c r="CE1157" s="18"/>
      <c r="CF1157" s="18"/>
      <c r="CG1157" s="18"/>
      <c r="CH1157" s="18"/>
      <c r="CI1157" s="18"/>
      <c r="CJ1157" s="18"/>
      <c r="CK1157" s="18"/>
      <c r="CL1157" s="18"/>
      <c r="CM1157" s="18"/>
      <c r="CN1157" s="18"/>
      <c r="CO1157" s="18"/>
      <c r="CP1157" s="18"/>
      <c r="CQ1157" s="18"/>
      <c r="CR1157" s="18"/>
      <c r="CS1157" s="18"/>
      <c r="CT1157" s="18"/>
      <c r="CU1157" s="18"/>
    </row>
    <row r="1158" spans="1:99">
      <c r="A1158" s="19"/>
      <c r="B1158" s="19"/>
      <c r="C1158" s="19"/>
      <c r="D1158" s="19"/>
      <c r="E1158" s="19"/>
      <c r="F1158" s="19"/>
      <c r="G1158" s="19"/>
      <c r="H1158" s="19"/>
      <c r="I1158" s="19"/>
      <c r="J1158" s="19"/>
      <c r="K1158" s="18"/>
      <c r="L1158" s="18"/>
      <c r="M1158" s="18"/>
      <c r="N1158" s="18"/>
      <c r="O1158" s="18"/>
      <c r="P1158" s="18"/>
      <c r="Q1158" s="18"/>
      <c r="R1158" s="18"/>
      <c r="S1158" s="18"/>
      <c r="T1158" s="18"/>
      <c r="U1158" s="18"/>
      <c r="V1158" s="18"/>
      <c r="W1158" s="18"/>
      <c r="X1158" s="18"/>
      <c r="Y1158" s="18"/>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c r="BC1158" s="18"/>
      <c r="BD1158" s="18"/>
      <c r="BE1158" s="18"/>
      <c r="BF1158" s="18"/>
      <c r="BG1158" s="18"/>
      <c r="BH1158" s="18"/>
      <c r="BI1158" s="18"/>
      <c r="BJ1158" s="18"/>
      <c r="BK1158" s="18"/>
      <c r="BL1158" s="18"/>
      <c r="BM1158" s="18"/>
      <c r="BN1158" s="18"/>
      <c r="BO1158" s="18"/>
      <c r="BP1158" s="18"/>
      <c r="BQ1158" s="18"/>
      <c r="BR1158" s="18"/>
      <c r="BS1158" s="18"/>
      <c r="BT1158" s="18"/>
      <c r="BU1158" s="18"/>
      <c r="BV1158" s="18"/>
      <c r="BW1158" s="18"/>
      <c r="BX1158" s="18"/>
      <c r="BY1158" s="18"/>
      <c r="BZ1158" s="18"/>
      <c r="CA1158" s="18"/>
      <c r="CB1158" s="18"/>
      <c r="CC1158" s="18"/>
      <c r="CD1158" s="18"/>
      <c r="CE1158" s="18"/>
      <c r="CF1158" s="18"/>
      <c r="CG1158" s="18"/>
      <c r="CH1158" s="18"/>
      <c r="CI1158" s="18"/>
      <c r="CJ1158" s="18"/>
      <c r="CK1158" s="18"/>
      <c r="CL1158" s="18"/>
      <c r="CM1158" s="18"/>
      <c r="CN1158" s="18"/>
      <c r="CO1158" s="18"/>
      <c r="CP1158" s="18"/>
      <c r="CQ1158" s="18"/>
      <c r="CR1158" s="18"/>
      <c r="CS1158" s="18"/>
      <c r="CT1158" s="18"/>
      <c r="CU1158" s="18"/>
    </row>
    <row r="1159" spans="1:99">
      <c r="A1159" s="19"/>
      <c r="B1159" s="19"/>
      <c r="C1159" s="19"/>
      <c r="D1159" s="19"/>
      <c r="E1159" s="19"/>
      <c r="F1159" s="19"/>
      <c r="G1159" s="19"/>
      <c r="H1159" s="19"/>
      <c r="I1159" s="19"/>
      <c r="J1159" s="19"/>
      <c r="K1159" s="18"/>
      <c r="L1159" s="18"/>
      <c r="M1159" s="18"/>
      <c r="N1159" s="18"/>
      <c r="O1159" s="18"/>
      <c r="P1159" s="18"/>
      <c r="Q1159" s="18"/>
      <c r="R1159" s="18"/>
      <c r="S1159" s="18"/>
      <c r="T1159" s="18"/>
      <c r="U1159" s="18"/>
      <c r="V1159" s="18"/>
      <c r="W1159" s="18"/>
      <c r="X1159" s="18"/>
      <c r="Y1159" s="18"/>
      <c r="Z1159" s="18"/>
      <c r="AA1159" s="18"/>
      <c r="AB1159" s="18"/>
      <c r="AC1159" s="18"/>
      <c r="AD1159" s="18"/>
      <c r="AE1159" s="18"/>
      <c r="AF1159" s="18"/>
      <c r="AG1159" s="18"/>
      <c r="AH1159" s="18"/>
      <c r="AI1159" s="18"/>
      <c r="AJ1159" s="18"/>
      <c r="AK1159" s="18"/>
      <c r="AL1159" s="18"/>
      <c r="AM1159" s="18"/>
      <c r="AN1159" s="18"/>
      <c r="AO1159" s="18"/>
      <c r="AP1159" s="18"/>
      <c r="AQ1159" s="18"/>
      <c r="AR1159" s="18"/>
      <c r="AS1159" s="18"/>
      <c r="AT1159" s="18"/>
      <c r="AU1159" s="18"/>
      <c r="AV1159" s="18"/>
      <c r="AW1159" s="18"/>
      <c r="AX1159" s="18"/>
      <c r="AY1159" s="18"/>
      <c r="AZ1159" s="18"/>
      <c r="BA1159" s="18"/>
      <c r="BB1159" s="18"/>
      <c r="BC1159" s="18"/>
      <c r="BD1159" s="18"/>
      <c r="BE1159" s="18"/>
      <c r="BF1159" s="18"/>
      <c r="BG1159" s="18"/>
      <c r="BH1159" s="18"/>
      <c r="BI1159" s="18"/>
      <c r="BJ1159" s="18"/>
      <c r="BK1159" s="18"/>
      <c r="BL1159" s="18"/>
      <c r="BM1159" s="18"/>
      <c r="BN1159" s="18"/>
      <c r="BO1159" s="18"/>
      <c r="BP1159" s="18"/>
      <c r="BQ1159" s="18"/>
      <c r="BR1159" s="18"/>
      <c r="BS1159" s="18"/>
      <c r="BT1159" s="18"/>
      <c r="BU1159" s="18"/>
      <c r="BV1159" s="18"/>
      <c r="BW1159" s="18"/>
      <c r="BX1159" s="18"/>
      <c r="BY1159" s="18"/>
      <c r="BZ1159" s="18"/>
      <c r="CA1159" s="18"/>
      <c r="CB1159" s="18"/>
      <c r="CC1159" s="18"/>
      <c r="CD1159" s="18"/>
      <c r="CE1159" s="18"/>
      <c r="CF1159" s="18"/>
      <c r="CG1159" s="18"/>
      <c r="CH1159" s="18"/>
      <c r="CI1159" s="18"/>
      <c r="CJ1159" s="18"/>
      <c r="CK1159" s="18"/>
      <c r="CL1159" s="18"/>
      <c r="CM1159" s="18"/>
      <c r="CN1159" s="18"/>
      <c r="CO1159" s="18"/>
      <c r="CP1159" s="18"/>
      <c r="CQ1159" s="18"/>
      <c r="CR1159" s="18"/>
      <c r="CS1159" s="18"/>
      <c r="CT1159" s="18"/>
      <c r="CU1159" s="18"/>
    </row>
    <row r="1160" spans="1:99">
      <c r="A1160" s="19"/>
      <c r="B1160" s="19"/>
      <c r="C1160" s="19"/>
      <c r="D1160" s="19"/>
      <c r="E1160" s="19"/>
      <c r="F1160" s="19"/>
      <c r="G1160" s="19"/>
      <c r="H1160" s="19"/>
      <c r="I1160" s="19"/>
      <c r="J1160" s="19"/>
      <c r="K1160" s="18"/>
      <c r="L1160" s="18"/>
      <c r="M1160" s="18"/>
      <c r="N1160" s="18"/>
      <c r="O1160" s="18"/>
      <c r="P1160" s="18"/>
      <c r="Q1160" s="18"/>
      <c r="R1160" s="18"/>
      <c r="S1160" s="18"/>
      <c r="T1160" s="18"/>
      <c r="U1160" s="18"/>
      <c r="V1160" s="18"/>
      <c r="W1160" s="18"/>
      <c r="X1160" s="18"/>
      <c r="Y1160" s="18"/>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c r="BC1160" s="18"/>
      <c r="BD1160" s="18"/>
      <c r="BE1160" s="18"/>
      <c r="BF1160" s="18"/>
      <c r="BG1160" s="18"/>
      <c r="BH1160" s="18"/>
      <c r="BI1160" s="18"/>
      <c r="BJ1160" s="18"/>
      <c r="BK1160" s="18"/>
      <c r="BL1160" s="18"/>
      <c r="BM1160" s="18"/>
      <c r="BN1160" s="18"/>
      <c r="BO1160" s="18"/>
      <c r="BP1160" s="18"/>
      <c r="BQ1160" s="18"/>
      <c r="BR1160" s="18"/>
      <c r="BS1160" s="18"/>
      <c r="BT1160" s="18"/>
      <c r="BU1160" s="18"/>
      <c r="BV1160" s="18"/>
      <c r="BW1160" s="18"/>
      <c r="BX1160" s="18"/>
      <c r="BY1160" s="18"/>
      <c r="BZ1160" s="18"/>
      <c r="CA1160" s="18"/>
      <c r="CB1160" s="18"/>
      <c r="CC1160" s="18"/>
      <c r="CD1160" s="18"/>
      <c r="CE1160" s="18"/>
      <c r="CF1160" s="18"/>
      <c r="CG1160" s="18"/>
      <c r="CH1160" s="18"/>
      <c r="CI1160" s="18"/>
      <c r="CJ1160" s="18"/>
      <c r="CK1160" s="18"/>
      <c r="CL1160" s="18"/>
      <c r="CM1160" s="18"/>
      <c r="CN1160" s="18"/>
      <c r="CO1160" s="18"/>
      <c r="CP1160" s="18"/>
      <c r="CQ1160" s="18"/>
      <c r="CR1160" s="18"/>
      <c r="CS1160" s="18"/>
      <c r="CT1160" s="18"/>
      <c r="CU1160" s="18"/>
    </row>
    <row r="1161" spans="1:99">
      <c r="A1161" s="19"/>
      <c r="B1161" s="19"/>
      <c r="C1161" s="19"/>
      <c r="D1161" s="19"/>
      <c r="E1161" s="19"/>
      <c r="F1161" s="19"/>
      <c r="G1161" s="19"/>
      <c r="H1161" s="19"/>
      <c r="I1161" s="19"/>
      <c r="J1161" s="19"/>
      <c r="K1161" s="18"/>
      <c r="L1161" s="18"/>
      <c r="M1161" s="18"/>
      <c r="N1161" s="18"/>
      <c r="O1161" s="18"/>
      <c r="P1161" s="18"/>
      <c r="Q1161" s="18"/>
      <c r="R1161" s="18"/>
      <c r="S1161" s="18"/>
      <c r="T1161" s="18"/>
      <c r="U1161" s="18"/>
      <c r="V1161" s="18"/>
      <c r="W1161" s="18"/>
      <c r="X1161" s="18"/>
      <c r="Y1161" s="18"/>
      <c r="Z1161" s="18"/>
      <c r="AA1161" s="18"/>
      <c r="AB1161" s="18"/>
      <c r="AC1161" s="18"/>
      <c r="AD1161" s="18"/>
      <c r="AE1161" s="18"/>
      <c r="AF1161" s="18"/>
      <c r="AG1161" s="18"/>
      <c r="AH1161" s="18"/>
      <c r="AI1161" s="18"/>
      <c r="AJ1161" s="18"/>
      <c r="AK1161" s="18"/>
      <c r="AL1161" s="18"/>
      <c r="AM1161" s="18"/>
      <c r="AN1161" s="18"/>
      <c r="AO1161" s="18"/>
      <c r="AP1161" s="18"/>
      <c r="AQ1161" s="18"/>
      <c r="AR1161" s="18"/>
      <c r="AS1161" s="18"/>
      <c r="AT1161" s="18"/>
      <c r="AU1161" s="18"/>
      <c r="AV1161" s="18"/>
      <c r="AW1161" s="18"/>
      <c r="AX1161" s="18"/>
      <c r="AY1161" s="18"/>
      <c r="AZ1161" s="18"/>
      <c r="BA1161" s="18"/>
      <c r="BB1161" s="18"/>
      <c r="BC1161" s="18"/>
      <c r="BD1161" s="18"/>
      <c r="BE1161" s="18"/>
      <c r="BF1161" s="18"/>
      <c r="BG1161" s="18"/>
      <c r="BH1161" s="18"/>
      <c r="BI1161" s="18"/>
      <c r="BJ1161" s="18"/>
      <c r="BK1161" s="18"/>
      <c r="BL1161" s="18"/>
      <c r="BM1161" s="18"/>
      <c r="BN1161" s="18"/>
      <c r="BO1161" s="18"/>
      <c r="BP1161" s="18"/>
      <c r="BQ1161" s="18"/>
      <c r="BR1161" s="18"/>
      <c r="BS1161" s="18"/>
      <c r="BT1161" s="18"/>
      <c r="BU1161" s="18"/>
      <c r="BV1161" s="18"/>
      <c r="BW1161" s="18"/>
      <c r="BX1161" s="18"/>
      <c r="BY1161" s="18"/>
      <c r="BZ1161" s="18"/>
      <c r="CA1161" s="18"/>
      <c r="CB1161" s="18"/>
      <c r="CC1161" s="18"/>
      <c r="CD1161" s="18"/>
      <c r="CE1161" s="18"/>
      <c r="CF1161" s="18"/>
      <c r="CG1161" s="18"/>
      <c r="CH1161" s="18"/>
      <c r="CI1161" s="18"/>
      <c r="CJ1161" s="18"/>
      <c r="CK1161" s="18"/>
      <c r="CL1161" s="18"/>
      <c r="CM1161" s="18"/>
      <c r="CN1161" s="18"/>
      <c r="CO1161" s="18"/>
      <c r="CP1161" s="18"/>
      <c r="CQ1161" s="18"/>
      <c r="CR1161" s="18"/>
      <c r="CS1161" s="18"/>
      <c r="CT1161" s="18"/>
      <c r="CU1161" s="18"/>
    </row>
    <row r="1162" spans="1:99">
      <c r="A1162" s="19"/>
      <c r="B1162" s="19"/>
      <c r="C1162" s="19"/>
      <c r="D1162" s="19"/>
      <c r="E1162" s="19"/>
      <c r="F1162" s="19"/>
      <c r="G1162" s="19"/>
      <c r="H1162" s="19"/>
      <c r="I1162" s="19"/>
      <c r="J1162" s="19"/>
      <c r="K1162" s="18"/>
      <c r="L1162" s="18"/>
      <c r="M1162" s="18"/>
      <c r="N1162" s="18"/>
      <c r="O1162" s="18"/>
      <c r="P1162" s="18"/>
      <c r="Q1162" s="18"/>
      <c r="R1162" s="18"/>
      <c r="S1162" s="18"/>
      <c r="T1162" s="18"/>
      <c r="U1162" s="18"/>
      <c r="V1162" s="18"/>
      <c r="W1162" s="18"/>
      <c r="X1162" s="18"/>
      <c r="Y1162" s="18"/>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c r="BC1162" s="18"/>
      <c r="BD1162" s="18"/>
      <c r="BE1162" s="18"/>
      <c r="BF1162" s="18"/>
      <c r="BG1162" s="18"/>
      <c r="BH1162" s="18"/>
      <c r="BI1162" s="18"/>
      <c r="BJ1162" s="18"/>
      <c r="BK1162" s="18"/>
      <c r="BL1162" s="18"/>
      <c r="BM1162" s="18"/>
      <c r="BN1162" s="18"/>
      <c r="BO1162" s="18"/>
      <c r="BP1162" s="18"/>
      <c r="BQ1162" s="18"/>
      <c r="BR1162" s="18"/>
      <c r="BS1162" s="18"/>
      <c r="BT1162" s="18"/>
      <c r="BU1162" s="18"/>
      <c r="BV1162" s="18"/>
      <c r="BW1162" s="18"/>
      <c r="BX1162" s="18"/>
      <c r="BY1162" s="18"/>
      <c r="BZ1162" s="18"/>
      <c r="CA1162" s="18"/>
      <c r="CB1162" s="18"/>
      <c r="CC1162" s="18"/>
      <c r="CD1162" s="18"/>
      <c r="CE1162" s="18"/>
      <c r="CF1162" s="18"/>
      <c r="CG1162" s="18"/>
      <c r="CH1162" s="18"/>
      <c r="CI1162" s="18"/>
      <c r="CJ1162" s="18"/>
      <c r="CK1162" s="18"/>
      <c r="CL1162" s="18"/>
      <c r="CM1162" s="18"/>
      <c r="CN1162" s="18"/>
      <c r="CO1162" s="18"/>
      <c r="CP1162" s="18"/>
      <c r="CQ1162" s="18"/>
      <c r="CR1162" s="18"/>
      <c r="CS1162" s="18"/>
      <c r="CT1162" s="18"/>
      <c r="CU1162" s="18"/>
    </row>
    <row r="1163" spans="1:99">
      <c r="A1163" s="19"/>
      <c r="B1163" s="19"/>
      <c r="C1163" s="19"/>
      <c r="D1163" s="19"/>
      <c r="E1163" s="19"/>
      <c r="F1163" s="19"/>
      <c r="G1163" s="19"/>
      <c r="H1163" s="19"/>
      <c r="I1163" s="19"/>
      <c r="J1163" s="19"/>
      <c r="K1163" s="18"/>
      <c r="L1163" s="18"/>
      <c r="M1163" s="18"/>
      <c r="N1163" s="18"/>
      <c r="O1163" s="18"/>
      <c r="P1163" s="18"/>
      <c r="Q1163" s="18"/>
      <c r="R1163" s="18"/>
      <c r="S1163" s="18"/>
      <c r="T1163" s="18"/>
      <c r="U1163" s="18"/>
      <c r="V1163" s="18"/>
      <c r="W1163" s="18"/>
      <c r="X1163" s="18"/>
      <c r="Y1163" s="18"/>
      <c r="Z1163" s="18"/>
      <c r="AA1163" s="18"/>
      <c r="AB1163" s="18"/>
      <c r="AC1163" s="18"/>
      <c r="AD1163" s="18"/>
      <c r="AE1163" s="18"/>
      <c r="AF1163" s="18"/>
      <c r="AG1163" s="18"/>
      <c r="AH1163" s="18"/>
      <c r="AI1163" s="18"/>
      <c r="AJ1163" s="18"/>
      <c r="AK1163" s="18"/>
      <c r="AL1163" s="18"/>
      <c r="AM1163" s="18"/>
      <c r="AN1163" s="18"/>
      <c r="AO1163" s="18"/>
      <c r="AP1163" s="18"/>
      <c r="AQ1163" s="18"/>
      <c r="AR1163" s="18"/>
      <c r="AS1163" s="18"/>
      <c r="AT1163" s="18"/>
      <c r="AU1163" s="18"/>
      <c r="AV1163" s="18"/>
      <c r="AW1163" s="18"/>
      <c r="AX1163" s="18"/>
      <c r="AY1163" s="18"/>
      <c r="AZ1163" s="18"/>
      <c r="BA1163" s="18"/>
      <c r="BB1163" s="18"/>
      <c r="BC1163" s="18"/>
      <c r="BD1163" s="18"/>
      <c r="BE1163" s="18"/>
      <c r="BF1163" s="18"/>
      <c r="BG1163" s="18"/>
      <c r="BH1163" s="18"/>
      <c r="BI1163" s="18"/>
      <c r="BJ1163" s="18"/>
      <c r="BK1163" s="18"/>
      <c r="BL1163" s="18"/>
      <c r="BM1163" s="18"/>
      <c r="BN1163" s="18"/>
      <c r="BO1163" s="18"/>
      <c r="BP1163" s="18"/>
      <c r="BQ1163" s="18"/>
      <c r="BR1163" s="18"/>
      <c r="BS1163" s="18"/>
      <c r="BT1163" s="18"/>
      <c r="BU1163" s="18"/>
      <c r="BV1163" s="18"/>
      <c r="BW1163" s="18"/>
      <c r="BX1163" s="18"/>
      <c r="BY1163" s="18"/>
      <c r="BZ1163" s="18"/>
      <c r="CA1163" s="18"/>
      <c r="CB1163" s="18"/>
      <c r="CC1163" s="18"/>
      <c r="CD1163" s="18"/>
      <c r="CE1163" s="18"/>
      <c r="CF1163" s="18"/>
      <c r="CG1163" s="18"/>
      <c r="CH1163" s="18"/>
      <c r="CI1163" s="18"/>
      <c r="CJ1163" s="18"/>
      <c r="CK1163" s="18"/>
      <c r="CL1163" s="18"/>
      <c r="CM1163" s="18"/>
      <c r="CN1163" s="18"/>
      <c r="CO1163" s="18"/>
      <c r="CP1163" s="18"/>
      <c r="CQ1163" s="18"/>
      <c r="CR1163" s="18"/>
      <c r="CS1163" s="18"/>
      <c r="CT1163" s="18"/>
      <c r="CU1163" s="18"/>
    </row>
    <row r="1164" spans="1:99">
      <c r="A1164" s="19"/>
      <c r="B1164" s="19"/>
      <c r="C1164" s="19"/>
      <c r="D1164" s="19"/>
      <c r="E1164" s="19"/>
      <c r="F1164" s="19"/>
      <c r="G1164" s="19"/>
      <c r="H1164" s="19"/>
      <c r="I1164" s="19"/>
      <c r="J1164" s="19"/>
      <c r="K1164" s="18"/>
      <c r="L1164" s="18"/>
      <c r="M1164" s="18"/>
      <c r="N1164" s="18"/>
      <c r="O1164" s="18"/>
      <c r="P1164" s="18"/>
      <c r="Q1164" s="18"/>
      <c r="R1164" s="18"/>
      <c r="S1164" s="18"/>
      <c r="T1164" s="18"/>
      <c r="U1164" s="18"/>
      <c r="V1164" s="18"/>
      <c r="W1164" s="18"/>
      <c r="X1164" s="18"/>
      <c r="Y1164" s="18"/>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c r="BC1164" s="18"/>
      <c r="BD1164" s="18"/>
      <c r="BE1164" s="18"/>
      <c r="BF1164" s="18"/>
      <c r="BG1164" s="18"/>
      <c r="BH1164" s="18"/>
      <c r="BI1164" s="18"/>
      <c r="BJ1164" s="18"/>
      <c r="BK1164" s="18"/>
      <c r="BL1164" s="18"/>
      <c r="BM1164" s="18"/>
      <c r="BN1164" s="18"/>
      <c r="BO1164" s="18"/>
      <c r="BP1164" s="18"/>
      <c r="BQ1164" s="18"/>
      <c r="BR1164" s="18"/>
      <c r="BS1164" s="18"/>
      <c r="BT1164" s="18"/>
      <c r="BU1164" s="18"/>
      <c r="BV1164" s="18"/>
      <c r="BW1164" s="18"/>
      <c r="BX1164" s="18"/>
      <c r="BY1164" s="18"/>
      <c r="BZ1164" s="18"/>
      <c r="CA1164" s="18"/>
      <c r="CB1164" s="18"/>
      <c r="CC1164" s="18"/>
      <c r="CD1164" s="18"/>
      <c r="CE1164" s="18"/>
      <c r="CF1164" s="18"/>
      <c r="CG1164" s="18"/>
      <c r="CH1164" s="18"/>
      <c r="CI1164" s="18"/>
      <c r="CJ1164" s="18"/>
      <c r="CK1164" s="18"/>
      <c r="CL1164" s="18"/>
      <c r="CM1164" s="18"/>
      <c r="CN1164" s="18"/>
      <c r="CO1164" s="18"/>
      <c r="CP1164" s="18"/>
      <c r="CQ1164" s="18"/>
      <c r="CR1164" s="18"/>
      <c r="CS1164" s="18"/>
      <c r="CT1164" s="18"/>
      <c r="CU1164" s="18"/>
    </row>
    <row r="1165" spans="1:99">
      <c r="A1165" s="19"/>
      <c r="B1165" s="19"/>
      <c r="C1165" s="19"/>
      <c r="D1165" s="19"/>
      <c r="E1165" s="19"/>
      <c r="F1165" s="19"/>
      <c r="G1165" s="19"/>
      <c r="H1165" s="19"/>
      <c r="I1165" s="19"/>
      <c r="J1165" s="19"/>
      <c r="K1165" s="18"/>
      <c r="L1165" s="18"/>
      <c r="M1165" s="18"/>
      <c r="N1165" s="18"/>
      <c r="O1165" s="18"/>
      <c r="P1165" s="18"/>
      <c r="Q1165" s="18"/>
      <c r="R1165" s="18"/>
      <c r="S1165" s="18"/>
      <c r="T1165" s="18"/>
      <c r="U1165" s="18"/>
      <c r="V1165" s="18"/>
      <c r="W1165" s="18"/>
      <c r="X1165" s="18"/>
      <c r="Y1165" s="18"/>
      <c r="Z1165" s="18"/>
      <c r="AA1165" s="18"/>
      <c r="AB1165" s="18"/>
      <c r="AC1165" s="18"/>
      <c r="AD1165" s="18"/>
      <c r="AE1165" s="18"/>
      <c r="AF1165" s="18"/>
      <c r="AG1165" s="18"/>
      <c r="AH1165" s="18"/>
      <c r="AI1165" s="18"/>
      <c r="AJ1165" s="18"/>
      <c r="AK1165" s="18"/>
      <c r="AL1165" s="18"/>
      <c r="AM1165" s="18"/>
      <c r="AN1165" s="18"/>
      <c r="AO1165" s="18"/>
      <c r="AP1165" s="18"/>
      <c r="AQ1165" s="18"/>
      <c r="AR1165" s="18"/>
      <c r="AS1165" s="18"/>
      <c r="AT1165" s="18"/>
      <c r="AU1165" s="18"/>
      <c r="AV1165" s="18"/>
      <c r="AW1165" s="18"/>
      <c r="AX1165" s="18"/>
      <c r="AY1165" s="18"/>
      <c r="AZ1165" s="18"/>
      <c r="BA1165" s="18"/>
      <c r="BB1165" s="18"/>
      <c r="BC1165" s="18"/>
      <c r="BD1165" s="18"/>
      <c r="BE1165" s="18"/>
      <c r="BF1165" s="18"/>
      <c r="BG1165" s="18"/>
      <c r="BH1165" s="18"/>
      <c r="BI1165" s="18"/>
      <c r="BJ1165" s="18"/>
      <c r="BK1165" s="18"/>
      <c r="BL1165" s="18"/>
      <c r="BM1165" s="18"/>
      <c r="BN1165" s="18"/>
      <c r="BO1165" s="18"/>
      <c r="BP1165" s="18"/>
      <c r="BQ1165" s="18"/>
      <c r="BR1165" s="18"/>
      <c r="BS1165" s="18"/>
      <c r="BT1165" s="18"/>
      <c r="BU1165" s="18"/>
      <c r="BV1165" s="18"/>
      <c r="BW1165" s="18"/>
      <c r="BX1165" s="18"/>
      <c r="BY1165" s="18"/>
      <c r="BZ1165" s="18"/>
      <c r="CA1165" s="18"/>
      <c r="CB1165" s="18"/>
      <c r="CC1165" s="18"/>
      <c r="CD1165" s="18"/>
      <c r="CE1165" s="18"/>
      <c r="CF1165" s="18"/>
      <c r="CG1165" s="18"/>
      <c r="CH1165" s="18"/>
      <c r="CI1165" s="18"/>
      <c r="CJ1165" s="18"/>
      <c r="CK1165" s="18"/>
      <c r="CL1165" s="18"/>
      <c r="CM1165" s="18"/>
      <c r="CN1165" s="18"/>
      <c r="CO1165" s="18"/>
      <c r="CP1165" s="18"/>
      <c r="CQ1165" s="18"/>
      <c r="CR1165" s="18"/>
      <c r="CS1165" s="18"/>
      <c r="CT1165" s="18"/>
      <c r="CU1165" s="18"/>
    </row>
    <row r="1166" spans="1:99">
      <c r="A1166" s="19"/>
      <c r="B1166" s="19"/>
      <c r="C1166" s="19"/>
      <c r="D1166" s="19"/>
      <c r="E1166" s="19"/>
      <c r="F1166" s="19"/>
      <c r="G1166" s="19"/>
      <c r="H1166" s="19"/>
      <c r="I1166" s="19"/>
      <c r="J1166" s="19"/>
      <c r="K1166" s="18"/>
      <c r="L1166" s="18"/>
      <c r="M1166" s="18"/>
      <c r="N1166" s="18"/>
      <c r="O1166" s="18"/>
      <c r="P1166" s="18"/>
      <c r="Q1166" s="18"/>
      <c r="R1166" s="18"/>
      <c r="S1166" s="18"/>
      <c r="T1166" s="18"/>
      <c r="U1166" s="18"/>
      <c r="V1166" s="18"/>
      <c r="W1166" s="18"/>
      <c r="X1166" s="18"/>
      <c r="Y1166" s="18"/>
      <c r="Z1166" s="18"/>
      <c r="AA1166" s="18"/>
      <c r="AB1166" s="18"/>
      <c r="AC1166" s="18"/>
      <c r="AD1166" s="18"/>
      <c r="AE1166" s="18"/>
      <c r="AF1166" s="18"/>
      <c r="AG1166" s="18"/>
      <c r="AH1166" s="18"/>
      <c r="AI1166" s="18"/>
      <c r="AJ1166" s="18"/>
      <c r="AK1166" s="18"/>
      <c r="AL1166" s="18"/>
      <c r="AM1166" s="18"/>
      <c r="AN1166" s="18"/>
      <c r="AO1166" s="18"/>
      <c r="AP1166" s="18"/>
      <c r="AQ1166" s="18"/>
      <c r="AR1166" s="18"/>
      <c r="AS1166" s="18"/>
      <c r="AT1166" s="18"/>
      <c r="AU1166" s="18"/>
      <c r="AV1166" s="18"/>
      <c r="AW1166" s="18"/>
      <c r="AX1166" s="18"/>
      <c r="AY1166" s="18"/>
      <c r="AZ1166" s="18"/>
      <c r="BA1166" s="18"/>
      <c r="BB1166" s="18"/>
      <c r="BC1166" s="18"/>
      <c r="BD1166" s="18"/>
      <c r="BE1166" s="18"/>
      <c r="BF1166" s="18"/>
      <c r="BG1166" s="18"/>
      <c r="BH1166" s="18"/>
      <c r="BI1166" s="18"/>
      <c r="BJ1166" s="18"/>
      <c r="BK1166" s="18"/>
      <c r="BL1166" s="18"/>
      <c r="BM1166" s="18"/>
      <c r="BN1166" s="18"/>
      <c r="BO1166" s="18"/>
      <c r="BP1166" s="18"/>
      <c r="BQ1166" s="18"/>
      <c r="BR1166" s="18"/>
      <c r="BS1166" s="18"/>
      <c r="BT1166" s="18"/>
      <c r="BU1166" s="18"/>
      <c r="BV1166" s="18"/>
      <c r="BW1166" s="18"/>
      <c r="BX1166" s="18"/>
      <c r="BY1166" s="18"/>
      <c r="BZ1166" s="18"/>
      <c r="CA1166" s="18"/>
      <c r="CB1166" s="18"/>
      <c r="CC1166" s="18"/>
      <c r="CD1166" s="18"/>
      <c r="CE1166" s="18"/>
      <c r="CF1166" s="18"/>
      <c r="CG1166" s="18"/>
      <c r="CH1166" s="18"/>
      <c r="CI1166" s="18"/>
      <c r="CJ1166" s="18"/>
      <c r="CK1166" s="18"/>
      <c r="CL1166" s="18"/>
      <c r="CM1166" s="18"/>
      <c r="CN1166" s="18"/>
      <c r="CO1166" s="18"/>
      <c r="CP1166" s="18"/>
      <c r="CQ1166" s="18"/>
      <c r="CR1166" s="18"/>
      <c r="CS1166" s="18"/>
      <c r="CT1166" s="18"/>
      <c r="CU1166" s="18"/>
    </row>
    <row r="1167" spans="1:99">
      <c r="A1167" s="19"/>
      <c r="B1167" s="19"/>
      <c r="C1167" s="19"/>
      <c r="D1167" s="19"/>
      <c r="E1167" s="19"/>
      <c r="F1167" s="19"/>
      <c r="G1167" s="19"/>
      <c r="H1167" s="19"/>
      <c r="I1167" s="19"/>
      <c r="J1167" s="19"/>
      <c r="K1167" s="18"/>
      <c r="L1167" s="18"/>
      <c r="M1167" s="18"/>
      <c r="N1167" s="18"/>
      <c r="O1167" s="18"/>
      <c r="P1167" s="18"/>
      <c r="Q1167" s="18"/>
      <c r="R1167" s="18"/>
      <c r="S1167" s="18"/>
      <c r="T1167" s="18"/>
      <c r="U1167" s="18"/>
      <c r="V1167" s="18"/>
      <c r="W1167" s="18"/>
      <c r="X1167" s="18"/>
      <c r="Y1167" s="18"/>
      <c r="Z1167" s="18"/>
      <c r="AA1167" s="18"/>
      <c r="AB1167" s="18"/>
      <c r="AC1167" s="18"/>
      <c r="AD1167" s="18"/>
      <c r="AE1167" s="18"/>
      <c r="AF1167" s="18"/>
      <c r="AG1167" s="18"/>
      <c r="AH1167" s="18"/>
      <c r="AI1167" s="18"/>
      <c r="AJ1167" s="18"/>
      <c r="AK1167" s="18"/>
      <c r="AL1167" s="18"/>
      <c r="AM1167" s="18"/>
      <c r="AN1167" s="18"/>
      <c r="AO1167" s="18"/>
      <c r="AP1167" s="18"/>
      <c r="AQ1167" s="18"/>
      <c r="AR1167" s="18"/>
      <c r="AS1167" s="18"/>
      <c r="AT1167" s="18"/>
      <c r="AU1167" s="18"/>
      <c r="AV1167" s="18"/>
      <c r="AW1167" s="18"/>
      <c r="AX1167" s="18"/>
      <c r="AY1167" s="18"/>
      <c r="AZ1167" s="18"/>
      <c r="BA1167" s="18"/>
      <c r="BB1167" s="18"/>
      <c r="BC1167" s="18"/>
      <c r="BD1167" s="18"/>
      <c r="BE1167" s="18"/>
      <c r="BF1167" s="18"/>
      <c r="BG1167" s="18"/>
      <c r="BH1167" s="18"/>
      <c r="BI1167" s="18"/>
      <c r="BJ1167" s="18"/>
      <c r="BK1167" s="18"/>
      <c r="BL1167" s="18"/>
      <c r="BM1167" s="18"/>
      <c r="BN1167" s="18"/>
      <c r="BO1167" s="18"/>
      <c r="BP1167" s="18"/>
      <c r="BQ1167" s="18"/>
      <c r="BR1167" s="18"/>
      <c r="BS1167" s="18"/>
      <c r="BT1167" s="18"/>
      <c r="BU1167" s="18"/>
      <c r="BV1167" s="18"/>
      <c r="BW1167" s="18"/>
      <c r="BX1167" s="18"/>
      <c r="BY1167" s="18"/>
      <c r="BZ1167" s="18"/>
      <c r="CA1167" s="18"/>
      <c r="CB1167" s="18"/>
      <c r="CC1167" s="18"/>
      <c r="CD1167" s="18"/>
      <c r="CE1167" s="18"/>
      <c r="CF1167" s="18"/>
      <c r="CG1167" s="18"/>
      <c r="CH1167" s="18"/>
      <c r="CI1167" s="18"/>
      <c r="CJ1167" s="18"/>
      <c r="CK1167" s="18"/>
      <c r="CL1167" s="18"/>
      <c r="CM1167" s="18"/>
      <c r="CN1167" s="18"/>
      <c r="CO1167" s="18"/>
      <c r="CP1167" s="18"/>
      <c r="CQ1167" s="18"/>
      <c r="CR1167" s="18"/>
      <c r="CS1167" s="18"/>
      <c r="CT1167" s="18"/>
      <c r="CU1167" s="18"/>
    </row>
    <row r="1168" spans="1:99">
      <c r="A1168" s="19"/>
      <c r="B1168" s="19"/>
      <c r="C1168" s="19"/>
      <c r="D1168" s="19"/>
      <c r="E1168" s="19"/>
      <c r="F1168" s="19"/>
      <c r="G1168" s="19"/>
      <c r="H1168" s="19"/>
      <c r="I1168" s="19"/>
      <c r="J1168" s="19"/>
      <c r="K1168" s="18"/>
      <c r="L1168" s="18"/>
      <c r="M1168" s="18"/>
      <c r="N1168" s="18"/>
      <c r="O1168" s="18"/>
      <c r="P1168" s="18"/>
      <c r="Q1168" s="18"/>
      <c r="R1168" s="18"/>
      <c r="S1168" s="18"/>
      <c r="T1168" s="18"/>
      <c r="U1168" s="18"/>
      <c r="V1168" s="18"/>
      <c r="W1168" s="18"/>
      <c r="X1168" s="18"/>
      <c r="Y1168" s="18"/>
      <c r="Z1168" s="18"/>
      <c r="AA1168" s="18"/>
      <c r="AB1168" s="18"/>
      <c r="AC1168" s="18"/>
      <c r="AD1168" s="18"/>
      <c r="AE1168" s="18"/>
      <c r="AF1168" s="18"/>
      <c r="AG1168" s="18"/>
      <c r="AH1168" s="18"/>
      <c r="AI1168" s="18"/>
      <c r="AJ1168" s="18"/>
      <c r="AK1168" s="18"/>
      <c r="AL1168" s="18"/>
      <c r="AM1168" s="18"/>
      <c r="AN1168" s="18"/>
      <c r="AO1168" s="18"/>
      <c r="AP1168" s="18"/>
      <c r="AQ1168" s="18"/>
      <c r="AR1168" s="18"/>
      <c r="AS1168" s="18"/>
      <c r="AT1168" s="18"/>
      <c r="AU1168" s="18"/>
      <c r="AV1168" s="18"/>
      <c r="AW1168" s="18"/>
      <c r="AX1168" s="18"/>
      <c r="AY1168" s="18"/>
      <c r="AZ1168" s="18"/>
      <c r="BA1168" s="18"/>
      <c r="BB1168" s="18"/>
      <c r="BC1168" s="18"/>
      <c r="BD1168" s="18"/>
      <c r="BE1168" s="18"/>
      <c r="BF1168" s="18"/>
      <c r="BG1168" s="18"/>
      <c r="BH1168" s="18"/>
      <c r="BI1168" s="18"/>
      <c r="BJ1168" s="18"/>
      <c r="BK1168" s="18"/>
      <c r="BL1168" s="18"/>
      <c r="BM1168" s="18"/>
      <c r="BN1168" s="18"/>
      <c r="BO1168" s="18"/>
      <c r="BP1168" s="18"/>
      <c r="BQ1168" s="18"/>
      <c r="BR1168" s="18"/>
      <c r="BS1168" s="18"/>
      <c r="BT1168" s="18"/>
      <c r="BU1168" s="18"/>
      <c r="BV1168" s="18"/>
      <c r="BW1168" s="18"/>
      <c r="BX1168" s="18"/>
      <c r="BY1168" s="18"/>
      <c r="BZ1168" s="18"/>
      <c r="CA1168" s="18"/>
      <c r="CB1168" s="18"/>
      <c r="CC1168" s="18"/>
      <c r="CD1168" s="18"/>
      <c r="CE1168" s="18"/>
      <c r="CF1168" s="18"/>
      <c r="CG1168" s="18"/>
      <c r="CH1168" s="18"/>
      <c r="CI1168" s="18"/>
      <c r="CJ1168" s="18"/>
      <c r="CK1168" s="18"/>
      <c r="CL1168" s="18"/>
      <c r="CM1168" s="18"/>
      <c r="CN1168" s="18"/>
      <c r="CO1168" s="18"/>
      <c r="CP1168" s="18"/>
      <c r="CQ1168" s="18"/>
      <c r="CR1168" s="18"/>
      <c r="CS1168" s="18"/>
      <c r="CT1168" s="18"/>
      <c r="CU1168" s="18"/>
    </row>
    <row r="1169" spans="1:99">
      <c r="A1169" s="19"/>
      <c r="B1169" s="19"/>
      <c r="C1169" s="19"/>
      <c r="D1169" s="19"/>
      <c r="E1169" s="19"/>
      <c r="F1169" s="19"/>
      <c r="G1169" s="19"/>
      <c r="H1169" s="19"/>
      <c r="I1169" s="19"/>
      <c r="J1169" s="19"/>
      <c r="K1169" s="18"/>
      <c r="L1169" s="18"/>
      <c r="M1169" s="18"/>
      <c r="N1169" s="18"/>
      <c r="O1169" s="18"/>
      <c r="P1169" s="18"/>
      <c r="Q1169" s="18"/>
      <c r="R1169" s="18"/>
      <c r="S1169" s="18"/>
      <c r="T1169" s="18"/>
      <c r="U1169" s="18"/>
      <c r="V1169" s="18"/>
      <c r="W1169" s="18"/>
      <c r="X1169" s="18"/>
      <c r="Y1169" s="18"/>
      <c r="Z1169" s="18"/>
      <c r="AA1169" s="18"/>
      <c r="AB1169" s="18"/>
      <c r="AC1169" s="18"/>
      <c r="AD1169" s="18"/>
      <c r="AE1169" s="18"/>
      <c r="AF1169" s="18"/>
      <c r="AG1169" s="18"/>
      <c r="AH1169" s="18"/>
      <c r="AI1169" s="18"/>
      <c r="AJ1169" s="18"/>
      <c r="AK1169" s="18"/>
      <c r="AL1169" s="18"/>
      <c r="AM1169" s="18"/>
      <c r="AN1169" s="18"/>
      <c r="AO1169" s="18"/>
      <c r="AP1169" s="18"/>
      <c r="AQ1169" s="18"/>
      <c r="AR1169" s="18"/>
      <c r="AS1169" s="18"/>
      <c r="AT1169" s="18"/>
      <c r="AU1169" s="18"/>
      <c r="AV1169" s="18"/>
      <c r="AW1169" s="18"/>
      <c r="AX1169" s="18"/>
      <c r="AY1169" s="18"/>
      <c r="AZ1169" s="18"/>
      <c r="BA1169" s="18"/>
      <c r="BB1169" s="18"/>
      <c r="BC1169" s="18"/>
      <c r="BD1169" s="18"/>
      <c r="BE1169" s="18"/>
      <c r="BF1169" s="18"/>
      <c r="BG1169" s="18"/>
      <c r="BH1169" s="18"/>
      <c r="BI1169" s="18"/>
      <c r="BJ1169" s="18"/>
      <c r="BK1169" s="18"/>
      <c r="BL1169" s="18"/>
      <c r="BM1169" s="18"/>
      <c r="BN1169" s="18"/>
      <c r="BO1169" s="18"/>
      <c r="BP1169" s="18"/>
      <c r="BQ1169" s="18"/>
      <c r="BR1169" s="18"/>
      <c r="BS1169" s="18"/>
      <c r="BT1169" s="18"/>
      <c r="BU1169" s="18"/>
      <c r="BV1169" s="18"/>
      <c r="BW1169" s="18"/>
      <c r="BX1169" s="18"/>
      <c r="BY1169" s="18"/>
      <c r="BZ1169" s="18"/>
      <c r="CA1169" s="18"/>
      <c r="CB1169" s="18"/>
      <c r="CC1169" s="18"/>
      <c r="CD1169" s="18"/>
      <c r="CE1169" s="18"/>
      <c r="CF1169" s="18"/>
      <c r="CG1169" s="18"/>
      <c r="CH1169" s="18"/>
      <c r="CI1169" s="18"/>
      <c r="CJ1169" s="18"/>
      <c r="CK1169" s="18"/>
      <c r="CL1169" s="18"/>
      <c r="CM1169" s="18"/>
      <c r="CN1169" s="18"/>
      <c r="CO1169" s="18"/>
      <c r="CP1169" s="18"/>
      <c r="CQ1169" s="18"/>
      <c r="CR1169" s="18"/>
      <c r="CS1169" s="18"/>
      <c r="CT1169" s="18"/>
      <c r="CU1169" s="18"/>
    </row>
    <row r="1170" spans="1:99">
      <c r="A1170" s="19"/>
      <c r="B1170" s="19"/>
      <c r="C1170" s="19"/>
      <c r="D1170" s="19"/>
      <c r="E1170" s="19"/>
      <c r="F1170" s="19"/>
      <c r="G1170" s="19"/>
      <c r="H1170" s="19"/>
      <c r="I1170" s="19"/>
      <c r="J1170" s="19"/>
      <c r="K1170" s="18"/>
      <c r="L1170" s="18"/>
      <c r="M1170" s="18"/>
      <c r="N1170" s="18"/>
      <c r="O1170" s="18"/>
      <c r="P1170" s="18"/>
      <c r="Q1170" s="18"/>
      <c r="R1170" s="18"/>
      <c r="S1170" s="18"/>
      <c r="T1170" s="18"/>
      <c r="U1170" s="18"/>
      <c r="V1170" s="18"/>
      <c r="W1170" s="18"/>
      <c r="X1170" s="18"/>
      <c r="Y1170" s="18"/>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c r="BC1170" s="18"/>
      <c r="BD1170" s="18"/>
      <c r="BE1170" s="18"/>
      <c r="BF1170" s="18"/>
      <c r="BG1170" s="18"/>
      <c r="BH1170" s="18"/>
      <c r="BI1170" s="18"/>
      <c r="BJ1170" s="18"/>
      <c r="BK1170" s="18"/>
      <c r="BL1170" s="18"/>
      <c r="BM1170" s="18"/>
      <c r="BN1170" s="18"/>
      <c r="BO1170" s="18"/>
      <c r="BP1170" s="18"/>
      <c r="BQ1170" s="18"/>
      <c r="BR1170" s="18"/>
      <c r="BS1170" s="18"/>
      <c r="BT1170" s="18"/>
      <c r="BU1170" s="18"/>
      <c r="BV1170" s="18"/>
      <c r="BW1170" s="18"/>
      <c r="BX1170" s="18"/>
      <c r="BY1170" s="18"/>
      <c r="BZ1170" s="18"/>
      <c r="CA1170" s="18"/>
      <c r="CB1170" s="18"/>
      <c r="CC1170" s="18"/>
      <c r="CD1170" s="18"/>
      <c r="CE1170" s="18"/>
      <c r="CF1170" s="18"/>
      <c r="CG1170" s="18"/>
      <c r="CH1170" s="18"/>
      <c r="CI1170" s="18"/>
      <c r="CJ1170" s="18"/>
      <c r="CK1170" s="18"/>
      <c r="CL1170" s="18"/>
      <c r="CM1170" s="18"/>
      <c r="CN1170" s="18"/>
      <c r="CO1170" s="18"/>
      <c r="CP1170" s="18"/>
      <c r="CQ1170" s="18"/>
      <c r="CR1170" s="18"/>
      <c r="CS1170" s="18"/>
      <c r="CT1170" s="18"/>
      <c r="CU1170" s="18"/>
    </row>
    <row r="1171" spans="1:99">
      <c r="A1171" s="19"/>
      <c r="B1171" s="19"/>
      <c r="C1171" s="19"/>
      <c r="D1171" s="19"/>
      <c r="E1171" s="19"/>
      <c r="F1171" s="19"/>
      <c r="G1171" s="19"/>
      <c r="H1171" s="19"/>
      <c r="I1171" s="19"/>
      <c r="J1171" s="19"/>
      <c r="K1171" s="18"/>
      <c r="L1171" s="18"/>
      <c r="M1171" s="18"/>
      <c r="N1171" s="18"/>
      <c r="O1171" s="18"/>
      <c r="P1171" s="18"/>
      <c r="Q1171" s="18"/>
      <c r="R1171" s="18"/>
      <c r="S1171" s="18"/>
      <c r="T1171" s="18"/>
      <c r="U1171" s="18"/>
      <c r="V1171" s="18"/>
      <c r="W1171" s="18"/>
      <c r="X1171" s="18"/>
      <c r="Y1171" s="18"/>
      <c r="Z1171" s="18"/>
      <c r="AA1171" s="18"/>
      <c r="AB1171" s="18"/>
      <c r="AC1171" s="18"/>
      <c r="AD1171" s="18"/>
      <c r="AE1171" s="18"/>
      <c r="AF1171" s="18"/>
      <c r="AG1171" s="18"/>
      <c r="AH1171" s="18"/>
      <c r="AI1171" s="18"/>
      <c r="AJ1171" s="18"/>
      <c r="AK1171" s="18"/>
      <c r="AL1171" s="18"/>
      <c r="AM1171" s="18"/>
      <c r="AN1171" s="18"/>
      <c r="AO1171" s="18"/>
      <c r="AP1171" s="18"/>
      <c r="AQ1171" s="18"/>
      <c r="AR1171" s="18"/>
      <c r="AS1171" s="18"/>
      <c r="AT1171" s="18"/>
      <c r="AU1171" s="18"/>
      <c r="AV1171" s="18"/>
      <c r="AW1171" s="18"/>
      <c r="AX1171" s="18"/>
      <c r="AY1171" s="18"/>
      <c r="AZ1171" s="18"/>
      <c r="BA1171" s="18"/>
      <c r="BB1171" s="18"/>
      <c r="BC1171" s="18"/>
      <c r="BD1171" s="18"/>
      <c r="BE1171" s="18"/>
      <c r="BF1171" s="18"/>
      <c r="BG1171" s="18"/>
      <c r="BH1171" s="18"/>
      <c r="BI1171" s="18"/>
      <c r="BJ1171" s="18"/>
      <c r="BK1171" s="18"/>
      <c r="BL1171" s="18"/>
      <c r="BM1171" s="18"/>
      <c r="BN1171" s="18"/>
      <c r="BO1171" s="18"/>
      <c r="BP1171" s="18"/>
      <c r="BQ1171" s="18"/>
      <c r="BR1171" s="18"/>
      <c r="BS1171" s="18"/>
      <c r="BT1171" s="18"/>
      <c r="BU1171" s="18"/>
      <c r="BV1171" s="18"/>
      <c r="BW1171" s="18"/>
      <c r="BX1171" s="18"/>
      <c r="BY1171" s="18"/>
      <c r="BZ1171" s="18"/>
      <c r="CA1171" s="18"/>
      <c r="CB1171" s="18"/>
      <c r="CC1171" s="18"/>
      <c r="CD1171" s="18"/>
      <c r="CE1171" s="18"/>
      <c r="CF1171" s="18"/>
      <c r="CG1171" s="18"/>
      <c r="CH1171" s="18"/>
      <c r="CI1171" s="18"/>
      <c r="CJ1171" s="18"/>
      <c r="CK1171" s="18"/>
      <c r="CL1171" s="18"/>
      <c r="CM1171" s="18"/>
      <c r="CN1171" s="18"/>
      <c r="CO1171" s="18"/>
      <c r="CP1171" s="18"/>
      <c r="CQ1171" s="18"/>
      <c r="CR1171" s="18"/>
      <c r="CS1171" s="18"/>
      <c r="CT1171" s="18"/>
      <c r="CU1171" s="18"/>
    </row>
    <row r="1172" spans="1:99">
      <c r="A1172" s="19"/>
      <c r="B1172" s="19"/>
      <c r="C1172" s="19"/>
      <c r="D1172" s="19"/>
      <c r="E1172" s="19"/>
      <c r="F1172" s="19"/>
      <c r="G1172" s="19"/>
      <c r="H1172" s="19"/>
      <c r="I1172" s="19"/>
      <c r="J1172" s="19"/>
      <c r="K1172" s="18"/>
      <c r="L1172" s="18"/>
      <c r="M1172" s="18"/>
      <c r="N1172" s="18"/>
      <c r="O1172" s="18"/>
      <c r="P1172" s="18"/>
      <c r="Q1172" s="18"/>
      <c r="R1172" s="18"/>
      <c r="S1172" s="18"/>
      <c r="T1172" s="18"/>
      <c r="U1172" s="18"/>
      <c r="V1172" s="18"/>
      <c r="W1172" s="18"/>
      <c r="X1172" s="18"/>
      <c r="Y1172" s="18"/>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c r="BC1172" s="18"/>
      <c r="BD1172" s="18"/>
      <c r="BE1172" s="18"/>
      <c r="BF1172" s="18"/>
      <c r="BG1172" s="18"/>
      <c r="BH1172" s="18"/>
      <c r="BI1172" s="18"/>
      <c r="BJ1172" s="18"/>
      <c r="BK1172" s="18"/>
      <c r="BL1172" s="18"/>
      <c r="BM1172" s="18"/>
      <c r="BN1172" s="18"/>
      <c r="BO1172" s="18"/>
      <c r="BP1172" s="18"/>
      <c r="BQ1172" s="18"/>
      <c r="BR1172" s="18"/>
      <c r="BS1172" s="18"/>
      <c r="BT1172" s="18"/>
      <c r="BU1172" s="18"/>
      <c r="BV1172" s="18"/>
      <c r="BW1172" s="18"/>
      <c r="BX1172" s="18"/>
      <c r="BY1172" s="18"/>
      <c r="BZ1172" s="18"/>
      <c r="CA1172" s="18"/>
      <c r="CB1172" s="18"/>
      <c r="CC1172" s="18"/>
      <c r="CD1172" s="18"/>
      <c r="CE1172" s="18"/>
      <c r="CF1172" s="18"/>
      <c r="CG1172" s="18"/>
      <c r="CH1172" s="18"/>
      <c r="CI1172" s="18"/>
      <c r="CJ1172" s="18"/>
      <c r="CK1172" s="18"/>
      <c r="CL1172" s="18"/>
      <c r="CM1172" s="18"/>
      <c r="CN1172" s="18"/>
      <c r="CO1172" s="18"/>
      <c r="CP1172" s="18"/>
      <c r="CQ1172" s="18"/>
      <c r="CR1172" s="18"/>
      <c r="CS1172" s="18"/>
      <c r="CT1172" s="18"/>
      <c r="CU1172" s="18"/>
    </row>
    <row r="1173" spans="1:99">
      <c r="A1173" s="19"/>
      <c r="B1173" s="19"/>
      <c r="C1173" s="19"/>
      <c r="D1173" s="19"/>
      <c r="E1173" s="19"/>
      <c r="F1173" s="19"/>
      <c r="G1173" s="19"/>
      <c r="H1173" s="19"/>
      <c r="I1173" s="19"/>
      <c r="J1173" s="19"/>
      <c r="K1173" s="18"/>
      <c r="L1173" s="18"/>
      <c r="M1173" s="18"/>
      <c r="N1173" s="18"/>
      <c r="O1173" s="18"/>
      <c r="P1173" s="18"/>
      <c r="Q1173" s="18"/>
      <c r="R1173" s="18"/>
      <c r="S1173" s="18"/>
      <c r="T1173" s="18"/>
      <c r="U1173" s="18"/>
      <c r="V1173" s="18"/>
      <c r="W1173" s="18"/>
      <c r="X1173" s="18"/>
      <c r="Y1173" s="18"/>
      <c r="Z1173" s="18"/>
      <c r="AA1173" s="18"/>
      <c r="AB1173" s="18"/>
      <c r="AC1173" s="18"/>
      <c r="AD1173" s="18"/>
      <c r="AE1173" s="18"/>
      <c r="AF1173" s="18"/>
      <c r="AG1173" s="18"/>
      <c r="AH1173" s="18"/>
      <c r="AI1173" s="18"/>
      <c r="AJ1173" s="18"/>
      <c r="AK1173" s="18"/>
      <c r="AL1173" s="18"/>
      <c r="AM1173" s="18"/>
      <c r="AN1173" s="18"/>
      <c r="AO1173" s="18"/>
      <c r="AP1173" s="18"/>
      <c r="AQ1173" s="18"/>
      <c r="AR1173" s="18"/>
      <c r="AS1173" s="18"/>
      <c r="AT1173" s="18"/>
      <c r="AU1173" s="18"/>
      <c r="AV1173" s="18"/>
      <c r="AW1173" s="18"/>
      <c r="AX1173" s="18"/>
      <c r="AY1173" s="18"/>
      <c r="AZ1173" s="18"/>
      <c r="BA1173" s="18"/>
      <c r="BB1173" s="18"/>
      <c r="BC1173" s="18"/>
      <c r="BD1173" s="18"/>
      <c r="BE1173" s="18"/>
      <c r="BF1173" s="18"/>
      <c r="BG1173" s="18"/>
      <c r="BH1173" s="18"/>
      <c r="BI1173" s="18"/>
      <c r="BJ1173" s="18"/>
      <c r="BK1173" s="18"/>
      <c r="BL1173" s="18"/>
      <c r="BM1173" s="18"/>
      <c r="BN1173" s="18"/>
      <c r="BO1173" s="18"/>
      <c r="BP1173" s="18"/>
      <c r="BQ1173" s="18"/>
      <c r="BR1173" s="18"/>
      <c r="BS1173" s="18"/>
      <c r="BT1173" s="18"/>
      <c r="BU1173" s="18"/>
      <c r="BV1173" s="18"/>
      <c r="BW1173" s="18"/>
      <c r="BX1173" s="18"/>
      <c r="BY1173" s="18"/>
      <c r="BZ1173" s="18"/>
      <c r="CA1173" s="18"/>
      <c r="CB1173" s="18"/>
      <c r="CC1173" s="18"/>
      <c r="CD1173" s="18"/>
      <c r="CE1173" s="18"/>
      <c r="CF1173" s="18"/>
      <c r="CG1173" s="18"/>
      <c r="CH1173" s="18"/>
      <c r="CI1173" s="18"/>
      <c r="CJ1173" s="18"/>
      <c r="CK1173" s="18"/>
      <c r="CL1173" s="18"/>
      <c r="CM1173" s="18"/>
      <c r="CN1173" s="18"/>
      <c r="CO1173" s="18"/>
      <c r="CP1173" s="18"/>
      <c r="CQ1173" s="18"/>
      <c r="CR1173" s="18"/>
      <c r="CS1173" s="18"/>
      <c r="CT1173" s="18"/>
      <c r="CU1173" s="18"/>
    </row>
    <row r="1174" spans="1:99">
      <c r="A1174" s="19"/>
      <c r="B1174" s="19"/>
      <c r="C1174" s="19"/>
      <c r="D1174" s="19"/>
      <c r="E1174" s="19"/>
      <c r="F1174" s="19"/>
      <c r="G1174" s="19"/>
      <c r="H1174" s="19"/>
      <c r="I1174" s="19"/>
      <c r="J1174" s="19"/>
      <c r="K1174" s="18"/>
      <c r="L1174" s="18"/>
      <c r="M1174" s="18"/>
      <c r="N1174" s="18"/>
      <c r="O1174" s="18"/>
      <c r="P1174" s="18"/>
      <c r="Q1174" s="18"/>
      <c r="R1174" s="18"/>
      <c r="S1174" s="18"/>
      <c r="T1174" s="18"/>
      <c r="U1174" s="18"/>
      <c r="V1174" s="18"/>
      <c r="W1174" s="18"/>
      <c r="X1174" s="18"/>
      <c r="Y1174" s="18"/>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c r="BC1174" s="18"/>
      <c r="BD1174" s="18"/>
      <c r="BE1174" s="18"/>
      <c r="BF1174" s="18"/>
      <c r="BG1174" s="18"/>
      <c r="BH1174" s="18"/>
      <c r="BI1174" s="18"/>
      <c r="BJ1174" s="18"/>
      <c r="BK1174" s="18"/>
      <c r="BL1174" s="18"/>
      <c r="BM1174" s="18"/>
      <c r="BN1174" s="18"/>
      <c r="BO1174" s="18"/>
      <c r="BP1174" s="18"/>
      <c r="BQ1174" s="18"/>
      <c r="BR1174" s="18"/>
      <c r="BS1174" s="18"/>
      <c r="BT1174" s="18"/>
      <c r="BU1174" s="18"/>
      <c r="BV1174" s="18"/>
      <c r="BW1174" s="18"/>
      <c r="BX1174" s="18"/>
      <c r="BY1174" s="18"/>
      <c r="BZ1174" s="18"/>
      <c r="CA1174" s="18"/>
      <c r="CB1174" s="18"/>
      <c r="CC1174" s="18"/>
      <c r="CD1174" s="18"/>
      <c r="CE1174" s="18"/>
      <c r="CF1174" s="18"/>
      <c r="CG1174" s="18"/>
      <c r="CH1174" s="18"/>
      <c r="CI1174" s="18"/>
      <c r="CJ1174" s="18"/>
      <c r="CK1174" s="18"/>
      <c r="CL1174" s="18"/>
      <c r="CM1174" s="18"/>
      <c r="CN1174" s="18"/>
      <c r="CO1174" s="18"/>
      <c r="CP1174" s="18"/>
      <c r="CQ1174" s="18"/>
      <c r="CR1174" s="18"/>
      <c r="CS1174" s="18"/>
      <c r="CT1174" s="18"/>
      <c r="CU1174" s="18"/>
    </row>
    <row r="1175" spans="1:99">
      <c r="A1175" s="19"/>
      <c r="B1175" s="19"/>
      <c r="C1175" s="19"/>
      <c r="D1175" s="19"/>
      <c r="E1175" s="19"/>
      <c r="F1175" s="19"/>
      <c r="G1175" s="19"/>
      <c r="H1175" s="19"/>
      <c r="I1175" s="19"/>
      <c r="J1175" s="19"/>
      <c r="K1175" s="18"/>
      <c r="L1175" s="18"/>
      <c r="M1175" s="18"/>
      <c r="N1175" s="18"/>
      <c r="O1175" s="18"/>
      <c r="P1175" s="18"/>
      <c r="Q1175" s="18"/>
      <c r="R1175" s="18"/>
      <c r="S1175" s="18"/>
      <c r="T1175" s="18"/>
      <c r="U1175" s="18"/>
      <c r="V1175" s="18"/>
      <c r="W1175" s="18"/>
      <c r="X1175" s="18"/>
      <c r="Y1175" s="18"/>
      <c r="Z1175" s="18"/>
      <c r="AA1175" s="18"/>
      <c r="AB1175" s="18"/>
      <c r="AC1175" s="18"/>
      <c r="AD1175" s="18"/>
      <c r="AE1175" s="18"/>
      <c r="AF1175" s="18"/>
      <c r="AG1175" s="18"/>
      <c r="AH1175" s="18"/>
      <c r="AI1175" s="18"/>
      <c r="AJ1175" s="18"/>
      <c r="AK1175" s="18"/>
      <c r="AL1175" s="18"/>
      <c r="AM1175" s="18"/>
      <c r="AN1175" s="18"/>
      <c r="AO1175" s="18"/>
      <c r="AP1175" s="18"/>
      <c r="AQ1175" s="18"/>
      <c r="AR1175" s="18"/>
      <c r="AS1175" s="18"/>
      <c r="AT1175" s="18"/>
      <c r="AU1175" s="18"/>
      <c r="AV1175" s="18"/>
      <c r="AW1175" s="18"/>
      <c r="AX1175" s="18"/>
      <c r="AY1175" s="18"/>
      <c r="AZ1175" s="18"/>
      <c r="BA1175" s="18"/>
      <c r="BB1175" s="18"/>
      <c r="BC1175" s="18"/>
      <c r="BD1175" s="18"/>
      <c r="BE1175" s="18"/>
      <c r="BF1175" s="18"/>
      <c r="BG1175" s="18"/>
      <c r="BH1175" s="18"/>
      <c r="BI1175" s="18"/>
      <c r="BJ1175" s="18"/>
      <c r="BK1175" s="18"/>
      <c r="BL1175" s="18"/>
      <c r="BM1175" s="18"/>
      <c r="BN1175" s="18"/>
      <c r="BO1175" s="18"/>
      <c r="BP1175" s="18"/>
      <c r="BQ1175" s="18"/>
      <c r="BR1175" s="18"/>
      <c r="BS1175" s="18"/>
      <c r="BT1175" s="18"/>
      <c r="BU1175" s="18"/>
      <c r="BV1175" s="18"/>
      <c r="BW1175" s="18"/>
      <c r="BX1175" s="18"/>
      <c r="BY1175" s="18"/>
      <c r="BZ1175" s="18"/>
      <c r="CA1175" s="18"/>
      <c r="CB1175" s="18"/>
      <c r="CC1175" s="18"/>
      <c r="CD1175" s="18"/>
      <c r="CE1175" s="18"/>
      <c r="CF1175" s="18"/>
      <c r="CG1175" s="18"/>
      <c r="CH1175" s="18"/>
      <c r="CI1175" s="18"/>
      <c r="CJ1175" s="18"/>
      <c r="CK1175" s="18"/>
      <c r="CL1175" s="18"/>
      <c r="CM1175" s="18"/>
      <c r="CN1175" s="18"/>
      <c r="CO1175" s="18"/>
      <c r="CP1175" s="18"/>
      <c r="CQ1175" s="18"/>
      <c r="CR1175" s="18"/>
      <c r="CS1175" s="18"/>
      <c r="CT1175" s="18"/>
      <c r="CU1175" s="18"/>
    </row>
    <row r="1176" spans="1:99">
      <c r="A1176" s="19"/>
      <c r="B1176" s="19"/>
      <c r="C1176" s="19"/>
      <c r="D1176" s="19"/>
      <c r="E1176" s="19"/>
      <c r="F1176" s="19"/>
      <c r="G1176" s="19"/>
      <c r="H1176" s="19"/>
      <c r="I1176" s="19"/>
      <c r="J1176" s="19"/>
      <c r="K1176" s="18"/>
      <c r="L1176" s="18"/>
      <c r="M1176" s="18"/>
      <c r="N1176" s="18"/>
      <c r="O1176" s="18"/>
      <c r="P1176" s="18"/>
      <c r="Q1176" s="18"/>
      <c r="R1176" s="18"/>
      <c r="S1176" s="18"/>
      <c r="T1176" s="18"/>
      <c r="U1176" s="18"/>
      <c r="V1176" s="18"/>
      <c r="W1176" s="18"/>
      <c r="X1176" s="18"/>
      <c r="Y1176" s="18"/>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c r="BC1176" s="18"/>
      <c r="BD1176" s="18"/>
      <c r="BE1176" s="18"/>
      <c r="BF1176" s="18"/>
      <c r="BG1176" s="18"/>
      <c r="BH1176" s="18"/>
      <c r="BI1176" s="18"/>
      <c r="BJ1176" s="18"/>
      <c r="BK1176" s="18"/>
      <c r="BL1176" s="18"/>
      <c r="BM1176" s="18"/>
      <c r="BN1176" s="18"/>
      <c r="BO1176" s="18"/>
      <c r="BP1176" s="18"/>
      <c r="BQ1176" s="18"/>
      <c r="BR1176" s="18"/>
      <c r="BS1176" s="18"/>
      <c r="BT1176" s="18"/>
      <c r="BU1176" s="18"/>
      <c r="BV1176" s="18"/>
      <c r="BW1176" s="18"/>
      <c r="BX1176" s="18"/>
      <c r="BY1176" s="18"/>
      <c r="BZ1176" s="18"/>
      <c r="CA1176" s="18"/>
      <c r="CB1176" s="18"/>
      <c r="CC1176" s="18"/>
      <c r="CD1176" s="18"/>
      <c r="CE1176" s="18"/>
      <c r="CF1176" s="18"/>
      <c r="CG1176" s="18"/>
      <c r="CH1176" s="18"/>
      <c r="CI1176" s="18"/>
      <c r="CJ1176" s="18"/>
      <c r="CK1176" s="18"/>
      <c r="CL1176" s="18"/>
      <c r="CM1176" s="18"/>
      <c r="CN1176" s="18"/>
      <c r="CO1176" s="18"/>
      <c r="CP1176" s="18"/>
      <c r="CQ1176" s="18"/>
      <c r="CR1176" s="18"/>
      <c r="CS1176" s="18"/>
      <c r="CT1176" s="18"/>
      <c r="CU1176" s="18"/>
    </row>
    <row r="1177" spans="1:99">
      <c r="A1177" s="19"/>
      <c r="B1177" s="19"/>
      <c r="C1177" s="19"/>
      <c r="D1177" s="19"/>
      <c r="E1177" s="19"/>
      <c r="F1177" s="19"/>
      <c r="G1177" s="19"/>
      <c r="H1177" s="19"/>
      <c r="I1177" s="19"/>
      <c r="J1177" s="19"/>
      <c r="K1177" s="18"/>
      <c r="L1177" s="18"/>
      <c r="M1177" s="18"/>
      <c r="N1177" s="18"/>
      <c r="O1177" s="18"/>
      <c r="P1177" s="18"/>
      <c r="Q1177" s="18"/>
      <c r="R1177" s="18"/>
      <c r="S1177" s="18"/>
      <c r="T1177" s="18"/>
      <c r="U1177" s="18"/>
      <c r="V1177" s="18"/>
      <c r="W1177" s="18"/>
      <c r="X1177" s="18"/>
      <c r="Y1177" s="18"/>
      <c r="Z1177" s="18"/>
      <c r="AA1177" s="18"/>
      <c r="AB1177" s="18"/>
      <c r="AC1177" s="18"/>
      <c r="AD1177" s="18"/>
      <c r="AE1177" s="18"/>
      <c r="AF1177" s="18"/>
      <c r="AG1177" s="18"/>
      <c r="AH1177" s="18"/>
      <c r="AI1177" s="18"/>
      <c r="AJ1177" s="18"/>
      <c r="AK1177" s="18"/>
      <c r="AL1177" s="18"/>
      <c r="AM1177" s="18"/>
      <c r="AN1177" s="18"/>
      <c r="AO1177" s="18"/>
      <c r="AP1177" s="18"/>
      <c r="AQ1177" s="18"/>
      <c r="AR1177" s="18"/>
      <c r="AS1177" s="18"/>
      <c r="AT1177" s="18"/>
      <c r="AU1177" s="18"/>
      <c r="AV1177" s="18"/>
      <c r="AW1177" s="18"/>
      <c r="AX1177" s="18"/>
      <c r="AY1177" s="18"/>
      <c r="AZ1177" s="18"/>
      <c r="BA1177" s="18"/>
      <c r="BB1177" s="18"/>
      <c r="BC1177" s="18"/>
      <c r="BD1177" s="18"/>
      <c r="BE1177" s="18"/>
      <c r="BF1177" s="18"/>
      <c r="BG1177" s="18"/>
      <c r="BH1177" s="18"/>
      <c r="BI1177" s="18"/>
      <c r="BJ1177" s="18"/>
      <c r="BK1177" s="18"/>
      <c r="BL1177" s="18"/>
      <c r="BM1177" s="18"/>
      <c r="BN1177" s="18"/>
      <c r="BO1177" s="18"/>
      <c r="BP1177" s="18"/>
      <c r="BQ1177" s="18"/>
      <c r="BR1177" s="18"/>
      <c r="BS1177" s="18"/>
      <c r="BT1177" s="18"/>
      <c r="BU1177" s="18"/>
      <c r="BV1177" s="18"/>
      <c r="BW1177" s="18"/>
      <c r="BX1177" s="18"/>
      <c r="BY1177" s="18"/>
      <c r="BZ1177" s="18"/>
      <c r="CA1177" s="18"/>
      <c r="CB1177" s="18"/>
      <c r="CC1177" s="18"/>
      <c r="CD1177" s="18"/>
      <c r="CE1177" s="18"/>
      <c r="CF1177" s="18"/>
      <c r="CG1177" s="18"/>
      <c r="CH1177" s="18"/>
      <c r="CI1177" s="18"/>
      <c r="CJ1177" s="18"/>
      <c r="CK1177" s="18"/>
      <c r="CL1177" s="18"/>
      <c r="CM1177" s="18"/>
      <c r="CN1177" s="18"/>
      <c r="CO1177" s="18"/>
      <c r="CP1177" s="18"/>
      <c r="CQ1177" s="18"/>
      <c r="CR1177" s="18"/>
      <c r="CS1177" s="18"/>
      <c r="CT1177" s="18"/>
      <c r="CU1177" s="18"/>
    </row>
    <row r="1178" spans="1:99">
      <c r="A1178" s="19"/>
      <c r="B1178" s="19"/>
      <c r="C1178" s="19"/>
      <c r="D1178" s="19"/>
      <c r="E1178" s="19"/>
      <c r="F1178" s="19"/>
      <c r="G1178" s="19"/>
      <c r="H1178" s="19"/>
      <c r="I1178" s="19"/>
      <c r="J1178" s="19"/>
      <c r="K1178" s="18"/>
      <c r="L1178" s="18"/>
      <c r="M1178" s="18"/>
      <c r="N1178" s="18"/>
      <c r="O1178" s="18"/>
      <c r="P1178" s="18"/>
      <c r="Q1178" s="18"/>
      <c r="R1178" s="18"/>
      <c r="S1178" s="18"/>
      <c r="T1178" s="18"/>
      <c r="U1178" s="18"/>
      <c r="V1178" s="18"/>
      <c r="W1178" s="18"/>
      <c r="X1178" s="18"/>
      <c r="Y1178" s="18"/>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c r="BC1178" s="18"/>
      <c r="BD1178" s="18"/>
      <c r="BE1178" s="18"/>
      <c r="BF1178" s="18"/>
      <c r="BG1178" s="18"/>
      <c r="BH1178" s="18"/>
      <c r="BI1178" s="18"/>
      <c r="BJ1178" s="18"/>
      <c r="BK1178" s="18"/>
      <c r="BL1178" s="18"/>
      <c r="BM1178" s="18"/>
      <c r="BN1178" s="18"/>
      <c r="BO1178" s="18"/>
      <c r="BP1178" s="18"/>
      <c r="BQ1178" s="18"/>
      <c r="BR1178" s="18"/>
      <c r="BS1178" s="18"/>
      <c r="BT1178" s="18"/>
      <c r="BU1178" s="18"/>
      <c r="BV1178" s="18"/>
      <c r="BW1178" s="18"/>
      <c r="BX1178" s="18"/>
      <c r="BY1178" s="18"/>
      <c r="BZ1178" s="18"/>
      <c r="CA1178" s="18"/>
      <c r="CB1178" s="18"/>
      <c r="CC1178" s="18"/>
      <c r="CD1178" s="18"/>
      <c r="CE1178" s="18"/>
      <c r="CF1178" s="18"/>
      <c r="CG1178" s="18"/>
      <c r="CH1178" s="18"/>
      <c r="CI1178" s="18"/>
      <c r="CJ1178" s="18"/>
      <c r="CK1178" s="18"/>
      <c r="CL1178" s="18"/>
      <c r="CM1178" s="18"/>
      <c r="CN1178" s="18"/>
      <c r="CO1178" s="18"/>
      <c r="CP1178" s="18"/>
      <c r="CQ1178" s="18"/>
      <c r="CR1178" s="18"/>
      <c r="CS1178" s="18"/>
      <c r="CT1178" s="18"/>
      <c r="CU1178" s="18"/>
    </row>
    <row r="1179" spans="1:99">
      <c r="A1179" s="19"/>
      <c r="B1179" s="19"/>
      <c r="C1179" s="19"/>
      <c r="D1179" s="19"/>
      <c r="E1179" s="19"/>
      <c r="F1179" s="19"/>
      <c r="G1179" s="19"/>
      <c r="H1179" s="19"/>
      <c r="I1179" s="19"/>
      <c r="J1179" s="19"/>
      <c r="K1179" s="18"/>
      <c r="L1179" s="18"/>
      <c r="M1179" s="18"/>
      <c r="N1179" s="18"/>
      <c r="O1179" s="18"/>
      <c r="P1179" s="18"/>
      <c r="Q1179" s="18"/>
      <c r="R1179" s="18"/>
      <c r="S1179" s="18"/>
      <c r="T1179" s="18"/>
      <c r="U1179" s="18"/>
      <c r="V1179" s="18"/>
      <c r="W1179" s="18"/>
      <c r="X1179" s="18"/>
      <c r="Y1179" s="18"/>
      <c r="Z1179" s="18"/>
      <c r="AA1179" s="18"/>
      <c r="AB1179" s="18"/>
      <c r="AC1179" s="18"/>
      <c r="AD1179" s="18"/>
      <c r="AE1179" s="18"/>
      <c r="AF1179" s="18"/>
      <c r="AG1179" s="18"/>
      <c r="AH1179" s="18"/>
      <c r="AI1179" s="18"/>
      <c r="AJ1179" s="18"/>
      <c r="AK1179" s="18"/>
      <c r="AL1179" s="18"/>
      <c r="AM1179" s="18"/>
      <c r="AN1179" s="18"/>
      <c r="AO1179" s="18"/>
      <c r="AP1179" s="18"/>
      <c r="AQ1179" s="18"/>
      <c r="AR1179" s="18"/>
      <c r="AS1179" s="18"/>
      <c r="AT1179" s="18"/>
      <c r="AU1179" s="18"/>
      <c r="AV1179" s="18"/>
      <c r="AW1179" s="18"/>
      <c r="AX1179" s="18"/>
      <c r="AY1179" s="18"/>
      <c r="AZ1179" s="18"/>
      <c r="BA1179" s="18"/>
      <c r="BB1179" s="18"/>
      <c r="BC1179" s="18"/>
      <c r="BD1179" s="18"/>
      <c r="BE1179" s="18"/>
      <c r="BF1179" s="18"/>
      <c r="BG1179" s="18"/>
      <c r="BH1179" s="18"/>
      <c r="BI1179" s="18"/>
      <c r="BJ1179" s="18"/>
      <c r="BK1179" s="18"/>
      <c r="BL1179" s="18"/>
      <c r="BM1179" s="18"/>
      <c r="BN1179" s="18"/>
      <c r="BO1179" s="18"/>
      <c r="BP1179" s="18"/>
      <c r="BQ1179" s="18"/>
      <c r="BR1179" s="18"/>
      <c r="BS1179" s="18"/>
      <c r="BT1179" s="18"/>
      <c r="BU1179" s="18"/>
      <c r="BV1179" s="18"/>
      <c r="BW1179" s="18"/>
      <c r="BX1179" s="18"/>
      <c r="BY1179" s="18"/>
      <c r="BZ1179" s="18"/>
      <c r="CA1179" s="18"/>
      <c r="CB1179" s="18"/>
      <c r="CC1179" s="18"/>
      <c r="CD1179" s="18"/>
      <c r="CE1179" s="18"/>
      <c r="CF1179" s="18"/>
      <c r="CG1179" s="18"/>
      <c r="CH1179" s="18"/>
      <c r="CI1179" s="18"/>
      <c r="CJ1179" s="18"/>
      <c r="CK1179" s="18"/>
      <c r="CL1179" s="18"/>
      <c r="CM1179" s="18"/>
      <c r="CN1179" s="18"/>
      <c r="CO1179" s="18"/>
      <c r="CP1179" s="18"/>
      <c r="CQ1179" s="18"/>
      <c r="CR1179" s="18"/>
      <c r="CS1179" s="18"/>
      <c r="CT1179" s="18"/>
      <c r="CU1179" s="18"/>
    </row>
    <row r="1180" spans="1:99">
      <c r="A1180" s="19"/>
      <c r="B1180" s="19"/>
      <c r="C1180" s="19"/>
      <c r="D1180" s="19"/>
      <c r="E1180" s="19"/>
      <c r="F1180" s="19"/>
      <c r="G1180" s="19"/>
      <c r="H1180" s="19"/>
      <c r="I1180" s="19"/>
      <c r="J1180" s="19"/>
      <c r="K1180" s="18"/>
      <c r="L1180" s="18"/>
      <c r="M1180" s="18"/>
      <c r="N1180" s="18"/>
      <c r="O1180" s="18"/>
      <c r="P1180" s="18"/>
      <c r="Q1180" s="18"/>
      <c r="R1180" s="18"/>
      <c r="S1180" s="18"/>
      <c r="T1180" s="18"/>
      <c r="U1180" s="18"/>
      <c r="V1180" s="18"/>
      <c r="W1180" s="18"/>
      <c r="X1180" s="18"/>
      <c r="Y1180" s="18"/>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c r="BC1180" s="18"/>
      <c r="BD1180" s="18"/>
      <c r="BE1180" s="18"/>
      <c r="BF1180" s="18"/>
      <c r="BG1180" s="18"/>
      <c r="BH1180" s="18"/>
      <c r="BI1180" s="18"/>
      <c r="BJ1180" s="18"/>
      <c r="BK1180" s="18"/>
      <c r="BL1180" s="18"/>
      <c r="BM1180" s="18"/>
      <c r="BN1180" s="18"/>
      <c r="BO1180" s="18"/>
      <c r="BP1180" s="18"/>
      <c r="BQ1180" s="18"/>
      <c r="BR1180" s="18"/>
      <c r="BS1180" s="18"/>
      <c r="BT1180" s="18"/>
      <c r="BU1180" s="18"/>
      <c r="BV1180" s="18"/>
      <c r="BW1180" s="18"/>
      <c r="BX1180" s="18"/>
      <c r="BY1180" s="18"/>
      <c r="BZ1180" s="18"/>
      <c r="CA1180" s="18"/>
      <c r="CB1180" s="18"/>
      <c r="CC1180" s="18"/>
      <c r="CD1180" s="18"/>
      <c r="CE1180" s="18"/>
      <c r="CF1180" s="18"/>
      <c r="CG1180" s="18"/>
      <c r="CH1180" s="18"/>
      <c r="CI1180" s="18"/>
      <c r="CJ1180" s="18"/>
      <c r="CK1180" s="18"/>
      <c r="CL1180" s="18"/>
      <c r="CM1180" s="18"/>
      <c r="CN1180" s="18"/>
      <c r="CO1180" s="18"/>
      <c r="CP1180" s="18"/>
      <c r="CQ1180" s="18"/>
      <c r="CR1180" s="18"/>
      <c r="CS1180" s="18"/>
      <c r="CT1180" s="18"/>
      <c r="CU1180" s="18"/>
    </row>
    <row r="1181" spans="1:99">
      <c r="A1181" s="19"/>
      <c r="B1181" s="19"/>
      <c r="C1181" s="19"/>
      <c r="D1181" s="19"/>
      <c r="E1181" s="19"/>
      <c r="F1181" s="19"/>
      <c r="G1181" s="19"/>
      <c r="H1181" s="19"/>
      <c r="I1181" s="19"/>
      <c r="J1181" s="19"/>
      <c r="K1181" s="18"/>
      <c r="L1181" s="18"/>
      <c r="M1181" s="18"/>
      <c r="N1181" s="18"/>
      <c r="O1181" s="18"/>
      <c r="P1181" s="18"/>
      <c r="Q1181" s="18"/>
      <c r="R1181" s="18"/>
      <c r="S1181" s="18"/>
      <c r="T1181" s="18"/>
      <c r="U1181" s="18"/>
      <c r="V1181" s="18"/>
      <c r="W1181" s="18"/>
      <c r="X1181" s="18"/>
      <c r="Y1181" s="18"/>
      <c r="Z1181" s="18"/>
      <c r="AA1181" s="18"/>
      <c r="AB1181" s="18"/>
      <c r="AC1181" s="18"/>
      <c r="AD1181" s="18"/>
      <c r="AE1181" s="18"/>
      <c r="AF1181" s="18"/>
      <c r="AG1181" s="18"/>
      <c r="AH1181" s="18"/>
      <c r="AI1181" s="18"/>
      <c r="AJ1181" s="18"/>
      <c r="AK1181" s="18"/>
      <c r="AL1181" s="18"/>
      <c r="AM1181" s="18"/>
      <c r="AN1181" s="18"/>
      <c r="AO1181" s="18"/>
      <c r="AP1181" s="18"/>
      <c r="AQ1181" s="18"/>
      <c r="AR1181" s="18"/>
      <c r="AS1181" s="18"/>
      <c r="AT1181" s="18"/>
      <c r="AU1181" s="18"/>
      <c r="AV1181" s="18"/>
      <c r="AW1181" s="18"/>
      <c r="AX1181" s="18"/>
      <c r="AY1181" s="18"/>
      <c r="AZ1181" s="18"/>
      <c r="BA1181" s="18"/>
      <c r="BB1181" s="18"/>
      <c r="BC1181" s="18"/>
      <c r="BD1181" s="18"/>
      <c r="BE1181" s="18"/>
      <c r="BF1181" s="18"/>
      <c r="BG1181" s="18"/>
      <c r="BH1181" s="18"/>
      <c r="BI1181" s="18"/>
      <c r="BJ1181" s="18"/>
      <c r="BK1181" s="18"/>
      <c r="BL1181" s="18"/>
      <c r="BM1181" s="18"/>
      <c r="BN1181" s="18"/>
      <c r="BO1181" s="18"/>
      <c r="BP1181" s="18"/>
      <c r="BQ1181" s="18"/>
      <c r="BR1181" s="18"/>
      <c r="BS1181" s="18"/>
      <c r="BT1181" s="18"/>
      <c r="BU1181" s="18"/>
      <c r="BV1181" s="18"/>
      <c r="BW1181" s="18"/>
      <c r="BX1181" s="18"/>
      <c r="BY1181" s="18"/>
      <c r="BZ1181" s="18"/>
      <c r="CA1181" s="18"/>
      <c r="CB1181" s="18"/>
      <c r="CC1181" s="18"/>
      <c r="CD1181" s="18"/>
      <c r="CE1181" s="18"/>
      <c r="CF1181" s="18"/>
      <c r="CG1181" s="18"/>
      <c r="CH1181" s="18"/>
      <c r="CI1181" s="18"/>
      <c r="CJ1181" s="18"/>
      <c r="CK1181" s="18"/>
      <c r="CL1181" s="18"/>
      <c r="CM1181" s="18"/>
      <c r="CN1181" s="18"/>
      <c r="CO1181" s="18"/>
      <c r="CP1181" s="18"/>
      <c r="CQ1181" s="18"/>
      <c r="CR1181" s="18"/>
      <c r="CS1181" s="18"/>
      <c r="CT1181" s="18"/>
      <c r="CU1181" s="18"/>
    </row>
    <row r="1182" spans="1:99">
      <c r="A1182" s="19"/>
      <c r="B1182" s="19"/>
      <c r="C1182" s="19"/>
      <c r="D1182" s="19"/>
      <c r="E1182" s="19"/>
      <c r="F1182" s="19"/>
      <c r="G1182" s="19"/>
      <c r="H1182" s="19"/>
      <c r="I1182" s="19"/>
      <c r="J1182" s="19"/>
      <c r="K1182" s="18"/>
      <c r="L1182" s="18"/>
      <c r="M1182" s="18"/>
      <c r="N1182" s="18"/>
      <c r="O1182" s="18"/>
      <c r="P1182" s="18"/>
      <c r="Q1182" s="18"/>
      <c r="R1182" s="18"/>
      <c r="S1182" s="18"/>
      <c r="T1182" s="18"/>
      <c r="U1182" s="18"/>
      <c r="V1182" s="18"/>
      <c r="W1182" s="18"/>
      <c r="X1182" s="18"/>
      <c r="Y1182" s="18"/>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c r="BC1182" s="18"/>
      <c r="BD1182" s="18"/>
      <c r="BE1182" s="18"/>
      <c r="BF1182" s="18"/>
      <c r="BG1182" s="18"/>
      <c r="BH1182" s="18"/>
      <c r="BI1182" s="18"/>
      <c r="BJ1182" s="18"/>
      <c r="BK1182" s="18"/>
      <c r="BL1182" s="18"/>
      <c r="BM1182" s="18"/>
      <c r="BN1182" s="18"/>
      <c r="BO1182" s="18"/>
      <c r="BP1182" s="18"/>
      <c r="BQ1182" s="18"/>
      <c r="BR1182" s="18"/>
      <c r="BS1182" s="18"/>
      <c r="BT1182" s="18"/>
      <c r="BU1182" s="18"/>
      <c r="BV1182" s="18"/>
      <c r="BW1182" s="18"/>
      <c r="BX1182" s="18"/>
      <c r="BY1182" s="18"/>
      <c r="BZ1182" s="18"/>
      <c r="CA1182" s="18"/>
      <c r="CB1182" s="18"/>
      <c r="CC1182" s="18"/>
      <c r="CD1182" s="18"/>
      <c r="CE1182" s="18"/>
      <c r="CF1182" s="18"/>
      <c r="CG1182" s="18"/>
      <c r="CH1182" s="18"/>
      <c r="CI1182" s="18"/>
      <c r="CJ1182" s="18"/>
      <c r="CK1182" s="18"/>
      <c r="CL1182" s="18"/>
      <c r="CM1182" s="18"/>
      <c r="CN1182" s="18"/>
      <c r="CO1182" s="18"/>
      <c r="CP1182" s="18"/>
      <c r="CQ1182" s="18"/>
      <c r="CR1182" s="18"/>
      <c r="CS1182" s="18"/>
      <c r="CT1182" s="18"/>
      <c r="CU1182" s="18"/>
    </row>
    <row r="1183" spans="1:99">
      <c r="A1183" s="19"/>
      <c r="B1183" s="19"/>
      <c r="C1183" s="19"/>
      <c r="D1183" s="19"/>
      <c r="E1183" s="19"/>
      <c r="F1183" s="19"/>
      <c r="G1183" s="19"/>
      <c r="H1183" s="19"/>
      <c r="I1183" s="19"/>
      <c r="J1183" s="19"/>
      <c r="K1183" s="18"/>
      <c r="L1183" s="18"/>
      <c r="M1183" s="18"/>
      <c r="N1183" s="18"/>
      <c r="O1183" s="18"/>
      <c r="P1183" s="18"/>
      <c r="Q1183" s="18"/>
      <c r="R1183" s="18"/>
      <c r="S1183" s="18"/>
      <c r="T1183" s="18"/>
      <c r="U1183" s="18"/>
      <c r="V1183" s="18"/>
      <c r="W1183" s="18"/>
      <c r="X1183" s="18"/>
      <c r="Y1183" s="18"/>
      <c r="Z1183" s="18"/>
      <c r="AA1183" s="18"/>
      <c r="AB1183" s="18"/>
      <c r="AC1183" s="18"/>
      <c r="AD1183" s="18"/>
      <c r="AE1183" s="18"/>
      <c r="AF1183" s="18"/>
      <c r="AG1183" s="18"/>
      <c r="AH1183" s="18"/>
      <c r="AI1183" s="18"/>
      <c r="AJ1183" s="18"/>
      <c r="AK1183" s="18"/>
      <c r="AL1183" s="18"/>
      <c r="AM1183" s="18"/>
      <c r="AN1183" s="18"/>
      <c r="AO1183" s="18"/>
      <c r="AP1183" s="18"/>
      <c r="AQ1183" s="18"/>
      <c r="AR1183" s="18"/>
      <c r="AS1183" s="18"/>
      <c r="AT1183" s="18"/>
      <c r="AU1183" s="18"/>
      <c r="AV1183" s="18"/>
      <c r="AW1183" s="18"/>
      <c r="AX1183" s="18"/>
      <c r="AY1183" s="18"/>
      <c r="AZ1183" s="18"/>
      <c r="BA1183" s="18"/>
      <c r="BB1183" s="18"/>
      <c r="BC1183" s="18"/>
      <c r="BD1183" s="18"/>
      <c r="BE1183" s="18"/>
      <c r="BF1183" s="18"/>
      <c r="BG1183" s="18"/>
      <c r="BH1183" s="18"/>
      <c r="BI1183" s="18"/>
      <c r="BJ1183" s="18"/>
      <c r="BK1183" s="18"/>
      <c r="BL1183" s="18"/>
      <c r="BM1183" s="18"/>
      <c r="BN1183" s="18"/>
      <c r="BO1183" s="18"/>
      <c r="BP1183" s="18"/>
      <c r="BQ1183" s="18"/>
      <c r="BR1183" s="18"/>
      <c r="BS1183" s="18"/>
      <c r="BT1183" s="18"/>
      <c r="BU1183" s="18"/>
      <c r="BV1183" s="18"/>
      <c r="BW1183" s="18"/>
      <c r="BX1183" s="18"/>
      <c r="BY1183" s="18"/>
      <c r="BZ1183" s="18"/>
      <c r="CA1183" s="18"/>
      <c r="CB1183" s="18"/>
      <c r="CC1183" s="18"/>
      <c r="CD1183" s="18"/>
      <c r="CE1183" s="18"/>
      <c r="CF1183" s="18"/>
      <c r="CG1183" s="18"/>
      <c r="CH1183" s="18"/>
      <c r="CI1183" s="18"/>
      <c r="CJ1183" s="18"/>
      <c r="CK1183" s="18"/>
      <c r="CL1183" s="18"/>
      <c r="CM1183" s="18"/>
      <c r="CN1183" s="18"/>
      <c r="CO1183" s="18"/>
      <c r="CP1183" s="18"/>
      <c r="CQ1183" s="18"/>
      <c r="CR1183" s="18"/>
      <c r="CS1183" s="18"/>
      <c r="CT1183" s="18"/>
      <c r="CU1183" s="18"/>
    </row>
    <row r="1184" spans="1:99">
      <c r="A1184" s="19"/>
      <c r="B1184" s="19"/>
      <c r="C1184" s="19"/>
      <c r="D1184" s="19"/>
      <c r="E1184" s="19"/>
      <c r="F1184" s="19"/>
      <c r="G1184" s="19"/>
      <c r="H1184" s="19"/>
      <c r="I1184" s="19"/>
      <c r="J1184" s="19"/>
      <c r="K1184" s="18"/>
      <c r="L1184" s="18"/>
      <c r="M1184" s="18"/>
      <c r="N1184" s="18"/>
      <c r="O1184" s="18"/>
      <c r="P1184" s="18"/>
      <c r="Q1184" s="18"/>
      <c r="R1184" s="18"/>
      <c r="S1184" s="18"/>
      <c r="T1184" s="18"/>
      <c r="U1184" s="18"/>
      <c r="V1184" s="18"/>
      <c r="W1184" s="18"/>
      <c r="X1184" s="18"/>
      <c r="Y1184" s="18"/>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c r="BC1184" s="18"/>
      <c r="BD1184" s="18"/>
      <c r="BE1184" s="18"/>
      <c r="BF1184" s="18"/>
      <c r="BG1184" s="18"/>
      <c r="BH1184" s="18"/>
      <c r="BI1184" s="18"/>
      <c r="BJ1184" s="18"/>
      <c r="BK1184" s="18"/>
      <c r="BL1184" s="18"/>
      <c r="BM1184" s="18"/>
      <c r="BN1184" s="18"/>
      <c r="BO1184" s="18"/>
      <c r="BP1184" s="18"/>
      <c r="BQ1184" s="18"/>
      <c r="BR1184" s="18"/>
      <c r="BS1184" s="18"/>
      <c r="BT1184" s="18"/>
      <c r="BU1184" s="18"/>
      <c r="BV1184" s="18"/>
      <c r="BW1184" s="18"/>
      <c r="BX1184" s="18"/>
      <c r="BY1184" s="18"/>
      <c r="BZ1184" s="18"/>
      <c r="CA1184" s="18"/>
      <c r="CB1184" s="18"/>
      <c r="CC1184" s="18"/>
      <c r="CD1184" s="18"/>
      <c r="CE1184" s="18"/>
      <c r="CF1184" s="18"/>
      <c r="CG1184" s="18"/>
      <c r="CH1184" s="18"/>
      <c r="CI1184" s="18"/>
      <c r="CJ1184" s="18"/>
      <c r="CK1184" s="18"/>
      <c r="CL1184" s="18"/>
      <c r="CM1184" s="18"/>
      <c r="CN1184" s="18"/>
      <c r="CO1184" s="18"/>
      <c r="CP1184" s="18"/>
      <c r="CQ1184" s="18"/>
      <c r="CR1184" s="18"/>
      <c r="CS1184" s="18"/>
      <c r="CT1184" s="18"/>
      <c r="CU1184" s="18"/>
    </row>
    <row r="1185" spans="1:99">
      <c r="A1185" s="19"/>
      <c r="B1185" s="19"/>
      <c r="C1185" s="19"/>
      <c r="D1185" s="19"/>
      <c r="E1185" s="19"/>
      <c r="F1185" s="19"/>
      <c r="G1185" s="19"/>
      <c r="H1185" s="19"/>
      <c r="I1185" s="19"/>
      <c r="J1185" s="19"/>
      <c r="K1185" s="18"/>
      <c r="L1185" s="18"/>
      <c r="M1185" s="18"/>
      <c r="N1185" s="18"/>
      <c r="O1185" s="18"/>
      <c r="P1185" s="18"/>
      <c r="Q1185" s="18"/>
      <c r="R1185" s="18"/>
      <c r="S1185" s="18"/>
      <c r="T1185" s="18"/>
      <c r="U1185" s="18"/>
      <c r="V1185" s="18"/>
      <c r="W1185" s="18"/>
      <c r="X1185" s="18"/>
      <c r="Y1185" s="18"/>
      <c r="Z1185" s="18"/>
      <c r="AA1185" s="18"/>
      <c r="AB1185" s="18"/>
      <c r="AC1185" s="18"/>
      <c r="AD1185" s="18"/>
      <c r="AE1185" s="18"/>
      <c r="AF1185" s="18"/>
      <c r="AG1185" s="18"/>
      <c r="AH1185" s="18"/>
      <c r="AI1185" s="18"/>
      <c r="AJ1185" s="18"/>
      <c r="AK1185" s="18"/>
      <c r="AL1185" s="18"/>
      <c r="AM1185" s="18"/>
      <c r="AN1185" s="18"/>
      <c r="AO1185" s="18"/>
      <c r="AP1185" s="18"/>
      <c r="AQ1185" s="18"/>
      <c r="AR1185" s="18"/>
      <c r="AS1185" s="18"/>
      <c r="AT1185" s="18"/>
      <c r="AU1185" s="18"/>
      <c r="AV1185" s="18"/>
      <c r="AW1185" s="18"/>
      <c r="AX1185" s="18"/>
      <c r="AY1185" s="18"/>
      <c r="AZ1185" s="18"/>
      <c r="BA1185" s="18"/>
      <c r="BB1185" s="18"/>
      <c r="BC1185" s="18"/>
      <c r="BD1185" s="18"/>
      <c r="BE1185" s="18"/>
      <c r="BF1185" s="18"/>
      <c r="BG1185" s="18"/>
      <c r="BH1185" s="18"/>
      <c r="BI1185" s="18"/>
      <c r="BJ1185" s="18"/>
      <c r="BK1185" s="18"/>
      <c r="BL1185" s="18"/>
      <c r="BM1185" s="18"/>
      <c r="BN1185" s="18"/>
      <c r="BO1185" s="18"/>
      <c r="BP1185" s="18"/>
      <c r="BQ1185" s="18"/>
      <c r="BR1185" s="18"/>
      <c r="BS1185" s="18"/>
      <c r="BT1185" s="18"/>
      <c r="BU1185" s="18"/>
      <c r="BV1185" s="18"/>
      <c r="BW1185" s="18"/>
      <c r="BX1185" s="18"/>
      <c r="BY1185" s="18"/>
      <c r="BZ1185" s="18"/>
      <c r="CA1185" s="18"/>
      <c r="CB1185" s="18"/>
      <c r="CC1185" s="18"/>
      <c r="CD1185" s="18"/>
      <c r="CE1185" s="18"/>
      <c r="CF1185" s="18"/>
      <c r="CG1185" s="18"/>
      <c r="CH1185" s="18"/>
      <c r="CI1185" s="18"/>
      <c r="CJ1185" s="18"/>
      <c r="CK1185" s="18"/>
      <c r="CL1185" s="18"/>
      <c r="CM1185" s="18"/>
      <c r="CN1185" s="18"/>
      <c r="CO1185" s="18"/>
      <c r="CP1185" s="18"/>
      <c r="CQ1185" s="18"/>
      <c r="CR1185" s="18"/>
      <c r="CS1185" s="18"/>
      <c r="CT1185" s="18"/>
      <c r="CU1185" s="18"/>
    </row>
    <row r="1186" spans="1:99">
      <c r="A1186" s="19"/>
      <c r="B1186" s="19"/>
      <c r="C1186" s="19"/>
      <c r="D1186" s="19"/>
      <c r="E1186" s="19"/>
      <c r="F1186" s="19"/>
      <c r="G1186" s="19"/>
      <c r="H1186" s="19"/>
      <c r="I1186" s="19"/>
      <c r="J1186" s="19"/>
      <c r="K1186" s="18"/>
      <c r="L1186" s="18"/>
      <c r="M1186" s="18"/>
      <c r="N1186" s="18"/>
      <c r="O1186" s="18"/>
      <c r="P1186" s="18"/>
      <c r="Q1186" s="18"/>
      <c r="R1186" s="18"/>
      <c r="S1186" s="18"/>
      <c r="T1186" s="18"/>
      <c r="U1186" s="18"/>
      <c r="V1186" s="18"/>
      <c r="W1186" s="18"/>
      <c r="X1186" s="18"/>
      <c r="Y1186" s="18"/>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c r="BC1186" s="18"/>
      <c r="BD1186" s="18"/>
      <c r="BE1186" s="18"/>
      <c r="BF1186" s="18"/>
      <c r="BG1186" s="18"/>
      <c r="BH1186" s="18"/>
      <c r="BI1186" s="18"/>
      <c r="BJ1186" s="18"/>
      <c r="BK1186" s="18"/>
      <c r="BL1186" s="18"/>
      <c r="BM1186" s="18"/>
      <c r="BN1186" s="18"/>
      <c r="BO1186" s="18"/>
      <c r="BP1186" s="18"/>
      <c r="BQ1186" s="18"/>
      <c r="BR1186" s="18"/>
      <c r="BS1186" s="18"/>
      <c r="BT1186" s="18"/>
      <c r="BU1186" s="18"/>
      <c r="BV1186" s="18"/>
      <c r="BW1186" s="18"/>
      <c r="BX1186" s="18"/>
      <c r="BY1186" s="18"/>
      <c r="BZ1186" s="18"/>
      <c r="CA1186" s="18"/>
      <c r="CB1186" s="18"/>
      <c r="CC1186" s="18"/>
      <c r="CD1186" s="18"/>
      <c r="CE1186" s="18"/>
      <c r="CF1186" s="18"/>
      <c r="CG1186" s="18"/>
      <c r="CH1186" s="18"/>
      <c r="CI1186" s="18"/>
      <c r="CJ1186" s="18"/>
      <c r="CK1186" s="18"/>
      <c r="CL1186" s="18"/>
      <c r="CM1186" s="18"/>
      <c r="CN1186" s="18"/>
      <c r="CO1186" s="18"/>
      <c r="CP1186" s="18"/>
      <c r="CQ1186" s="18"/>
      <c r="CR1186" s="18"/>
      <c r="CS1186" s="18"/>
      <c r="CT1186" s="18"/>
      <c r="CU1186" s="18"/>
    </row>
    <row r="1187" spans="1:99">
      <c r="A1187" s="19"/>
      <c r="B1187" s="19"/>
      <c r="C1187" s="19"/>
      <c r="D1187" s="19"/>
      <c r="E1187" s="19"/>
      <c r="F1187" s="19"/>
      <c r="G1187" s="19"/>
      <c r="H1187" s="19"/>
      <c r="I1187" s="19"/>
      <c r="J1187" s="19"/>
      <c r="K1187" s="18"/>
      <c r="L1187" s="18"/>
      <c r="M1187" s="18"/>
      <c r="N1187" s="18"/>
      <c r="O1187" s="18"/>
      <c r="P1187" s="18"/>
      <c r="Q1187" s="18"/>
      <c r="R1187" s="18"/>
      <c r="S1187" s="18"/>
      <c r="T1187" s="18"/>
      <c r="U1187" s="18"/>
      <c r="V1187" s="18"/>
      <c r="W1187" s="18"/>
      <c r="X1187" s="18"/>
      <c r="Y1187" s="18"/>
      <c r="Z1187" s="18"/>
      <c r="AA1187" s="18"/>
      <c r="AB1187" s="18"/>
      <c r="AC1187" s="18"/>
      <c r="AD1187" s="18"/>
      <c r="AE1187" s="18"/>
      <c r="AF1187" s="18"/>
      <c r="AG1187" s="18"/>
      <c r="AH1187" s="18"/>
      <c r="AI1187" s="18"/>
      <c r="AJ1187" s="18"/>
      <c r="AK1187" s="18"/>
      <c r="AL1187" s="18"/>
      <c r="AM1187" s="18"/>
      <c r="AN1187" s="18"/>
      <c r="AO1187" s="18"/>
      <c r="AP1187" s="18"/>
      <c r="AQ1187" s="18"/>
      <c r="AR1187" s="18"/>
      <c r="AS1187" s="18"/>
      <c r="AT1187" s="18"/>
      <c r="AU1187" s="18"/>
      <c r="AV1187" s="18"/>
      <c r="AW1187" s="18"/>
      <c r="AX1187" s="18"/>
      <c r="AY1187" s="18"/>
      <c r="AZ1187" s="18"/>
      <c r="BA1187" s="18"/>
      <c r="BB1187" s="18"/>
      <c r="BC1187" s="18"/>
      <c r="BD1187" s="18"/>
      <c r="BE1187" s="18"/>
      <c r="BF1187" s="18"/>
      <c r="BG1187" s="18"/>
      <c r="BH1187" s="18"/>
      <c r="BI1187" s="18"/>
      <c r="BJ1187" s="18"/>
      <c r="BK1187" s="18"/>
      <c r="BL1187" s="18"/>
      <c r="BM1187" s="18"/>
      <c r="BN1187" s="18"/>
      <c r="BO1187" s="18"/>
      <c r="BP1187" s="18"/>
      <c r="BQ1187" s="18"/>
      <c r="BR1187" s="18"/>
      <c r="BS1187" s="18"/>
      <c r="BT1187" s="18"/>
      <c r="BU1187" s="18"/>
      <c r="BV1187" s="18"/>
      <c r="BW1187" s="18"/>
      <c r="BX1187" s="18"/>
      <c r="BY1187" s="18"/>
      <c r="BZ1187" s="18"/>
      <c r="CA1187" s="18"/>
      <c r="CB1187" s="18"/>
      <c r="CC1187" s="18"/>
      <c r="CD1187" s="18"/>
      <c r="CE1187" s="18"/>
      <c r="CF1187" s="18"/>
      <c r="CG1187" s="18"/>
      <c r="CH1187" s="18"/>
      <c r="CI1187" s="18"/>
      <c r="CJ1187" s="18"/>
      <c r="CK1187" s="18"/>
      <c r="CL1187" s="18"/>
      <c r="CM1187" s="18"/>
      <c r="CN1187" s="18"/>
      <c r="CO1187" s="18"/>
      <c r="CP1187" s="18"/>
      <c r="CQ1187" s="18"/>
      <c r="CR1187" s="18"/>
      <c r="CS1187" s="18"/>
      <c r="CT1187" s="18"/>
      <c r="CU1187" s="18"/>
    </row>
    <row r="1188" spans="1:99">
      <c r="A1188" s="19"/>
      <c r="B1188" s="19"/>
      <c r="C1188" s="19"/>
      <c r="D1188" s="19"/>
      <c r="E1188" s="19"/>
      <c r="F1188" s="19"/>
      <c r="G1188" s="19"/>
      <c r="H1188" s="19"/>
      <c r="I1188" s="19"/>
      <c r="J1188" s="19"/>
      <c r="K1188" s="18"/>
      <c r="L1188" s="18"/>
      <c r="M1188" s="18"/>
      <c r="N1188" s="18"/>
      <c r="O1188" s="18"/>
      <c r="P1188" s="18"/>
      <c r="Q1188" s="18"/>
      <c r="R1188" s="18"/>
      <c r="S1188" s="18"/>
      <c r="T1188" s="18"/>
      <c r="U1188" s="18"/>
      <c r="V1188" s="18"/>
      <c r="W1188" s="18"/>
      <c r="X1188" s="18"/>
      <c r="Y1188" s="18"/>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c r="BC1188" s="18"/>
      <c r="BD1188" s="18"/>
      <c r="BE1188" s="18"/>
      <c r="BF1188" s="18"/>
      <c r="BG1188" s="18"/>
      <c r="BH1188" s="18"/>
      <c r="BI1188" s="18"/>
      <c r="BJ1188" s="18"/>
      <c r="BK1188" s="18"/>
      <c r="BL1188" s="18"/>
      <c r="BM1188" s="18"/>
      <c r="BN1188" s="18"/>
      <c r="BO1188" s="18"/>
      <c r="BP1188" s="18"/>
      <c r="BQ1188" s="18"/>
      <c r="BR1188" s="18"/>
      <c r="BS1188" s="18"/>
      <c r="BT1188" s="18"/>
      <c r="BU1188" s="18"/>
      <c r="BV1188" s="18"/>
      <c r="BW1188" s="18"/>
      <c r="BX1188" s="18"/>
      <c r="BY1188" s="18"/>
      <c r="BZ1188" s="18"/>
      <c r="CA1188" s="18"/>
      <c r="CB1188" s="18"/>
      <c r="CC1188" s="18"/>
      <c r="CD1188" s="18"/>
      <c r="CE1188" s="18"/>
      <c r="CF1188" s="18"/>
      <c r="CG1188" s="18"/>
      <c r="CH1188" s="18"/>
      <c r="CI1188" s="18"/>
      <c r="CJ1188" s="18"/>
      <c r="CK1188" s="18"/>
      <c r="CL1188" s="18"/>
      <c r="CM1188" s="18"/>
      <c r="CN1188" s="18"/>
      <c r="CO1188" s="18"/>
      <c r="CP1188" s="18"/>
      <c r="CQ1188" s="18"/>
      <c r="CR1188" s="18"/>
      <c r="CS1188" s="18"/>
      <c r="CT1188" s="18"/>
      <c r="CU1188" s="18"/>
    </row>
    <row r="1189" spans="1:99">
      <c r="A1189" s="19"/>
      <c r="B1189" s="19"/>
      <c r="C1189" s="19"/>
      <c r="D1189" s="19"/>
      <c r="E1189" s="19"/>
      <c r="F1189" s="19"/>
      <c r="G1189" s="19"/>
      <c r="H1189" s="19"/>
      <c r="I1189" s="19"/>
      <c r="J1189" s="19"/>
      <c r="K1189" s="18"/>
      <c r="L1189" s="18"/>
      <c r="M1189" s="18"/>
      <c r="N1189" s="18"/>
      <c r="O1189" s="18"/>
      <c r="P1189" s="18"/>
      <c r="Q1189" s="18"/>
      <c r="R1189" s="18"/>
      <c r="S1189" s="18"/>
      <c r="T1189" s="18"/>
      <c r="U1189" s="18"/>
      <c r="V1189" s="18"/>
      <c r="W1189" s="18"/>
      <c r="X1189" s="18"/>
      <c r="Y1189" s="18"/>
      <c r="Z1189" s="18"/>
      <c r="AA1189" s="18"/>
      <c r="AB1189" s="18"/>
      <c r="AC1189" s="18"/>
      <c r="AD1189" s="18"/>
      <c r="AE1189" s="18"/>
      <c r="AF1189" s="18"/>
      <c r="AG1189" s="18"/>
      <c r="AH1189" s="18"/>
      <c r="AI1189" s="18"/>
      <c r="AJ1189" s="18"/>
      <c r="AK1189" s="18"/>
      <c r="AL1189" s="18"/>
      <c r="AM1189" s="18"/>
      <c r="AN1189" s="18"/>
      <c r="AO1189" s="18"/>
      <c r="AP1189" s="18"/>
      <c r="AQ1189" s="18"/>
      <c r="AR1189" s="18"/>
      <c r="AS1189" s="18"/>
      <c r="AT1189" s="18"/>
      <c r="AU1189" s="18"/>
      <c r="AV1189" s="18"/>
      <c r="AW1189" s="18"/>
      <c r="AX1189" s="18"/>
      <c r="AY1189" s="18"/>
      <c r="AZ1189" s="18"/>
      <c r="BA1189" s="18"/>
      <c r="BB1189" s="18"/>
      <c r="BC1189" s="18"/>
      <c r="BD1189" s="18"/>
      <c r="BE1189" s="18"/>
      <c r="BF1189" s="18"/>
      <c r="BG1189" s="18"/>
      <c r="BH1189" s="18"/>
      <c r="BI1189" s="18"/>
      <c r="BJ1189" s="18"/>
      <c r="BK1189" s="18"/>
      <c r="BL1189" s="18"/>
      <c r="BM1189" s="18"/>
      <c r="BN1189" s="18"/>
      <c r="BO1189" s="18"/>
      <c r="BP1189" s="18"/>
      <c r="BQ1189" s="18"/>
      <c r="BR1189" s="18"/>
      <c r="BS1189" s="18"/>
      <c r="BT1189" s="18"/>
      <c r="BU1189" s="18"/>
      <c r="BV1189" s="18"/>
      <c r="BW1189" s="18"/>
      <c r="BX1189" s="18"/>
      <c r="BY1189" s="18"/>
      <c r="BZ1189" s="18"/>
      <c r="CA1189" s="18"/>
      <c r="CB1189" s="18"/>
      <c r="CC1189" s="18"/>
      <c r="CD1189" s="18"/>
      <c r="CE1189" s="18"/>
      <c r="CF1189" s="18"/>
      <c r="CG1189" s="18"/>
      <c r="CH1189" s="18"/>
      <c r="CI1189" s="18"/>
      <c r="CJ1189" s="18"/>
      <c r="CK1189" s="18"/>
      <c r="CL1189" s="18"/>
      <c r="CM1189" s="18"/>
      <c r="CN1189" s="18"/>
      <c r="CO1189" s="18"/>
      <c r="CP1189" s="18"/>
      <c r="CQ1189" s="18"/>
      <c r="CR1189" s="18"/>
      <c r="CS1189" s="18"/>
      <c r="CT1189" s="18"/>
      <c r="CU1189" s="18"/>
    </row>
    <row r="1190" spans="1:99">
      <c r="A1190" s="19"/>
      <c r="B1190" s="19"/>
      <c r="C1190" s="19"/>
      <c r="D1190" s="19"/>
      <c r="E1190" s="19"/>
      <c r="F1190" s="19"/>
      <c r="G1190" s="19"/>
      <c r="H1190" s="19"/>
      <c r="I1190" s="19"/>
      <c r="J1190" s="19"/>
      <c r="K1190" s="18"/>
      <c r="L1190" s="18"/>
      <c r="M1190" s="18"/>
      <c r="N1190" s="18"/>
      <c r="O1190" s="18"/>
      <c r="P1190" s="18"/>
      <c r="Q1190" s="18"/>
      <c r="R1190" s="18"/>
      <c r="S1190" s="18"/>
      <c r="T1190" s="18"/>
      <c r="U1190" s="18"/>
      <c r="V1190" s="18"/>
      <c r="W1190" s="18"/>
      <c r="X1190" s="18"/>
      <c r="Y1190" s="18"/>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c r="BC1190" s="18"/>
      <c r="BD1190" s="18"/>
      <c r="BE1190" s="18"/>
      <c r="BF1190" s="18"/>
      <c r="BG1190" s="18"/>
      <c r="BH1190" s="18"/>
      <c r="BI1190" s="18"/>
      <c r="BJ1190" s="18"/>
      <c r="BK1190" s="18"/>
      <c r="BL1190" s="18"/>
      <c r="BM1190" s="18"/>
      <c r="BN1190" s="18"/>
      <c r="BO1190" s="18"/>
      <c r="BP1190" s="18"/>
      <c r="BQ1190" s="18"/>
      <c r="BR1190" s="18"/>
      <c r="BS1190" s="18"/>
      <c r="BT1190" s="18"/>
      <c r="BU1190" s="18"/>
      <c r="BV1190" s="18"/>
      <c r="BW1190" s="18"/>
      <c r="BX1190" s="18"/>
      <c r="BY1190" s="18"/>
      <c r="BZ1190" s="18"/>
      <c r="CA1190" s="18"/>
      <c r="CB1190" s="18"/>
      <c r="CC1190" s="18"/>
      <c r="CD1190" s="18"/>
      <c r="CE1190" s="18"/>
      <c r="CF1190" s="18"/>
      <c r="CG1190" s="18"/>
      <c r="CH1190" s="18"/>
      <c r="CI1190" s="18"/>
      <c r="CJ1190" s="18"/>
      <c r="CK1190" s="18"/>
      <c r="CL1190" s="18"/>
      <c r="CM1190" s="18"/>
      <c r="CN1190" s="18"/>
      <c r="CO1190" s="18"/>
      <c r="CP1190" s="18"/>
      <c r="CQ1190" s="18"/>
      <c r="CR1190" s="18"/>
      <c r="CS1190" s="18"/>
      <c r="CT1190" s="18"/>
      <c r="CU1190" s="18"/>
    </row>
    <row r="1191" spans="1:99">
      <c r="A1191" s="19"/>
      <c r="B1191" s="19"/>
      <c r="C1191" s="19"/>
      <c r="D1191" s="19"/>
      <c r="E1191" s="19"/>
      <c r="F1191" s="19"/>
      <c r="G1191" s="19"/>
      <c r="H1191" s="19"/>
      <c r="I1191" s="19"/>
      <c r="J1191" s="19"/>
      <c r="K1191" s="18"/>
      <c r="L1191" s="18"/>
      <c r="M1191" s="18"/>
      <c r="N1191" s="18"/>
      <c r="O1191" s="18"/>
      <c r="P1191" s="18"/>
      <c r="Q1191" s="18"/>
      <c r="R1191" s="18"/>
      <c r="S1191" s="18"/>
      <c r="T1191" s="18"/>
      <c r="U1191" s="18"/>
      <c r="V1191" s="18"/>
      <c r="W1191" s="18"/>
      <c r="X1191" s="18"/>
      <c r="Y1191" s="18"/>
      <c r="Z1191" s="18"/>
      <c r="AA1191" s="18"/>
      <c r="AB1191" s="18"/>
      <c r="AC1191" s="18"/>
      <c r="AD1191" s="18"/>
      <c r="AE1191" s="18"/>
      <c r="AF1191" s="18"/>
      <c r="AG1191" s="18"/>
      <c r="AH1191" s="18"/>
      <c r="AI1191" s="18"/>
      <c r="AJ1191" s="18"/>
      <c r="AK1191" s="18"/>
      <c r="AL1191" s="18"/>
      <c r="AM1191" s="18"/>
      <c r="AN1191" s="18"/>
      <c r="AO1191" s="18"/>
      <c r="AP1191" s="18"/>
      <c r="AQ1191" s="18"/>
      <c r="AR1191" s="18"/>
      <c r="AS1191" s="18"/>
      <c r="AT1191" s="18"/>
      <c r="AU1191" s="18"/>
      <c r="AV1191" s="18"/>
      <c r="AW1191" s="18"/>
      <c r="AX1191" s="18"/>
      <c r="AY1191" s="18"/>
      <c r="AZ1191" s="18"/>
      <c r="BA1191" s="18"/>
      <c r="BB1191" s="18"/>
      <c r="BC1191" s="18"/>
      <c r="BD1191" s="18"/>
      <c r="BE1191" s="18"/>
      <c r="BF1191" s="18"/>
      <c r="BG1191" s="18"/>
      <c r="BH1191" s="18"/>
      <c r="BI1191" s="18"/>
      <c r="BJ1191" s="18"/>
      <c r="BK1191" s="18"/>
      <c r="BL1191" s="18"/>
      <c r="BM1191" s="18"/>
      <c r="BN1191" s="18"/>
      <c r="BO1191" s="18"/>
      <c r="BP1191" s="18"/>
      <c r="BQ1191" s="18"/>
      <c r="BR1191" s="18"/>
      <c r="BS1191" s="18"/>
      <c r="BT1191" s="18"/>
      <c r="BU1191" s="18"/>
      <c r="BV1191" s="18"/>
      <c r="BW1191" s="18"/>
      <c r="BX1191" s="18"/>
      <c r="BY1191" s="18"/>
      <c r="BZ1191" s="18"/>
      <c r="CA1191" s="18"/>
      <c r="CB1191" s="18"/>
      <c r="CC1191" s="18"/>
      <c r="CD1191" s="18"/>
      <c r="CE1191" s="18"/>
      <c r="CF1191" s="18"/>
      <c r="CG1191" s="18"/>
      <c r="CH1191" s="18"/>
      <c r="CI1191" s="18"/>
      <c r="CJ1191" s="18"/>
      <c r="CK1191" s="18"/>
      <c r="CL1191" s="18"/>
      <c r="CM1191" s="18"/>
      <c r="CN1191" s="18"/>
      <c r="CO1191" s="18"/>
      <c r="CP1191" s="18"/>
      <c r="CQ1191" s="18"/>
      <c r="CR1191" s="18"/>
      <c r="CS1191" s="18"/>
      <c r="CT1191" s="18"/>
      <c r="CU1191" s="18"/>
    </row>
    <row r="1192" spans="1:99">
      <c r="A1192" s="19"/>
      <c r="B1192" s="19"/>
      <c r="C1192" s="19"/>
      <c r="D1192" s="19"/>
      <c r="E1192" s="19"/>
      <c r="F1192" s="19"/>
      <c r="G1192" s="19"/>
      <c r="H1192" s="19"/>
      <c r="I1192" s="19"/>
      <c r="J1192" s="19"/>
      <c r="K1192" s="18"/>
      <c r="L1192" s="18"/>
      <c r="M1192" s="18"/>
      <c r="N1192" s="18"/>
      <c r="O1192" s="18"/>
      <c r="P1192" s="18"/>
      <c r="Q1192" s="18"/>
      <c r="R1192" s="18"/>
      <c r="S1192" s="18"/>
      <c r="T1192" s="18"/>
      <c r="U1192" s="18"/>
      <c r="V1192" s="18"/>
      <c r="W1192" s="18"/>
      <c r="X1192" s="18"/>
      <c r="Y1192" s="18"/>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c r="BC1192" s="18"/>
      <c r="BD1192" s="18"/>
      <c r="BE1192" s="18"/>
      <c r="BF1192" s="18"/>
      <c r="BG1192" s="18"/>
      <c r="BH1192" s="18"/>
      <c r="BI1192" s="18"/>
      <c r="BJ1192" s="18"/>
      <c r="BK1192" s="18"/>
      <c r="BL1192" s="18"/>
      <c r="BM1192" s="18"/>
      <c r="BN1192" s="18"/>
      <c r="BO1192" s="18"/>
      <c r="BP1192" s="18"/>
      <c r="BQ1192" s="18"/>
      <c r="BR1192" s="18"/>
      <c r="BS1192" s="18"/>
      <c r="BT1192" s="18"/>
      <c r="BU1192" s="18"/>
      <c r="BV1192" s="18"/>
      <c r="BW1192" s="18"/>
      <c r="BX1192" s="18"/>
      <c r="BY1192" s="18"/>
      <c r="BZ1192" s="18"/>
      <c r="CA1192" s="18"/>
      <c r="CB1192" s="18"/>
      <c r="CC1192" s="18"/>
      <c r="CD1192" s="18"/>
      <c r="CE1192" s="18"/>
      <c r="CF1192" s="18"/>
      <c r="CG1192" s="18"/>
      <c r="CH1192" s="18"/>
      <c r="CI1192" s="18"/>
      <c r="CJ1192" s="18"/>
      <c r="CK1192" s="18"/>
      <c r="CL1192" s="18"/>
      <c r="CM1192" s="18"/>
      <c r="CN1192" s="18"/>
      <c r="CO1192" s="18"/>
      <c r="CP1192" s="18"/>
      <c r="CQ1192" s="18"/>
      <c r="CR1192" s="18"/>
      <c r="CS1192" s="18"/>
      <c r="CT1192" s="18"/>
      <c r="CU1192" s="18"/>
    </row>
    <row r="1193" spans="1:99">
      <c r="A1193" s="19"/>
      <c r="B1193" s="19"/>
      <c r="C1193" s="19"/>
      <c r="D1193" s="19"/>
      <c r="E1193" s="19"/>
      <c r="F1193" s="19"/>
      <c r="G1193" s="19"/>
      <c r="H1193" s="19"/>
      <c r="I1193" s="19"/>
      <c r="J1193" s="19"/>
      <c r="K1193" s="18"/>
      <c r="L1193" s="18"/>
      <c r="M1193" s="18"/>
      <c r="N1193" s="18"/>
      <c r="O1193" s="18"/>
      <c r="P1193" s="18"/>
      <c r="Q1193" s="18"/>
      <c r="R1193" s="18"/>
      <c r="S1193" s="18"/>
      <c r="T1193" s="18"/>
      <c r="U1193" s="18"/>
      <c r="V1193" s="18"/>
      <c r="W1193" s="18"/>
      <c r="X1193" s="18"/>
      <c r="Y1193" s="18"/>
      <c r="Z1193" s="18"/>
      <c r="AA1193" s="18"/>
      <c r="AB1193" s="18"/>
      <c r="AC1193" s="18"/>
      <c r="AD1193" s="18"/>
      <c r="AE1193" s="18"/>
      <c r="AF1193" s="18"/>
      <c r="AG1193" s="18"/>
      <c r="AH1193" s="18"/>
      <c r="AI1193" s="18"/>
      <c r="AJ1193" s="18"/>
      <c r="AK1193" s="18"/>
      <c r="AL1193" s="18"/>
      <c r="AM1193" s="18"/>
      <c r="AN1193" s="18"/>
      <c r="AO1193" s="18"/>
      <c r="AP1193" s="18"/>
      <c r="AQ1193" s="18"/>
      <c r="AR1193" s="18"/>
      <c r="AS1193" s="18"/>
      <c r="AT1193" s="18"/>
      <c r="AU1193" s="18"/>
      <c r="AV1193" s="18"/>
      <c r="AW1193" s="18"/>
      <c r="AX1193" s="18"/>
      <c r="AY1193" s="18"/>
      <c r="AZ1193" s="18"/>
      <c r="BA1193" s="18"/>
      <c r="BB1193" s="18"/>
      <c r="BC1193" s="18"/>
      <c r="BD1193" s="18"/>
      <c r="BE1193" s="18"/>
      <c r="BF1193" s="18"/>
      <c r="BG1193" s="18"/>
      <c r="BH1193" s="18"/>
      <c r="BI1193" s="18"/>
      <c r="BJ1193" s="18"/>
      <c r="BK1193" s="18"/>
      <c r="BL1193" s="18"/>
      <c r="BM1193" s="18"/>
      <c r="BN1193" s="18"/>
      <c r="BO1193" s="18"/>
      <c r="BP1193" s="18"/>
      <c r="BQ1193" s="18"/>
      <c r="BR1193" s="18"/>
      <c r="BS1193" s="18"/>
      <c r="BT1193" s="18"/>
      <c r="BU1193" s="18"/>
      <c r="BV1193" s="18"/>
      <c r="BW1193" s="18"/>
      <c r="BX1193" s="18"/>
      <c r="BY1193" s="18"/>
      <c r="BZ1193" s="18"/>
      <c r="CA1193" s="18"/>
      <c r="CB1193" s="18"/>
      <c r="CC1193" s="18"/>
      <c r="CD1193" s="18"/>
      <c r="CE1193" s="18"/>
      <c r="CF1193" s="18"/>
      <c r="CG1193" s="18"/>
      <c r="CH1193" s="18"/>
      <c r="CI1193" s="18"/>
      <c r="CJ1193" s="18"/>
      <c r="CK1193" s="18"/>
      <c r="CL1193" s="18"/>
      <c r="CM1193" s="18"/>
      <c r="CN1193" s="18"/>
      <c r="CO1193" s="18"/>
      <c r="CP1193" s="18"/>
      <c r="CQ1193" s="18"/>
      <c r="CR1193" s="18"/>
      <c r="CS1193" s="18"/>
      <c r="CT1193" s="18"/>
      <c r="CU1193" s="18"/>
    </row>
    <row r="1194" spans="1:99">
      <c r="A1194" s="19"/>
      <c r="B1194" s="19"/>
      <c r="C1194" s="19"/>
      <c r="D1194" s="19"/>
      <c r="E1194" s="19"/>
      <c r="F1194" s="19"/>
      <c r="G1194" s="19"/>
      <c r="H1194" s="19"/>
      <c r="I1194" s="19"/>
      <c r="J1194" s="19"/>
      <c r="K1194" s="18"/>
      <c r="L1194" s="18"/>
      <c r="M1194" s="18"/>
      <c r="N1194" s="18"/>
      <c r="O1194" s="18"/>
      <c r="P1194" s="18"/>
      <c r="Q1194" s="18"/>
      <c r="R1194" s="18"/>
      <c r="S1194" s="18"/>
      <c r="T1194" s="18"/>
      <c r="U1194" s="18"/>
      <c r="V1194" s="18"/>
      <c r="W1194" s="18"/>
      <c r="X1194" s="18"/>
      <c r="Y1194" s="18"/>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c r="BC1194" s="18"/>
      <c r="BD1194" s="18"/>
      <c r="BE1194" s="18"/>
      <c r="BF1194" s="18"/>
      <c r="BG1194" s="18"/>
      <c r="BH1194" s="18"/>
      <c r="BI1194" s="18"/>
      <c r="BJ1194" s="18"/>
      <c r="BK1194" s="18"/>
      <c r="BL1194" s="18"/>
      <c r="BM1194" s="18"/>
      <c r="BN1194" s="18"/>
      <c r="BO1194" s="18"/>
      <c r="BP1194" s="18"/>
      <c r="BQ1194" s="18"/>
      <c r="BR1194" s="18"/>
      <c r="BS1194" s="18"/>
      <c r="BT1194" s="18"/>
      <c r="BU1194" s="18"/>
      <c r="BV1194" s="18"/>
      <c r="BW1194" s="18"/>
      <c r="BX1194" s="18"/>
      <c r="BY1194" s="18"/>
      <c r="BZ1194" s="18"/>
      <c r="CA1194" s="18"/>
      <c r="CB1194" s="18"/>
      <c r="CC1194" s="18"/>
      <c r="CD1194" s="18"/>
      <c r="CE1194" s="18"/>
      <c r="CF1194" s="18"/>
      <c r="CG1194" s="18"/>
      <c r="CH1194" s="18"/>
      <c r="CI1194" s="18"/>
      <c r="CJ1194" s="18"/>
      <c r="CK1194" s="18"/>
      <c r="CL1194" s="18"/>
      <c r="CM1194" s="18"/>
      <c r="CN1194" s="18"/>
      <c r="CO1194" s="18"/>
      <c r="CP1194" s="18"/>
      <c r="CQ1194" s="18"/>
      <c r="CR1194" s="18"/>
      <c r="CS1194" s="18"/>
      <c r="CT1194" s="18"/>
      <c r="CU1194" s="18"/>
    </row>
    <row r="1195" spans="1:99">
      <c r="A1195" s="19"/>
      <c r="B1195" s="19"/>
      <c r="C1195" s="19"/>
      <c r="D1195" s="19"/>
      <c r="E1195" s="19"/>
      <c r="F1195" s="19"/>
      <c r="G1195" s="19"/>
      <c r="H1195" s="19"/>
      <c r="I1195" s="19"/>
      <c r="J1195" s="19"/>
      <c r="K1195" s="18"/>
      <c r="L1195" s="18"/>
      <c r="M1195" s="18"/>
      <c r="N1195" s="18"/>
      <c r="O1195" s="18"/>
      <c r="P1195" s="18"/>
      <c r="Q1195" s="18"/>
      <c r="R1195" s="18"/>
      <c r="S1195" s="18"/>
      <c r="T1195" s="18"/>
      <c r="U1195" s="18"/>
      <c r="V1195" s="18"/>
      <c r="W1195" s="18"/>
      <c r="X1195" s="18"/>
      <c r="Y1195" s="18"/>
      <c r="Z1195" s="18"/>
      <c r="AA1195" s="18"/>
      <c r="AB1195" s="18"/>
      <c r="AC1195" s="18"/>
      <c r="AD1195" s="18"/>
      <c r="AE1195" s="18"/>
      <c r="AF1195" s="18"/>
      <c r="AG1195" s="18"/>
      <c r="AH1195" s="18"/>
      <c r="AI1195" s="18"/>
      <c r="AJ1195" s="18"/>
      <c r="AK1195" s="18"/>
      <c r="AL1195" s="18"/>
      <c r="AM1195" s="18"/>
      <c r="AN1195" s="18"/>
      <c r="AO1195" s="18"/>
      <c r="AP1195" s="18"/>
      <c r="AQ1195" s="18"/>
      <c r="AR1195" s="18"/>
      <c r="AS1195" s="18"/>
      <c r="AT1195" s="18"/>
      <c r="AU1195" s="18"/>
      <c r="AV1195" s="18"/>
      <c r="AW1195" s="18"/>
      <c r="AX1195" s="18"/>
      <c r="AY1195" s="18"/>
      <c r="AZ1195" s="18"/>
      <c r="BA1195" s="18"/>
      <c r="BB1195" s="18"/>
      <c r="BC1195" s="18"/>
      <c r="BD1195" s="18"/>
      <c r="BE1195" s="18"/>
      <c r="BF1195" s="18"/>
      <c r="BG1195" s="18"/>
      <c r="BH1195" s="18"/>
      <c r="BI1195" s="18"/>
      <c r="BJ1195" s="18"/>
      <c r="BK1195" s="18"/>
      <c r="BL1195" s="18"/>
      <c r="BM1195" s="18"/>
      <c r="BN1195" s="18"/>
      <c r="BO1195" s="18"/>
      <c r="BP1195" s="18"/>
      <c r="BQ1195" s="18"/>
      <c r="BR1195" s="18"/>
      <c r="BS1195" s="18"/>
      <c r="BT1195" s="18"/>
      <c r="BU1195" s="18"/>
      <c r="BV1195" s="18"/>
      <c r="BW1195" s="18"/>
      <c r="BX1195" s="18"/>
      <c r="BY1195" s="18"/>
      <c r="BZ1195" s="18"/>
      <c r="CA1195" s="18"/>
      <c r="CB1195" s="18"/>
      <c r="CC1195" s="18"/>
      <c r="CD1195" s="18"/>
      <c r="CE1195" s="18"/>
      <c r="CF1195" s="18"/>
      <c r="CG1195" s="18"/>
      <c r="CH1195" s="18"/>
      <c r="CI1195" s="18"/>
      <c r="CJ1195" s="18"/>
      <c r="CK1195" s="18"/>
      <c r="CL1195" s="18"/>
      <c r="CM1195" s="18"/>
      <c r="CN1195" s="18"/>
      <c r="CO1195" s="18"/>
      <c r="CP1195" s="18"/>
      <c r="CQ1195" s="18"/>
      <c r="CR1195" s="18"/>
      <c r="CS1195" s="18"/>
      <c r="CT1195" s="18"/>
      <c r="CU1195" s="18"/>
    </row>
    <row r="1196" spans="1:99">
      <c r="A1196" s="19"/>
      <c r="B1196" s="19"/>
      <c r="C1196" s="19"/>
      <c r="D1196" s="19"/>
      <c r="E1196" s="19"/>
      <c r="F1196" s="19"/>
      <c r="G1196" s="19"/>
      <c r="H1196" s="19"/>
      <c r="I1196" s="19"/>
      <c r="J1196" s="19"/>
      <c r="K1196" s="18"/>
      <c r="L1196" s="18"/>
      <c r="M1196" s="18"/>
      <c r="N1196" s="18"/>
      <c r="O1196" s="18"/>
      <c r="P1196" s="18"/>
      <c r="Q1196" s="18"/>
      <c r="R1196" s="18"/>
      <c r="S1196" s="18"/>
      <c r="T1196" s="18"/>
      <c r="U1196" s="18"/>
      <c r="V1196" s="18"/>
      <c r="W1196" s="18"/>
      <c r="X1196" s="18"/>
      <c r="Y1196" s="18"/>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c r="BC1196" s="18"/>
      <c r="BD1196" s="18"/>
      <c r="BE1196" s="18"/>
      <c r="BF1196" s="18"/>
      <c r="BG1196" s="18"/>
      <c r="BH1196" s="18"/>
      <c r="BI1196" s="18"/>
      <c r="BJ1196" s="18"/>
      <c r="BK1196" s="18"/>
      <c r="BL1196" s="18"/>
      <c r="BM1196" s="18"/>
      <c r="BN1196" s="18"/>
      <c r="BO1196" s="18"/>
      <c r="BP1196" s="18"/>
      <c r="BQ1196" s="18"/>
      <c r="BR1196" s="18"/>
      <c r="BS1196" s="18"/>
      <c r="BT1196" s="18"/>
      <c r="BU1196" s="18"/>
      <c r="BV1196" s="18"/>
      <c r="BW1196" s="18"/>
      <c r="BX1196" s="18"/>
      <c r="BY1196" s="18"/>
      <c r="BZ1196" s="18"/>
      <c r="CA1196" s="18"/>
      <c r="CB1196" s="18"/>
      <c r="CC1196" s="18"/>
      <c r="CD1196" s="18"/>
      <c r="CE1196" s="18"/>
      <c r="CF1196" s="18"/>
      <c r="CG1196" s="18"/>
      <c r="CH1196" s="18"/>
      <c r="CI1196" s="18"/>
      <c r="CJ1196" s="18"/>
      <c r="CK1196" s="18"/>
      <c r="CL1196" s="18"/>
      <c r="CM1196" s="18"/>
      <c r="CN1196" s="18"/>
      <c r="CO1196" s="18"/>
      <c r="CP1196" s="18"/>
      <c r="CQ1196" s="18"/>
      <c r="CR1196" s="18"/>
      <c r="CS1196" s="18"/>
      <c r="CT1196" s="18"/>
      <c r="CU1196" s="18"/>
    </row>
    <row r="1197" spans="1:99">
      <c r="A1197" s="19"/>
      <c r="B1197" s="19"/>
      <c r="C1197" s="19"/>
      <c r="D1197" s="19"/>
      <c r="E1197" s="19"/>
      <c r="F1197" s="19"/>
      <c r="G1197" s="19"/>
      <c r="H1197" s="19"/>
      <c r="I1197" s="19"/>
      <c r="J1197" s="19"/>
      <c r="K1197" s="18"/>
      <c r="L1197" s="18"/>
      <c r="M1197" s="18"/>
      <c r="N1197" s="18"/>
      <c r="O1197" s="18"/>
      <c r="P1197" s="18"/>
      <c r="Q1197" s="18"/>
      <c r="R1197" s="18"/>
      <c r="S1197" s="18"/>
      <c r="T1197" s="18"/>
      <c r="U1197" s="18"/>
      <c r="V1197" s="18"/>
      <c r="W1197" s="18"/>
      <c r="X1197" s="18"/>
      <c r="Y1197" s="18"/>
      <c r="Z1197" s="18"/>
      <c r="AA1197" s="18"/>
      <c r="AB1197" s="18"/>
      <c r="AC1197" s="18"/>
      <c r="AD1197" s="18"/>
      <c r="AE1197" s="18"/>
      <c r="AF1197" s="18"/>
      <c r="AG1197" s="18"/>
      <c r="AH1197" s="18"/>
      <c r="AI1197" s="18"/>
      <c r="AJ1197" s="18"/>
      <c r="AK1197" s="18"/>
      <c r="AL1197" s="18"/>
      <c r="AM1197" s="18"/>
      <c r="AN1197" s="18"/>
      <c r="AO1197" s="18"/>
      <c r="AP1197" s="18"/>
      <c r="AQ1197" s="18"/>
      <c r="AR1197" s="18"/>
      <c r="AS1197" s="18"/>
      <c r="AT1197" s="18"/>
      <c r="AU1197" s="18"/>
      <c r="AV1197" s="18"/>
      <c r="AW1197" s="18"/>
      <c r="AX1197" s="18"/>
      <c r="AY1197" s="18"/>
      <c r="AZ1197" s="18"/>
      <c r="BA1197" s="18"/>
      <c r="BB1197" s="18"/>
      <c r="BC1197" s="18"/>
      <c r="BD1197" s="18"/>
      <c r="BE1197" s="18"/>
      <c r="BF1197" s="18"/>
      <c r="BG1197" s="18"/>
      <c r="BH1197" s="18"/>
      <c r="BI1197" s="18"/>
      <c r="BJ1197" s="18"/>
      <c r="BK1197" s="18"/>
      <c r="BL1197" s="18"/>
      <c r="BM1197" s="18"/>
      <c r="BN1197" s="18"/>
      <c r="BO1197" s="18"/>
      <c r="BP1197" s="18"/>
      <c r="BQ1197" s="18"/>
      <c r="BR1197" s="18"/>
      <c r="BS1197" s="18"/>
      <c r="BT1197" s="18"/>
      <c r="BU1197" s="18"/>
      <c r="BV1197" s="18"/>
      <c r="BW1197" s="18"/>
      <c r="BX1197" s="18"/>
      <c r="BY1197" s="18"/>
      <c r="BZ1197" s="18"/>
      <c r="CA1197" s="18"/>
      <c r="CB1197" s="18"/>
      <c r="CC1197" s="18"/>
      <c r="CD1197" s="18"/>
      <c r="CE1197" s="18"/>
      <c r="CF1197" s="18"/>
      <c r="CG1197" s="18"/>
      <c r="CH1197" s="18"/>
      <c r="CI1197" s="18"/>
      <c r="CJ1197" s="18"/>
      <c r="CK1197" s="18"/>
      <c r="CL1197" s="18"/>
      <c r="CM1197" s="18"/>
      <c r="CN1197" s="18"/>
      <c r="CO1197" s="18"/>
      <c r="CP1197" s="18"/>
      <c r="CQ1197" s="18"/>
      <c r="CR1197" s="18"/>
      <c r="CS1197" s="18"/>
      <c r="CT1197" s="18"/>
      <c r="CU1197" s="18"/>
    </row>
    <row r="1198" spans="1:99">
      <c r="A1198" s="19"/>
      <c r="B1198" s="19"/>
      <c r="C1198" s="19"/>
      <c r="D1198" s="19"/>
      <c r="E1198" s="19"/>
      <c r="F1198" s="19"/>
      <c r="G1198" s="19"/>
      <c r="H1198" s="19"/>
      <c r="I1198" s="19"/>
      <c r="J1198" s="19"/>
      <c r="K1198" s="18"/>
      <c r="L1198" s="18"/>
      <c r="M1198" s="18"/>
      <c r="N1198" s="18"/>
      <c r="O1198" s="18"/>
      <c r="P1198" s="18"/>
      <c r="Q1198" s="18"/>
      <c r="R1198" s="18"/>
      <c r="S1198" s="18"/>
      <c r="T1198" s="18"/>
      <c r="U1198" s="18"/>
      <c r="V1198" s="18"/>
      <c r="W1198" s="18"/>
      <c r="X1198" s="18"/>
      <c r="Y1198" s="18"/>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c r="BC1198" s="18"/>
      <c r="BD1198" s="18"/>
      <c r="BE1198" s="18"/>
      <c r="BF1198" s="18"/>
      <c r="BG1198" s="18"/>
      <c r="BH1198" s="18"/>
      <c r="BI1198" s="18"/>
      <c r="BJ1198" s="18"/>
      <c r="BK1198" s="18"/>
      <c r="BL1198" s="18"/>
      <c r="BM1198" s="18"/>
      <c r="BN1198" s="18"/>
      <c r="BO1198" s="18"/>
      <c r="BP1198" s="18"/>
      <c r="BQ1198" s="18"/>
      <c r="BR1198" s="18"/>
      <c r="BS1198" s="18"/>
      <c r="BT1198" s="18"/>
      <c r="BU1198" s="18"/>
      <c r="BV1198" s="18"/>
      <c r="BW1198" s="18"/>
      <c r="BX1198" s="18"/>
      <c r="BY1198" s="18"/>
      <c r="BZ1198" s="18"/>
      <c r="CA1198" s="18"/>
      <c r="CB1198" s="18"/>
      <c r="CC1198" s="18"/>
      <c r="CD1198" s="18"/>
      <c r="CE1198" s="18"/>
      <c r="CF1198" s="18"/>
      <c r="CG1198" s="18"/>
      <c r="CH1198" s="18"/>
      <c r="CI1198" s="18"/>
      <c r="CJ1198" s="18"/>
      <c r="CK1198" s="18"/>
      <c r="CL1198" s="18"/>
      <c r="CM1198" s="18"/>
      <c r="CN1198" s="18"/>
      <c r="CO1198" s="18"/>
      <c r="CP1198" s="18"/>
      <c r="CQ1198" s="18"/>
      <c r="CR1198" s="18"/>
      <c r="CS1198" s="18"/>
      <c r="CT1198" s="18"/>
      <c r="CU1198" s="18"/>
    </row>
    <row r="1199" spans="1:99">
      <c r="A1199" s="19"/>
      <c r="B1199" s="19"/>
      <c r="C1199" s="19"/>
      <c r="D1199" s="19"/>
      <c r="E1199" s="19"/>
      <c r="F1199" s="19"/>
      <c r="G1199" s="19"/>
      <c r="H1199" s="19"/>
      <c r="I1199" s="19"/>
      <c r="J1199" s="19"/>
      <c r="K1199" s="18"/>
      <c r="L1199" s="18"/>
      <c r="M1199" s="18"/>
      <c r="N1199" s="18"/>
      <c r="O1199" s="18"/>
      <c r="P1199" s="18"/>
      <c r="Q1199" s="18"/>
      <c r="R1199" s="18"/>
      <c r="S1199" s="18"/>
      <c r="T1199" s="18"/>
      <c r="U1199" s="18"/>
      <c r="V1199" s="18"/>
      <c r="W1199" s="18"/>
      <c r="X1199" s="18"/>
      <c r="Y1199" s="18"/>
      <c r="Z1199" s="18"/>
      <c r="AA1199" s="18"/>
      <c r="AB1199" s="18"/>
      <c r="AC1199" s="18"/>
      <c r="AD1199" s="18"/>
      <c r="AE1199" s="18"/>
      <c r="AF1199" s="18"/>
      <c r="AG1199" s="18"/>
      <c r="AH1199" s="18"/>
      <c r="AI1199" s="18"/>
      <c r="AJ1199" s="18"/>
      <c r="AK1199" s="18"/>
      <c r="AL1199" s="18"/>
      <c r="AM1199" s="18"/>
      <c r="AN1199" s="18"/>
      <c r="AO1199" s="18"/>
      <c r="AP1199" s="18"/>
      <c r="AQ1199" s="18"/>
      <c r="AR1199" s="18"/>
      <c r="AS1199" s="18"/>
      <c r="AT1199" s="18"/>
      <c r="AU1199" s="18"/>
      <c r="AV1199" s="18"/>
      <c r="AW1199" s="18"/>
      <c r="AX1199" s="18"/>
      <c r="AY1199" s="18"/>
      <c r="AZ1199" s="18"/>
      <c r="BA1199" s="18"/>
      <c r="BB1199" s="18"/>
      <c r="BC1199" s="18"/>
      <c r="BD1199" s="18"/>
      <c r="BE1199" s="18"/>
      <c r="BF1199" s="18"/>
      <c r="BG1199" s="18"/>
      <c r="BH1199" s="18"/>
      <c r="BI1199" s="18"/>
      <c r="BJ1199" s="18"/>
      <c r="BK1199" s="18"/>
      <c r="BL1199" s="18"/>
      <c r="BM1199" s="18"/>
      <c r="BN1199" s="18"/>
      <c r="BO1199" s="18"/>
      <c r="BP1199" s="18"/>
      <c r="BQ1199" s="18"/>
      <c r="BR1199" s="18"/>
      <c r="BS1199" s="18"/>
      <c r="BT1199" s="18"/>
      <c r="BU1199" s="18"/>
      <c r="BV1199" s="18"/>
      <c r="BW1199" s="18"/>
      <c r="BX1199" s="18"/>
      <c r="BY1199" s="18"/>
      <c r="BZ1199" s="18"/>
      <c r="CA1199" s="18"/>
      <c r="CB1199" s="18"/>
      <c r="CC1199" s="18"/>
      <c r="CD1199" s="18"/>
      <c r="CE1199" s="18"/>
      <c r="CF1199" s="18"/>
      <c r="CG1199" s="18"/>
      <c r="CH1199" s="18"/>
      <c r="CI1199" s="18"/>
      <c r="CJ1199" s="18"/>
      <c r="CK1199" s="18"/>
      <c r="CL1199" s="18"/>
      <c r="CM1199" s="18"/>
      <c r="CN1199" s="18"/>
      <c r="CO1199" s="18"/>
      <c r="CP1199" s="18"/>
      <c r="CQ1199" s="18"/>
      <c r="CR1199" s="18"/>
      <c r="CS1199" s="18"/>
      <c r="CT1199" s="18"/>
      <c r="CU1199" s="18"/>
    </row>
    <row r="1200" spans="1:99">
      <c r="A1200" s="19"/>
      <c r="B1200" s="19"/>
      <c r="C1200" s="19"/>
      <c r="D1200" s="19"/>
      <c r="E1200" s="19"/>
      <c r="F1200" s="19"/>
      <c r="G1200" s="19"/>
      <c r="H1200" s="19"/>
      <c r="I1200" s="19"/>
      <c r="J1200" s="19"/>
      <c r="K1200" s="18"/>
      <c r="L1200" s="18"/>
      <c r="M1200" s="18"/>
      <c r="N1200" s="18"/>
      <c r="O1200" s="18"/>
      <c r="P1200" s="18"/>
      <c r="Q1200" s="18"/>
      <c r="R1200" s="18"/>
      <c r="S1200" s="18"/>
      <c r="T1200" s="18"/>
      <c r="U1200" s="18"/>
      <c r="V1200" s="18"/>
      <c r="W1200" s="18"/>
      <c r="X1200" s="18"/>
      <c r="Y1200" s="18"/>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c r="BC1200" s="18"/>
      <c r="BD1200" s="18"/>
      <c r="BE1200" s="18"/>
      <c r="BF1200" s="18"/>
      <c r="BG1200" s="18"/>
      <c r="BH1200" s="18"/>
      <c r="BI1200" s="18"/>
      <c r="BJ1200" s="18"/>
      <c r="BK1200" s="18"/>
      <c r="BL1200" s="18"/>
      <c r="BM1200" s="18"/>
      <c r="BN1200" s="18"/>
      <c r="BO1200" s="18"/>
      <c r="BP1200" s="18"/>
      <c r="BQ1200" s="18"/>
      <c r="BR1200" s="18"/>
      <c r="BS1200" s="18"/>
      <c r="BT1200" s="18"/>
      <c r="BU1200" s="18"/>
      <c r="BV1200" s="18"/>
      <c r="BW1200" s="18"/>
      <c r="BX1200" s="18"/>
      <c r="BY1200" s="18"/>
      <c r="BZ1200" s="18"/>
      <c r="CA1200" s="18"/>
      <c r="CB1200" s="18"/>
      <c r="CC1200" s="18"/>
      <c r="CD1200" s="18"/>
      <c r="CE1200" s="18"/>
      <c r="CF1200" s="18"/>
      <c r="CG1200" s="18"/>
      <c r="CH1200" s="18"/>
      <c r="CI1200" s="18"/>
      <c r="CJ1200" s="18"/>
      <c r="CK1200" s="18"/>
      <c r="CL1200" s="18"/>
      <c r="CM1200" s="18"/>
      <c r="CN1200" s="18"/>
      <c r="CO1200" s="18"/>
      <c r="CP1200" s="18"/>
      <c r="CQ1200" s="18"/>
      <c r="CR1200" s="18"/>
      <c r="CS1200" s="18"/>
      <c r="CT1200" s="18"/>
      <c r="CU1200" s="18"/>
    </row>
    <row r="1201" spans="1:99">
      <c r="A1201" s="19"/>
      <c r="B1201" s="19"/>
      <c r="C1201" s="19"/>
      <c r="D1201" s="19"/>
      <c r="E1201" s="19"/>
      <c r="F1201" s="19"/>
      <c r="G1201" s="19"/>
      <c r="H1201" s="19"/>
      <c r="I1201" s="19"/>
      <c r="J1201" s="19"/>
      <c r="K1201" s="18"/>
      <c r="L1201" s="18"/>
      <c r="M1201" s="18"/>
      <c r="N1201" s="18"/>
      <c r="O1201" s="18"/>
      <c r="P1201" s="18"/>
      <c r="Q1201" s="18"/>
      <c r="R1201" s="18"/>
      <c r="S1201" s="18"/>
      <c r="T1201" s="18"/>
      <c r="U1201" s="18"/>
      <c r="V1201" s="18"/>
      <c r="W1201" s="18"/>
      <c r="X1201" s="18"/>
      <c r="Y1201" s="18"/>
      <c r="Z1201" s="18"/>
      <c r="AA1201" s="18"/>
      <c r="AB1201" s="18"/>
      <c r="AC1201" s="18"/>
      <c r="AD1201" s="18"/>
      <c r="AE1201" s="18"/>
      <c r="AF1201" s="18"/>
      <c r="AG1201" s="18"/>
      <c r="AH1201" s="18"/>
      <c r="AI1201" s="18"/>
      <c r="AJ1201" s="18"/>
      <c r="AK1201" s="18"/>
      <c r="AL1201" s="18"/>
      <c r="AM1201" s="18"/>
      <c r="AN1201" s="18"/>
      <c r="AO1201" s="18"/>
      <c r="AP1201" s="18"/>
      <c r="AQ1201" s="18"/>
      <c r="AR1201" s="18"/>
      <c r="AS1201" s="18"/>
      <c r="AT1201" s="18"/>
      <c r="AU1201" s="18"/>
      <c r="AV1201" s="18"/>
      <c r="AW1201" s="18"/>
      <c r="AX1201" s="18"/>
      <c r="AY1201" s="18"/>
      <c r="AZ1201" s="18"/>
      <c r="BA1201" s="18"/>
      <c r="BB1201" s="18"/>
      <c r="BC1201" s="18"/>
      <c r="BD1201" s="18"/>
      <c r="BE1201" s="18"/>
      <c r="BF1201" s="18"/>
      <c r="BG1201" s="18"/>
      <c r="BH1201" s="18"/>
      <c r="BI1201" s="18"/>
      <c r="BJ1201" s="18"/>
      <c r="BK1201" s="18"/>
      <c r="BL1201" s="18"/>
      <c r="BM1201" s="18"/>
      <c r="BN1201" s="18"/>
      <c r="BO1201" s="18"/>
      <c r="BP1201" s="18"/>
      <c r="BQ1201" s="18"/>
      <c r="BR1201" s="18"/>
      <c r="BS1201" s="18"/>
      <c r="BT1201" s="18"/>
      <c r="BU1201" s="18"/>
      <c r="BV1201" s="18"/>
      <c r="BW1201" s="18"/>
      <c r="BX1201" s="18"/>
      <c r="BY1201" s="18"/>
      <c r="BZ1201" s="18"/>
      <c r="CA1201" s="18"/>
      <c r="CB1201" s="18"/>
      <c r="CC1201" s="18"/>
      <c r="CD1201" s="18"/>
      <c r="CE1201" s="18"/>
      <c r="CF1201" s="18"/>
      <c r="CG1201" s="18"/>
      <c r="CH1201" s="18"/>
      <c r="CI1201" s="18"/>
      <c r="CJ1201" s="18"/>
      <c r="CK1201" s="18"/>
      <c r="CL1201" s="18"/>
      <c r="CM1201" s="18"/>
      <c r="CN1201" s="18"/>
      <c r="CO1201" s="18"/>
      <c r="CP1201" s="18"/>
      <c r="CQ1201" s="18"/>
      <c r="CR1201" s="18"/>
      <c r="CS1201" s="18"/>
      <c r="CT1201" s="18"/>
      <c r="CU1201" s="18"/>
    </row>
    <row r="1202" spans="1:99">
      <c r="A1202" s="19"/>
      <c r="B1202" s="19"/>
      <c r="C1202" s="19"/>
      <c r="D1202" s="19"/>
      <c r="E1202" s="19"/>
      <c r="F1202" s="19"/>
      <c r="G1202" s="19"/>
      <c r="H1202" s="19"/>
      <c r="I1202" s="19"/>
      <c r="J1202" s="19"/>
      <c r="K1202" s="18"/>
      <c r="L1202" s="18"/>
      <c r="M1202" s="18"/>
      <c r="N1202" s="18"/>
      <c r="O1202" s="18"/>
      <c r="P1202" s="18"/>
      <c r="Q1202" s="18"/>
      <c r="R1202" s="18"/>
      <c r="S1202" s="18"/>
      <c r="T1202" s="18"/>
      <c r="U1202" s="18"/>
      <c r="V1202" s="18"/>
      <c r="W1202" s="18"/>
      <c r="X1202" s="18"/>
      <c r="Y1202" s="18"/>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c r="BC1202" s="18"/>
      <c r="BD1202" s="18"/>
      <c r="BE1202" s="18"/>
      <c r="BF1202" s="18"/>
      <c r="BG1202" s="18"/>
      <c r="BH1202" s="18"/>
      <c r="BI1202" s="18"/>
      <c r="BJ1202" s="18"/>
      <c r="BK1202" s="18"/>
      <c r="BL1202" s="18"/>
      <c r="BM1202" s="18"/>
      <c r="BN1202" s="18"/>
      <c r="BO1202" s="18"/>
      <c r="BP1202" s="18"/>
      <c r="BQ1202" s="18"/>
      <c r="BR1202" s="18"/>
      <c r="BS1202" s="18"/>
      <c r="BT1202" s="18"/>
      <c r="BU1202" s="18"/>
      <c r="BV1202" s="18"/>
      <c r="BW1202" s="18"/>
      <c r="BX1202" s="18"/>
      <c r="BY1202" s="18"/>
      <c r="BZ1202" s="18"/>
      <c r="CA1202" s="18"/>
      <c r="CB1202" s="18"/>
      <c r="CC1202" s="18"/>
      <c r="CD1202" s="18"/>
      <c r="CE1202" s="18"/>
      <c r="CF1202" s="18"/>
      <c r="CG1202" s="18"/>
      <c r="CH1202" s="18"/>
      <c r="CI1202" s="18"/>
      <c r="CJ1202" s="18"/>
      <c r="CK1202" s="18"/>
      <c r="CL1202" s="18"/>
      <c r="CM1202" s="18"/>
      <c r="CN1202" s="18"/>
      <c r="CO1202" s="18"/>
      <c r="CP1202" s="18"/>
      <c r="CQ1202" s="18"/>
      <c r="CR1202" s="18"/>
      <c r="CS1202" s="18"/>
      <c r="CT1202" s="18"/>
      <c r="CU1202" s="18"/>
    </row>
    <row r="1203" spans="1:99">
      <c r="A1203" s="19"/>
      <c r="B1203" s="19"/>
      <c r="C1203" s="19"/>
      <c r="D1203" s="19"/>
      <c r="E1203" s="19"/>
      <c r="F1203" s="19"/>
      <c r="G1203" s="19"/>
      <c r="H1203" s="19"/>
      <c r="I1203" s="19"/>
      <c r="J1203" s="19"/>
      <c r="K1203" s="18"/>
      <c r="L1203" s="18"/>
      <c r="M1203" s="18"/>
      <c r="N1203" s="18"/>
      <c r="O1203" s="18"/>
      <c r="P1203" s="18"/>
      <c r="Q1203" s="18"/>
      <c r="R1203" s="18"/>
      <c r="S1203" s="18"/>
      <c r="T1203" s="18"/>
      <c r="U1203" s="18"/>
      <c r="V1203" s="18"/>
      <c r="W1203" s="18"/>
      <c r="X1203" s="18"/>
      <c r="Y1203" s="18"/>
      <c r="Z1203" s="18"/>
      <c r="AA1203" s="18"/>
      <c r="AB1203" s="18"/>
      <c r="AC1203" s="18"/>
      <c r="AD1203" s="18"/>
      <c r="AE1203" s="18"/>
      <c r="AF1203" s="18"/>
      <c r="AG1203" s="18"/>
      <c r="AH1203" s="18"/>
      <c r="AI1203" s="18"/>
      <c r="AJ1203" s="18"/>
      <c r="AK1203" s="18"/>
      <c r="AL1203" s="18"/>
      <c r="AM1203" s="18"/>
      <c r="AN1203" s="18"/>
      <c r="AO1203" s="18"/>
      <c r="AP1203" s="18"/>
      <c r="AQ1203" s="18"/>
      <c r="AR1203" s="18"/>
      <c r="AS1203" s="18"/>
      <c r="AT1203" s="18"/>
      <c r="AU1203" s="18"/>
      <c r="AV1203" s="18"/>
      <c r="AW1203" s="18"/>
      <c r="AX1203" s="18"/>
      <c r="AY1203" s="18"/>
      <c r="AZ1203" s="18"/>
      <c r="BA1203" s="18"/>
      <c r="BB1203" s="18"/>
      <c r="BC1203" s="18"/>
      <c r="BD1203" s="18"/>
      <c r="BE1203" s="18"/>
      <c r="BF1203" s="18"/>
      <c r="BG1203" s="18"/>
      <c r="BH1203" s="18"/>
      <c r="BI1203" s="18"/>
      <c r="BJ1203" s="18"/>
      <c r="BK1203" s="18"/>
      <c r="BL1203" s="18"/>
      <c r="BM1203" s="18"/>
      <c r="BN1203" s="18"/>
      <c r="BO1203" s="18"/>
      <c r="BP1203" s="18"/>
      <c r="BQ1203" s="18"/>
      <c r="BR1203" s="18"/>
      <c r="BS1203" s="18"/>
      <c r="BT1203" s="18"/>
      <c r="BU1203" s="18"/>
      <c r="BV1203" s="18"/>
      <c r="BW1203" s="18"/>
      <c r="BX1203" s="18"/>
      <c r="BY1203" s="18"/>
      <c r="BZ1203" s="18"/>
      <c r="CA1203" s="18"/>
      <c r="CB1203" s="18"/>
      <c r="CC1203" s="18"/>
      <c r="CD1203" s="18"/>
      <c r="CE1203" s="18"/>
      <c r="CF1203" s="18"/>
      <c r="CG1203" s="18"/>
      <c r="CH1203" s="18"/>
      <c r="CI1203" s="18"/>
      <c r="CJ1203" s="18"/>
      <c r="CK1203" s="18"/>
      <c r="CL1203" s="18"/>
      <c r="CM1203" s="18"/>
      <c r="CN1203" s="18"/>
      <c r="CO1203" s="18"/>
      <c r="CP1203" s="18"/>
      <c r="CQ1203" s="18"/>
      <c r="CR1203" s="18"/>
      <c r="CS1203" s="18"/>
      <c r="CT1203" s="18"/>
      <c r="CU1203" s="18"/>
    </row>
    <row r="1204" spans="1:99">
      <c r="A1204" s="19"/>
      <c r="B1204" s="19"/>
      <c r="C1204" s="19"/>
      <c r="D1204" s="19"/>
      <c r="E1204" s="19"/>
      <c r="F1204" s="19"/>
      <c r="G1204" s="19"/>
      <c r="H1204" s="19"/>
      <c r="I1204" s="19"/>
      <c r="J1204" s="19"/>
      <c r="K1204" s="18"/>
      <c r="L1204" s="18"/>
      <c r="M1204" s="18"/>
      <c r="N1204" s="18"/>
      <c r="O1204" s="18"/>
      <c r="P1204" s="18"/>
      <c r="Q1204" s="18"/>
      <c r="R1204" s="18"/>
      <c r="S1204" s="18"/>
      <c r="T1204" s="18"/>
      <c r="U1204" s="18"/>
      <c r="V1204" s="18"/>
      <c r="W1204" s="18"/>
      <c r="X1204" s="18"/>
      <c r="Y1204" s="18"/>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c r="BC1204" s="18"/>
      <c r="BD1204" s="18"/>
      <c r="BE1204" s="18"/>
      <c r="BF1204" s="18"/>
      <c r="BG1204" s="18"/>
      <c r="BH1204" s="18"/>
      <c r="BI1204" s="18"/>
      <c r="BJ1204" s="18"/>
      <c r="BK1204" s="18"/>
      <c r="BL1204" s="18"/>
      <c r="BM1204" s="18"/>
      <c r="BN1204" s="18"/>
      <c r="BO1204" s="18"/>
      <c r="BP1204" s="18"/>
      <c r="BQ1204" s="18"/>
      <c r="BR1204" s="18"/>
      <c r="BS1204" s="18"/>
      <c r="BT1204" s="18"/>
      <c r="BU1204" s="18"/>
      <c r="BV1204" s="18"/>
      <c r="BW1204" s="18"/>
      <c r="BX1204" s="18"/>
      <c r="BY1204" s="18"/>
      <c r="BZ1204" s="18"/>
      <c r="CA1204" s="18"/>
      <c r="CB1204" s="18"/>
      <c r="CC1204" s="18"/>
      <c r="CD1204" s="18"/>
      <c r="CE1204" s="18"/>
      <c r="CF1204" s="18"/>
      <c r="CG1204" s="18"/>
      <c r="CH1204" s="18"/>
      <c r="CI1204" s="18"/>
      <c r="CJ1204" s="18"/>
      <c r="CK1204" s="18"/>
      <c r="CL1204" s="18"/>
      <c r="CM1204" s="18"/>
      <c r="CN1204" s="18"/>
      <c r="CO1204" s="18"/>
      <c r="CP1204" s="18"/>
      <c r="CQ1204" s="18"/>
      <c r="CR1204" s="18"/>
      <c r="CS1204" s="18"/>
      <c r="CT1204" s="18"/>
      <c r="CU1204" s="18"/>
    </row>
    <row r="1205" spans="1:99">
      <c r="A1205" s="19"/>
      <c r="B1205" s="19"/>
      <c r="C1205" s="19"/>
      <c r="D1205" s="19"/>
      <c r="E1205" s="19"/>
      <c r="F1205" s="19"/>
      <c r="G1205" s="19"/>
      <c r="H1205" s="19"/>
      <c r="I1205" s="19"/>
      <c r="J1205" s="19"/>
      <c r="K1205" s="18"/>
      <c r="L1205" s="18"/>
      <c r="M1205" s="18"/>
      <c r="N1205" s="18"/>
      <c r="O1205" s="18"/>
      <c r="P1205" s="18"/>
      <c r="Q1205" s="18"/>
      <c r="R1205" s="18"/>
      <c r="S1205" s="18"/>
      <c r="T1205" s="18"/>
      <c r="U1205" s="18"/>
      <c r="V1205" s="18"/>
      <c r="W1205" s="18"/>
      <c r="X1205" s="18"/>
      <c r="Y1205" s="18"/>
      <c r="Z1205" s="18"/>
      <c r="AA1205" s="18"/>
      <c r="AB1205" s="18"/>
      <c r="AC1205" s="18"/>
      <c r="AD1205" s="18"/>
      <c r="AE1205" s="18"/>
      <c r="AF1205" s="18"/>
      <c r="AG1205" s="18"/>
      <c r="AH1205" s="18"/>
      <c r="AI1205" s="18"/>
      <c r="AJ1205" s="18"/>
      <c r="AK1205" s="18"/>
      <c r="AL1205" s="18"/>
      <c r="AM1205" s="18"/>
      <c r="AN1205" s="18"/>
      <c r="AO1205" s="18"/>
      <c r="AP1205" s="18"/>
      <c r="AQ1205" s="18"/>
      <c r="AR1205" s="18"/>
      <c r="AS1205" s="18"/>
      <c r="AT1205" s="18"/>
      <c r="AU1205" s="18"/>
      <c r="AV1205" s="18"/>
      <c r="AW1205" s="18"/>
      <c r="AX1205" s="18"/>
      <c r="AY1205" s="18"/>
      <c r="AZ1205" s="18"/>
      <c r="BA1205" s="18"/>
      <c r="BB1205" s="18"/>
      <c r="BC1205" s="18"/>
      <c r="BD1205" s="18"/>
      <c r="BE1205" s="18"/>
      <c r="BF1205" s="18"/>
      <c r="BG1205" s="18"/>
      <c r="BH1205" s="18"/>
      <c r="BI1205" s="18"/>
      <c r="BJ1205" s="18"/>
      <c r="BK1205" s="18"/>
      <c r="BL1205" s="18"/>
      <c r="BM1205" s="18"/>
      <c r="BN1205" s="18"/>
      <c r="BO1205" s="18"/>
      <c r="BP1205" s="18"/>
      <c r="BQ1205" s="18"/>
      <c r="BR1205" s="18"/>
      <c r="BS1205" s="18"/>
      <c r="BT1205" s="18"/>
      <c r="BU1205" s="18"/>
      <c r="BV1205" s="18"/>
      <c r="BW1205" s="18"/>
      <c r="BX1205" s="18"/>
      <c r="BY1205" s="18"/>
      <c r="BZ1205" s="18"/>
      <c r="CA1205" s="18"/>
      <c r="CB1205" s="18"/>
      <c r="CC1205" s="18"/>
      <c r="CD1205" s="18"/>
      <c r="CE1205" s="18"/>
      <c r="CF1205" s="18"/>
      <c r="CG1205" s="18"/>
      <c r="CH1205" s="18"/>
      <c r="CI1205" s="18"/>
      <c r="CJ1205" s="18"/>
      <c r="CK1205" s="18"/>
      <c r="CL1205" s="18"/>
      <c r="CM1205" s="18"/>
      <c r="CN1205" s="18"/>
      <c r="CO1205" s="18"/>
      <c r="CP1205" s="18"/>
      <c r="CQ1205" s="18"/>
      <c r="CR1205" s="18"/>
      <c r="CS1205" s="18"/>
      <c r="CT1205" s="18"/>
      <c r="CU1205" s="18"/>
    </row>
    <row r="1206" spans="1:99">
      <c r="A1206" s="19"/>
      <c r="B1206" s="19"/>
      <c r="C1206" s="19"/>
      <c r="D1206" s="19"/>
      <c r="E1206" s="19"/>
      <c r="F1206" s="19"/>
      <c r="G1206" s="19"/>
      <c r="H1206" s="19"/>
      <c r="I1206" s="19"/>
      <c r="J1206" s="19"/>
      <c r="K1206" s="18"/>
      <c r="L1206" s="18"/>
      <c r="M1206" s="18"/>
      <c r="N1206" s="18"/>
      <c r="O1206" s="18"/>
      <c r="P1206" s="18"/>
      <c r="Q1206" s="18"/>
      <c r="R1206" s="18"/>
      <c r="S1206" s="18"/>
      <c r="T1206" s="18"/>
      <c r="U1206" s="18"/>
      <c r="V1206" s="18"/>
      <c r="W1206" s="18"/>
      <c r="X1206" s="18"/>
      <c r="Y1206" s="18"/>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c r="BC1206" s="18"/>
      <c r="BD1206" s="18"/>
      <c r="BE1206" s="18"/>
      <c r="BF1206" s="18"/>
      <c r="BG1206" s="18"/>
      <c r="BH1206" s="18"/>
      <c r="BI1206" s="18"/>
      <c r="BJ1206" s="18"/>
      <c r="BK1206" s="18"/>
      <c r="BL1206" s="18"/>
      <c r="BM1206" s="18"/>
      <c r="BN1206" s="18"/>
      <c r="BO1206" s="18"/>
      <c r="BP1206" s="18"/>
      <c r="BQ1206" s="18"/>
      <c r="BR1206" s="18"/>
      <c r="BS1206" s="18"/>
      <c r="BT1206" s="18"/>
      <c r="BU1206" s="18"/>
      <c r="BV1206" s="18"/>
      <c r="BW1206" s="18"/>
      <c r="BX1206" s="18"/>
      <c r="BY1206" s="18"/>
      <c r="BZ1206" s="18"/>
      <c r="CA1206" s="18"/>
      <c r="CB1206" s="18"/>
      <c r="CC1206" s="18"/>
      <c r="CD1206" s="18"/>
      <c r="CE1206" s="18"/>
      <c r="CF1206" s="18"/>
      <c r="CG1206" s="18"/>
      <c r="CH1206" s="18"/>
      <c r="CI1206" s="18"/>
      <c r="CJ1206" s="18"/>
      <c r="CK1206" s="18"/>
      <c r="CL1206" s="18"/>
      <c r="CM1206" s="18"/>
      <c r="CN1206" s="18"/>
      <c r="CO1206" s="18"/>
      <c r="CP1206" s="18"/>
      <c r="CQ1206" s="18"/>
      <c r="CR1206" s="18"/>
      <c r="CS1206" s="18"/>
      <c r="CT1206" s="18"/>
      <c r="CU1206" s="18"/>
    </row>
    <row r="1207" spans="1:99">
      <c r="A1207" s="19"/>
      <c r="B1207" s="19"/>
      <c r="C1207" s="19"/>
      <c r="D1207" s="19"/>
      <c r="E1207" s="19"/>
      <c r="F1207" s="19"/>
      <c r="G1207" s="19"/>
      <c r="H1207" s="19"/>
      <c r="I1207" s="19"/>
      <c r="J1207" s="19"/>
      <c r="K1207" s="18"/>
      <c r="L1207" s="18"/>
      <c r="M1207" s="18"/>
      <c r="N1207" s="18"/>
      <c r="O1207" s="18"/>
      <c r="P1207" s="18"/>
      <c r="Q1207" s="18"/>
      <c r="R1207" s="18"/>
      <c r="S1207" s="18"/>
      <c r="T1207" s="18"/>
      <c r="U1207" s="18"/>
      <c r="V1207" s="18"/>
      <c r="W1207" s="18"/>
      <c r="X1207" s="18"/>
      <c r="Y1207" s="18"/>
      <c r="Z1207" s="18"/>
      <c r="AA1207" s="18"/>
      <c r="AB1207" s="18"/>
      <c r="AC1207" s="18"/>
      <c r="AD1207" s="18"/>
      <c r="AE1207" s="18"/>
      <c r="AF1207" s="18"/>
      <c r="AG1207" s="18"/>
      <c r="AH1207" s="18"/>
      <c r="AI1207" s="18"/>
      <c r="AJ1207" s="18"/>
      <c r="AK1207" s="18"/>
      <c r="AL1207" s="18"/>
      <c r="AM1207" s="18"/>
      <c r="AN1207" s="18"/>
      <c r="AO1207" s="18"/>
      <c r="AP1207" s="18"/>
      <c r="AQ1207" s="18"/>
      <c r="AR1207" s="18"/>
      <c r="AS1207" s="18"/>
      <c r="AT1207" s="18"/>
      <c r="AU1207" s="18"/>
      <c r="AV1207" s="18"/>
      <c r="AW1207" s="18"/>
      <c r="AX1207" s="18"/>
      <c r="AY1207" s="18"/>
      <c r="AZ1207" s="18"/>
      <c r="BA1207" s="18"/>
      <c r="BB1207" s="18"/>
      <c r="BC1207" s="18"/>
      <c r="BD1207" s="18"/>
      <c r="BE1207" s="18"/>
      <c r="BF1207" s="18"/>
      <c r="BG1207" s="18"/>
      <c r="BH1207" s="18"/>
      <c r="BI1207" s="18"/>
      <c r="BJ1207" s="18"/>
      <c r="BK1207" s="18"/>
      <c r="BL1207" s="18"/>
      <c r="BM1207" s="18"/>
      <c r="BN1207" s="18"/>
      <c r="BO1207" s="18"/>
      <c r="BP1207" s="18"/>
      <c r="BQ1207" s="18"/>
      <c r="BR1207" s="18"/>
      <c r="BS1207" s="18"/>
      <c r="BT1207" s="18"/>
      <c r="BU1207" s="18"/>
      <c r="BV1207" s="18"/>
      <c r="BW1207" s="18"/>
      <c r="BX1207" s="18"/>
      <c r="BY1207" s="18"/>
      <c r="BZ1207" s="18"/>
      <c r="CA1207" s="18"/>
      <c r="CB1207" s="18"/>
      <c r="CC1207" s="18"/>
      <c r="CD1207" s="18"/>
      <c r="CE1207" s="18"/>
      <c r="CF1207" s="18"/>
      <c r="CG1207" s="18"/>
      <c r="CH1207" s="18"/>
      <c r="CI1207" s="18"/>
      <c r="CJ1207" s="18"/>
      <c r="CK1207" s="18"/>
      <c r="CL1207" s="18"/>
      <c r="CM1207" s="18"/>
      <c r="CN1207" s="18"/>
      <c r="CO1207" s="18"/>
      <c r="CP1207" s="18"/>
      <c r="CQ1207" s="18"/>
      <c r="CR1207" s="18"/>
      <c r="CS1207" s="18"/>
      <c r="CT1207" s="18"/>
      <c r="CU1207" s="18"/>
    </row>
    <row r="1208" spans="1:99">
      <c r="A1208" s="19"/>
      <c r="B1208" s="19"/>
      <c r="C1208" s="19"/>
      <c r="D1208" s="19"/>
      <c r="E1208" s="19"/>
      <c r="F1208" s="19"/>
      <c r="G1208" s="19"/>
      <c r="H1208" s="19"/>
      <c r="I1208" s="19"/>
      <c r="J1208" s="19"/>
      <c r="K1208" s="18"/>
      <c r="L1208" s="18"/>
      <c r="M1208" s="18"/>
      <c r="N1208" s="18"/>
      <c r="O1208" s="18"/>
      <c r="P1208" s="18"/>
      <c r="Q1208" s="18"/>
      <c r="R1208" s="18"/>
      <c r="S1208" s="18"/>
      <c r="T1208" s="18"/>
      <c r="U1208" s="18"/>
      <c r="V1208" s="18"/>
      <c r="W1208" s="18"/>
      <c r="X1208" s="18"/>
      <c r="Y1208" s="18"/>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c r="BC1208" s="18"/>
      <c r="BD1208" s="18"/>
      <c r="BE1208" s="18"/>
      <c r="BF1208" s="18"/>
      <c r="BG1208" s="18"/>
      <c r="BH1208" s="18"/>
      <c r="BI1208" s="18"/>
      <c r="BJ1208" s="18"/>
      <c r="BK1208" s="18"/>
      <c r="BL1208" s="18"/>
      <c r="BM1208" s="18"/>
      <c r="BN1208" s="18"/>
      <c r="BO1208" s="18"/>
      <c r="BP1208" s="18"/>
      <c r="BQ1208" s="18"/>
      <c r="BR1208" s="18"/>
      <c r="BS1208" s="18"/>
      <c r="BT1208" s="18"/>
      <c r="BU1208" s="18"/>
      <c r="BV1208" s="18"/>
      <c r="BW1208" s="18"/>
      <c r="BX1208" s="18"/>
      <c r="BY1208" s="18"/>
      <c r="BZ1208" s="18"/>
      <c r="CA1208" s="18"/>
      <c r="CB1208" s="18"/>
      <c r="CC1208" s="18"/>
      <c r="CD1208" s="18"/>
      <c r="CE1208" s="18"/>
      <c r="CF1208" s="18"/>
      <c r="CG1208" s="18"/>
      <c r="CH1208" s="18"/>
      <c r="CI1208" s="18"/>
      <c r="CJ1208" s="18"/>
      <c r="CK1208" s="18"/>
      <c r="CL1208" s="18"/>
      <c r="CM1208" s="18"/>
      <c r="CN1208" s="18"/>
      <c r="CO1208" s="18"/>
      <c r="CP1208" s="18"/>
      <c r="CQ1208" s="18"/>
      <c r="CR1208" s="18"/>
      <c r="CS1208" s="18"/>
      <c r="CT1208" s="18"/>
      <c r="CU1208" s="18"/>
    </row>
    <row r="1209" spans="1:99">
      <c r="A1209" s="19"/>
      <c r="B1209" s="19"/>
      <c r="C1209" s="19"/>
      <c r="D1209" s="19"/>
      <c r="E1209" s="19"/>
      <c r="F1209" s="19"/>
      <c r="G1209" s="19"/>
      <c r="H1209" s="19"/>
      <c r="I1209" s="19"/>
      <c r="J1209" s="19"/>
      <c r="K1209" s="18"/>
      <c r="L1209" s="18"/>
      <c r="M1209" s="18"/>
      <c r="N1209" s="18"/>
      <c r="O1209" s="18"/>
      <c r="P1209" s="18"/>
      <c r="Q1209" s="18"/>
      <c r="R1209" s="18"/>
      <c r="S1209" s="18"/>
      <c r="T1209" s="18"/>
      <c r="U1209" s="18"/>
      <c r="V1209" s="18"/>
      <c r="W1209" s="18"/>
      <c r="X1209" s="18"/>
      <c r="Y1209" s="18"/>
      <c r="Z1209" s="18"/>
      <c r="AA1209" s="18"/>
      <c r="AB1209" s="18"/>
      <c r="AC1209" s="18"/>
      <c r="AD1209" s="18"/>
      <c r="AE1209" s="18"/>
      <c r="AF1209" s="18"/>
      <c r="AG1209" s="18"/>
      <c r="AH1209" s="18"/>
      <c r="AI1209" s="18"/>
      <c r="AJ1209" s="18"/>
      <c r="AK1209" s="18"/>
      <c r="AL1209" s="18"/>
      <c r="AM1209" s="18"/>
      <c r="AN1209" s="18"/>
      <c r="AO1209" s="18"/>
      <c r="AP1209" s="18"/>
      <c r="AQ1209" s="18"/>
      <c r="AR1209" s="18"/>
      <c r="AS1209" s="18"/>
      <c r="AT1209" s="18"/>
      <c r="AU1209" s="18"/>
      <c r="AV1209" s="18"/>
      <c r="AW1209" s="18"/>
      <c r="AX1209" s="18"/>
      <c r="AY1209" s="18"/>
      <c r="AZ1209" s="18"/>
      <c r="BA1209" s="18"/>
      <c r="BB1209" s="18"/>
      <c r="BC1209" s="18"/>
      <c r="BD1209" s="18"/>
      <c r="BE1209" s="18"/>
      <c r="BF1209" s="18"/>
      <c r="BG1209" s="18"/>
      <c r="BH1209" s="18"/>
      <c r="BI1209" s="18"/>
      <c r="BJ1209" s="18"/>
      <c r="BK1209" s="18"/>
      <c r="BL1209" s="18"/>
      <c r="BM1209" s="18"/>
      <c r="BN1209" s="18"/>
      <c r="BO1209" s="18"/>
      <c r="BP1209" s="18"/>
      <c r="BQ1209" s="18"/>
      <c r="BR1209" s="18"/>
      <c r="BS1209" s="18"/>
      <c r="BT1209" s="18"/>
      <c r="BU1209" s="18"/>
      <c r="BV1209" s="18"/>
      <c r="BW1209" s="18"/>
      <c r="BX1209" s="18"/>
      <c r="BY1209" s="18"/>
      <c r="BZ1209" s="18"/>
      <c r="CA1209" s="18"/>
      <c r="CB1209" s="18"/>
      <c r="CC1209" s="18"/>
      <c r="CD1209" s="18"/>
      <c r="CE1209" s="18"/>
      <c r="CF1209" s="18"/>
      <c r="CG1209" s="18"/>
      <c r="CH1209" s="18"/>
      <c r="CI1209" s="18"/>
      <c r="CJ1209" s="18"/>
      <c r="CK1209" s="18"/>
      <c r="CL1209" s="18"/>
      <c r="CM1209" s="18"/>
      <c r="CN1209" s="18"/>
      <c r="CO1209" s="18"/>
      <c r="CP1209" s="18"/>
      <c r="CQ1209" s="18"/>
      <c r="CR1209" s="18"/>
      <c r="CS1209" s="18"/>
      <c r="CT1209" s="18"/>
      <c r="CU1209" s="18"/>
    </row>
    <row r="1210" spans="1:99">
      <c r="A1210" s="19"/>
      <c r="B1210" s="19"/>
      <c r="C1210" s="19"/>
      <c r="D1210" s="19"/>
      <c r="E1210" s="19"/>
      <c r="F1210" s="19"/>
      <c r="G1210" s="19"/>
      <c r="H1210" s="19"/>
      <c r="I1210" s="19"/>
      <c r="J1210" s="19"/>
      <c r="K1210" s="18"/>
      <c r="L1210" s="18"/>
      <c r="M1210" s="18"/>
      <c r="N1210" s="18"/>
      <c r="O1210" s="18"/>
      <c r="P1210" s="18"/>
      <c r="Q1210" s="18"/>
      <c r="R1210" s="18"/>
      <c r="S1210" s="18"/>
      <c r="T1210" s="18"/>
      <c r="U1210" s="18"/>
      <c r="V1210" s="18"/>
      <c r="W1210" s="18"/>
      <c r="X1210" s="18"/>
      <c r="Y1210" s="18"/>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c r="BC1210" s="18"/>
      <c r="BD1210" s="18"/>
      <c r="BE1210" s="18"/>
      <c r="BF1210" s="18"/>
      <c r="BG1210" s="18"/>
      <c r="BH1210" s="18"/>
      <c r="BI1210" s="18"/>
      <c r="BJ1210" s="18"/>
      <c r="BK1210" s="18"/>
      <c r="BL1210" s="18"/>
      <c r="BM1210" s="18"/>
      <c r="BN1210" s="18"/>
      <c r="BO1210" s="18"/>
      <c r="BP1210" s="18"/>
      <c r="BQ1210" s="18"/>
      <c r="BR1210" s="18"/>
      <c r="BS1210" s="18"/>
      <c r="BT1210" s="18"/>
      <c r="BU1210" s="18"/>
      <c r="BV1210" s="18"/>
      <c r="BW1210" s="18"/>
      <c r="BX1210" s="18"/>
      <c r="BY1210" s="18"/>
      <c r="BZ1210" s="18"/>
      <c r="CA1210" s="18"/>
      <c r="CB1210" s="18"/>
      <c r="CC1210" s="18"/>
      <c r="CD1210" s="18"/>
      <c r="CE1210" s="18"/>
      <c r="CF1210" s="18"/>
      <c r="CG1210" s="18"/>
      <c r="CH1210" s="18"/>
      <c r="CI1210" s="18"/>
      <c r="CJ1210" s="18"/>
      <c r="CK1210" s="18"/>
      <c r="CL1210" s="18"/>
      <c r="CM1210" s="18"/>
      <c r="CN1210" s="18"/>
      <c r="CO1210" s="18"/>
      <c r="CP1210" s="18"/>
      <c r="CQ1210" s="18"/>
      <c r="CR1210" s="18"/>
      <c r="CS1210" s="18"/>
      <c r="CT1210" s="18"/>
      <c r="CU1210" s="18"/>
    </row>
    <row r="1211" spans="1:99">
      <c r="A1211" s="19"/>
      <c r="B1211" s="19"/>
      <c r="C1211" s="19"/>
      <c r="D1211" s="19"/>
      <c r="E1211" s="19"/>
      <c r="F1211" s="19"/>
      <c r="G1211" s="19"/>
      <c r="H1211" s="19"/>
      <c r="I1211" s="19"/>
      <c r="J1211" s="19"/>
      <c r="K1211" s="18"/>
      <c r="L1211" s="18"/>
      <c r="M1211" s="18"/>
      <c r="N1211" s="18"/>
      <c r="O1211" s="18"/>
      <c r="P1211" s="18"/>
      <c r="Q1211" s="18"/>
      <c r="R1211" s="18"/>
      <c r="S1211" s="18"/>
      <c r="T1211" s="18"/>
      <c r="U1211" s="18"/>
      <c r="V1211" s="18"/>
      <c r="W1211" s="18"/>
      <c r="X1211" s="18"/>
      <c r="Y1211" s="18"/>
      <c r="Z1211" s="18"/>
      <c r="AA1211" s="18"/>
      <c r="AB1211" s="18"/>
      <c r="AC1211" s="18"/>
      <c r="AD1211" s="18"/>
      <c r="AE1211" s="18"/>
      <c r="AF1211" s="18"/>
      <c r="AG1211" s="18"/>
      <c r="AH1211" s="18"/>
      <c r="AI1211" s="18"/>
      <c r="AJ1211" s="18"/>
      <c r="AK1211" s="18"/>
      <c r="AL1211" s="18"/>
      <c r="AM1211" s="18"/>
      <c r="AN1211" s="18"/>
      <c r="AO1211" s="18"/>
      <c r="AP1211" s="18"/>
      <c r="AQ1211" s="18"/>
      <c r="AR1211" s="18"/>
      <c r="AS1211" s="18"/>
      <c r="AT1211" s="18"/>
      <c r="AU1211" s="18"/>
      <c r="AV1211" s="18"/>
      <c r="AW1211" s="18"/>
      <c r="AX1211" s="18"/>
      <c r="AY1211" s="18"/>
      <c r="AZ1211" s="18"/>
      <c r="BA1211" s="18"/>
      <c r="BB1211" s="18"/>
      <c r="BC1211" s="18"/>
      <c r="BD1211" s="18"/>
      <c r="BE1211" s="18"/>
      <c r="BF1211" s="18"/>
      <c r="BG1211" s="18"/>
      <c r="BH1211" s="18"/>
      <c r="BI1211" s="18"/>
      <c r="BJ1211" s="18"/>
      <c r="BK1211" s="18"/>
      <c r="BL1211" s="18"/>
      <c r="BM1211" s="18"/>
      <c r="BN1211" s="18"/>
      <c r="BO1211" s="18"/>
      <c r="BP1211" s="18"/>
      <c r="BQ1211" s="18"/>
      <c r="BR1211" s="18"/>
      <c r="BS1211" s="18"/>
      <c r="BT1211" s="18"/>
      <c r="BU1211" s="18"/>
      <c r="BV1211" s="18"/>
      <c r="BW1211" s="18"/>
      <c r="BX1211" s="18"/>
      <c r="BY1211" s="18"/>
      <c r="BZ1211" s="18"/>
      <c r="CA1211" s="18"/>
      <c r="CB1211" s="18"/>
      <c r="CC1211" s="18"/>
      <c r="CD1211" s="18"/>
      <c r="CE1211" s="18"/>
      <c r="CF1211" s="18"/>
      <c r="CG1211" s="18"/>
      <c r="CH1211" s="18"/>
      <c r="CI1211" s="18"/>
      <c r="CJ1211" s="18"/>
      <c r="CK1211" s="18"/>
      <c r="CL1211" s="18"/>
      <c r="CM1211" s="18"/>
      <c r="CN1211" s="18"/>
      <c r="CO1211" s="18"/>
      <c r="CP1211" s="18"/>
      <c r="CQ1211" s="18"/>
      <c r="CR1211" s="18"/>
      <c r="CS1211" s="18"/>
      <c r="CT1211" s="18"/>
      <c r="CU1211" s="18"/>
    </row>
    <row r="1212" spans="1:99">
      <c r="A1212" s="19"/>
      <c r="B1212" s="19"/>
      <c r="C1212" s="19"/>
      <c r="D1212" s="19"/>
      <c r="E1212" s="19"/>
      <c r="F1212" s="19"/>
      <c r="G1212" s="19"/>
      <c r="H1212" s="19"/>
      <c r="I1212" s="19"/>
      <c r="J1212" s="19"/>
      <c r="K1212" s="18"/>
      <c r="L1212" s="18"/>
      <c r="M1212" s="18"/>
      <c r="N1212" s="18"/>
      <c r="O1212" s="18"/>
      <c r="P1212" s="18"/>
      <c r="Q1212" s="18"/>
      <c r="R1212" s="18"/>
      <c r="S1212" s="18"/>
      <c r="T1212" s="18"/>
      <c r="U1212" s="18"/>
      <c r="V1212" s="18"/>
      <c r="W1212" s="18"/>
      <c r="X1212" s="18"/>
      <c r="Y1212" s="18"/>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c r="BC1212" s="18"/>
      <c r="BD1212" s="18"/>
      <c r="BE1212" s="18"/>
      <c r="BF1212" s="18"/>
      <c r="BG1212" s="18"/>
      <c r="BH1212" s="18"/>
      <c r="BI1212" s="18"/>
      <c r="BJ1212" s="18"/>
      <c r="BK1212" s="18"/>
      <c r="BL1212" s="18"/>
      <c r="BM1212" s="18"/>
      <c r="BN1212" s="18"/>
      <c r="BO1212" s="18"/>
      <c r="BP1212" s="18"/>
      <c r="BQ1212" s="18"/>
      <c r="BR1212" s="18"/>
      <c r="BS1212" s="18"/>
      <c r="BT1212" s="18"/>
      <c r="BU1212" s="18"/>
      <c r="BV1212" s="18"/>
      <c r="BW1212" s="18"/>
      <c r="BX1212" s="18"/>
      <c r="BY1212" s="18"/>
      <c r="BZ1212" s="18"/>
      <c r="CA1212" s="18"/>
      <c r="CB1212" s="18"/>
      <c r="CC1212" s="18"/>
      <c r="CD1212" s="18"/>
      <c r="CE1212" s="18"/>
      <c r="CF1212" s="18"/>
      <c r="CG1212" s="18"/>
      <c r="CH1212" s="18"/>
      <c r="CI1212" s="18"/>
      <c r="CJ1212" s="18"/>
      <c r="CK1212" s="18"/>
      <c r="CL1212" s="18"/>
      <c r="CM1212" s="18"/>
      <c r="CN1212" s="18"/>
      <c r="CO1212" s="18"/>
      <c r="CP1212" s="18"/>
      <c r="CQ1212" s="18"/>
      <c r="CR1212" s="18"/>
      <c r="CS1212" s="18"/>
      <c r="CT1212" s="18"/>
      <c r="CU1212" s="18"/>
    </row>
    <row r="1213" spans="1:99">
      <c r="A1213" s="19"/>
      <c r="B1213" s="19"/>
      <c r="C1213" s="19"/>
      <c r="D1213" s="19"/>
      <c r="E1213" s="19"/>
      <c r="F1213" s="19"/>
      <c r="G1213" s="19"/>
      <c r="H1213" s="19"/>
      <c r="I1213" s="19"/>
      <c r="J1213" s="19"/>
      <c r="K1213" s="18"/>
      <c r="L1213" s="18"/>
      <c r="M1213" s="18"/>
      <c r="N1213" s="18"/>
      <c r="O1213" s="18"/>
      <c r="P1213" s="18"/>
      <c r="Q1213" s="18"/>
      <c r="R1213" s="18"/>
      <c r="S1213" s="18"/>
      <c r="T1213" s="18"/>
      <c r="U1213" s="18"/>
      <c r="V1213" s="18"/>
      <c r="W1213" s="18"/>
      <c r="X1213" s="18"/>
      <c r="Y1213" s="18"/>
      <c r="Z1213" s="18"/>
      <c r="AA1213" s="18"/>
      <c r="AB1213" s="18"/>
      <c r="AC1213" s="18"/>
      <c r="AD1213" s="18"/>
      <c r="AE1213" s="18"/>
      <c r="AF1213" s="18"/>
      <c r="AG1213" s="18"/>
      <c r="AH1213" s="18"/>
      <c r="AI1213" s="18"/>
      <c r="AJ1213" s="18"/>
      <c r="AK1213" s="18"/>
      <c r="AL1213" s="18"/>
      <c r="AM1213" s="18"/>
      <c r="AN1213" s="18"/>
      <c r="AO1213" s="18"/>
      <c r="AP1213" s="18"/>
      <c r="AQ1213" s="18"/>
      <c r="AR1213" s="18"/>
      <c r="AS1213" s="18"/>
      <c r="AT1213" s="18"/>
      <c r="AU1213" s="18"/>
      <c r="AV1213" s="18"/>
      <c r="AW1213" s="18"/>
      <c r="AX1213" s="18"/>
      <c r="AY1213" s="18"/>
      <c r="AZ1213" s="18"/>
      <c r="BA1213" s="18"/>
      <c r="BB1213" s="18"/>
      <c r="BC1213" s="18"/>
      <c r="BD1213" s="18"/>
      <c r="BE1213" s="18"/>
      <c r="BF1213" s="18"/>
      <c r="BG1213" s="18"/>
      <c r="BH1213" s="18"/>
      <c r="BI1213" s="18"/>
      <c r="BJ1213" s="18"/>
      <c r="BK1213" s="18"/>
      <c r="BL1213" s="18"/>
      <c r="BM1213" s="18"/>
      <c r="BN1213" s="18"/>
      <c r="BO1213" s="18"/>
      <c r="BP1213" s="18"/>
      <c r="BQ1213" s="18"/>
      <c r="BR1213" s="18"/>
      <c r="BS1213" s="18"/>
      <c r="BT1213" s="18"/>
      <c r="BU1213" s="18"/>
      <c r="BV1213" s="18"/>
      <c r="BW1213" s="18"/>
      <c r="BX1213" s="18"/>
      <c r="BY1213" s="18"/>
      <c r="BZ1213" s="18"/>
      <c r="CA1213" s="18"/>
      <c r="CB1213" s="18"/>
      <c r="CC1213" s="18"/>
      <c r="CD1213" s="18"/>
      <c r="CE1213" s="18"/>
      <c r="CF1213" s="18"/>
      <c r="CG1213" s="18"/>
      <c r="CH1213" s="18"/>
      <c r="CI1213" s="18"/>
      <c r="CJ1213" s="18"/>
      <c r="CK1213" s="18"/>
      <c r="CL1213" s="18"/>
      <c r="CM1213" s="18"/>
      <c r="CN1213" s="18"/>
      <c r="CO1213" s="18"/>
      <c r="CP1213" s="18"/>
      <c r="CQ1213" s="18"/>
      <c r="CR1213" s="18"/>
      <c r="CS1213" s="18"/>
      <c r="CT1213" s="18"/>
      <c r="CU1213" s="18"/>
    </row>
    <row r="1214" spans="1:99">
      <c r="A1214" s="19"/>
      <c r="B1214" s="19"/>
      <c r="C1214" s="19"/>
      <c r="D1214" s="19"/>
      <c r="E1214" s="19"/>
      <c r="F1214" s="19"/>
      <c r="G1214" s="19"/>
      <c r="H1214" s="19"/>
      <c r="I1214" s="19"/>
      <c r="J1214" s="19"/>
      <c r="K1214" s="18"/>
      <c r="L1214" s="18"/>
      <c r="M1214" s="18"/>
      <c r="N1214" s="18"/>
      <c r="O1214" s="18"/>
      <c r="P1214" s="18"/>
      <c r="Q1214" s="18"/>
      <c r="R1214" s="18"/>
      <c r="S1214" s="18"/>
      <c r="T1214" s="18"/>
      <c r="U1214" s="18"/>
      <c r="V1214" s="18"/>
      <c r="W1214" s="18"/>
      <c r="X1214" s="18"/>
      <c r="Y1214" s="18"/>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c r="BC1214" s="18"/>
      <c r="BD1214" s="18"/>
      <c r="BE1214" s="18"/>
      <c r="BF1214" s="18"/>
      <c r="BG1214" s="18"/>
      <c r="BH1214" s="18"/>
      <c r="BI1214" s="18"/>
      <c r="BJ1214" s="18"/>
      <c r="BK1214" s="18"/>
      <c r="BL1214" s="18"/>
      <c r="BM1214" s="18"/>
      <c r="BN1214" s="18"/>
      <c r="BO1214" s="18"/>
      <c r="BP1214" s="18"/>
      <c r="BQ1214" s="18"/>
      <c r="BR1214" s="18"/>
      <c r="BS1214" s="18"/>
      <c r="BT1214" s="18"/>
      <c r="BU1214" s="18"/>
      <c r="BV1214" s="18"/>
      <c r="BW1214" s="18"/>
      <c r="BX1214" s="18"/>
      <c r="BY1214" s="18"/>
      <c r="BZ1214" s="18"/>
      <c r="CA1214" s="18"/>
      <c r="CB1214" s="18"/>
      <c r="CC1214" s="18"/>
      <c r="CD1214" s="18"/>
      <c r="CE1214" s="18"/>
      <c r="CF1214" s="18"/>
      <c r="CG1214" s="18"/>
      <c r="CH1214" s="18"/>
      <c r="CI1214" s="18"/>
      <c r="CJ1214" s="18"/>
      <c r="CK1214" s="18"/>
      <c r="CL1214" s="18"/>
      <c r="CM1214" s="18"/>
      <c r="CN1214" s="18"/>
      <c r="CO1214" s="18"/>
      <c r="CP1214" s="18"/>
      <c r="CQ1214" s="18"/>
      <c r="CR1214" s="18"/>
      <c r="CS1214" s="18"/>
      <c r="CT1214" s="18"/>
      <c r="CU1214" s="18"/>
    </row>
    <row r="1215" spans="1:99">
      <c r="A1215" s="19"/>
      <c r="B1215" s="19"/>
      <c r="C1215" s="19"/>
      <c r="D1215" s="19"/>
      <c r="E1215" s="19"/>
      <c r="F1215" s="19"/>
      <c r="G1215" s="19"/>
      <c r="H1215" s="19"/>
      <c r="I1215" s="19"/>
      <c r="J1215" s="19"/>
      <c r="K1215" s="18"/>
      <c r="L1215" s="18"/>
      <c r="M1215" s="18"/>
      <c r="N1215" s="18"/>
      <c r="O1215" s="18"/>
      <c r="P1215" s="18"/>
      <c r="Q1215" s="18"/>
      <c r="R1215" s="18"/>
      <c r="S1215" s="18"/>
      <c r="T1215" s="18"/>
      <c r="U1215" s="18"/>
      <c r="V1215" s="18"/>
      <c r="W1215" s="18"/>
      <c r="X1215" s="18"/>
      <c r="Y1215" s="18"/>
      <c r="Z1215" s="18"/>
      <c r="AA1215" s="18"/>
      <c r="AB1215" s="18"/>
      <c r="AC1215" s="18"/>
      <c r="AD1215" s="18"/>
      <c r="AE1215" s="18"/>
      <c r="AF1215" s="18"/>
      <c r="AG1215" s="18"/>
      <c r="AH1215" s="18"/>
      <c r="AI1215" s="18"/>
      <c r="AJ1215" s="18"/>
      <c r="AK1215" s="18"/>
      <c r="AL1215" s="18"/>
      <c r="AM1215" s="18"/>
      <c r="AN1215" s="18"/>
      <c r="AO1215" s="18"/>
      <c r="AP1215" s="18"/>
      <c r="AQ1215" s="18"/>
      <c r="AR1215" s="18"/>
      <c r="AS1215" s="18"/>
      <c r="AT1215" s="18"/>
      <c r="AU1215" s="18"/>
      <c r="AV1215" s="18"/>
      <c r="AW1215" s="18"/>
      <c r="AX1215" s="18"/>
      <c r="AY1215" s="18"/>
      <c r="AZ1215" s="18"/>
      <c r="BA1215" s="18"/>
      <c r="BB1215" s="18"/>
      <c r="BC1215" s="18"/>
      <c r="BD1215" s="18"/>
      <c r="BE1215" s="18"/>
      <c r="BF1215" s="18"/>
      <c r="BG1215" s="18"/>
      <c r="BH1215" s="18"/>
      <c r="BI1215" s="18"/>
      <c r="BJ1215" s="18"/>
      <c r="BK1215" s="18"/>
      <c r="BL1215" s="18"/>
      <c r="BM1215" s="18"/>
      <c r="BN1215" s="18"/>
      <c r="BO1215" s="18"/>
      <c r="BP1215" s="18"/>
      <c r="BQ1215" s="18"/>
      <c r="BR1215" s="18"/>
      <c r="BS1215" s="18"/>
      <c r="BT1215" s="18"/>
      <c r="BU1215" s="18"/>
      <c r="BV1215" s="18"/>
      <c r="BW1215" s="18"/>
      <c r="BX1215" s="18"/>
      <c r="BY1215" s="18"/>
      <c r="BZ1215" s="18"/>
      <c r="CA1215" s="18"/>
      <c r="CB1215" s="18"/>
      <c r="CC1215" s="18"/>
      <c r="CD1215" s="18"/>
      <c r="CE1215" s="18"/>
      <c r="CF1215" s="18"/>
      <c r="CG1215" s="18"/>
      <c r="CH1215" s="18"/>
      <c r="CI1215" s="18"/>
      <c r="CJ1215" s="18"/>
      <c r="CK1215" s="18"/>
      <c r="CL1215" s="18"/>
      <c r="CM1215" s="18"/>
      <c r="CN1215" s="18"/>
      <c r="CO1215" s="18"/>
      <c r="CP1215" s="18"/>
      <c r="CQ1215" s="18"/>
      <c r="CR1215" s="18"/>
      <c r="CS1215" s="18"/>
      <c r="CT1215" s="18"/>
      <c r="CU1215" s="18"/>
    </row>
    <row r="1216" spans="1:99">
      <c r="A1216" s="19"/>
      <c r="B1216" s="19"/>
      <c r="C1216" s="19"/>
      <c r="D1216" s="19"/>
      <c r="E1216" s="19"/>
      <c r="F1216" s="19"/>
      <c r="G1216" s="19"/>
      <c r="H1216" s="19"/>
      <c r="I1216" s="19"/>
      <c r="J1216" s="19"/>
      <c r="K1216" s="18"/>
      <c r="L1216" s="18"/>
      <c r="M1216" s="18"/>
      <c r="N1216" s="18"/>
      <c r="O1216" s="18"/>
      <c r="P1216" s="18"/>
      <c r="Q1216" s="18"/>
      <c r="R1216" s="18"/>
      <c r="S1216" s="18"/>
      <c r="T1216" s="18"/>
      <c r="U1216" s="18"/>
      <c r="V1216" s="18"/>
      <c r="W1216" s="18"/>
      <c r="X1216" s="18"/>
      <c r="Y1216" s="18"/>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c r="BC1216" s="18"/>
      <c r="BD1216" s="18"/>
      <c r="BE1216" s="18"/>
      <c r="BF1216" s="18"/>
      <c r="BG1216" s="18"/>
      <c r="BH1216" s="18"/>
      <c r="BI1216" s="18"/>
      <c r="BJ1216" s="18"/>
      <c r="BK1216" s="18"/>
      <c r="BL1216" s="18"/>
      <c r="BM1216" s="18"/>
      <c r="BN1216" s="18"/>
      <c r="BO1216" s="18"/>
      <c r="BP1216" s="18"/>
      <c r="BQ1216" s="18"/>
      <c r="BR1216" s="18"/>
      <c r="BS1216" s="18"/>
      <c r="BT1216" s="18"/>
      <c r="BU1216" s="18"/>
      <c r="BV1216" s="18"/>
      <c r="BW1216" s="18"/>
      <c r="BX1216" s="18"/>
      <c r="BY1216" s="18"/>
      <c r="BZ1216" s="18"/>
      <c r="CA1216" s="18"/>
      <c r="CB1216" s="18"/>
      <c r="CC1216" s="18"/>
      <c r="CD1216" s="18"/>
      <c r="CE1216" s="18"/>
      <c r="CF1216" s="18"/>
      <c r="CG1216" s="18"/>
      <c r="CH1216" s="18"/>
      <c r="CI1216" s="18"/>
      <c r="CJ1216" s="18"/>
      <c r="CK1216" s="18"/>
      <c r="CL1216" s="18"/>
      <c r="CM1216" s="18"/>
      <c r="CN1216" s="18"/>
      <c r="CO1216" s="18"/>
      <c r="CP1216" s="18"/>
      <c r="CQ1216" s="18"/>
      <c r="CR1216" s="18"/>
      <c r="CS1216" s="18"/>
      <c r="CT1216" s="18"/>
      <c r="CU1216" s="18"/>
    </row>
    <row r="1217" spans="1:99">
      <c r="A1217" s="19"/>
      <c r="B1217" s="19"/>
      <c r="C1217" s="19"/>
      <c r="D1217" s="19"/>
      <c r="E1217" s="19"/>
      <c r="F1217" s="19"/>
      <c r="G1217" s="19"/>
      <c r="H1217" s="19"/>
      <c r="I1217" s="19"/>
      <c r="J1217" s="19"/>
      <c r="K1217" s="18"/>
      <c r="L1217" s="18"/>
      <c r="M1217" s="18"/>
      <c r="N1217" s="18"/>
      <c r="O1217" s="18"/>
      <c r="P1217" s="18"/>
      <c r="Q1217" s="18"/>
      <c r="R1217" s="18"/>
      <c r="S1217" s="18"/>
      <c r="T1217" s="18"/>
      <c r="U1217" s="18"/>
      <c r="V1217" s="18"/>
      <c r="W1217" s="18"/>
      <c r="X1217" s="18"/>
      <c r="Y1217" s="18"/>
      <c r="Z1217" s="18"/>
      <c r="AA1217" s="18"/>
      <c r="AB1217" s="18"/>
      <c r="AC1217" s="18"/>
      <c r="AD1217" s="18"/>
      <c r="AE1217" s="18"/>
      <c r="AF1217" s="18"/>
      <c r="AG1217" s="18"/>
      <c r="AH1217" s="18"/>
      <c r="AI1217" s="18"/>
      <c r="AJ1217" s="18"/>
      <c r="AK1217" s="18"/>
      <c r="AL1217" s="18"/>
      <c r="AM1217" s="18"/>
      <c r="AN1217" s="18"/>
      <c r="AO1217" s="18"/>
      <c r="AP1217" s="18"/>
      <c r="AQ1217" s="18"/>
      <c r="AR1217" s="18"/>
      <c r="AS1217" s="18"/>
      <c r="AT1217" s="18"/>
      <c r="AU1217" s="18"/>
      <c r="AV1217" s="18"/>
      <c r="AW1217" s="18"/>
      <c r="AX1217" s="18"/>
      <c r="AY1217" s="18"/>
      <c r="AZ1217" s="18"/>
      <c r="BA1217" s="18"/>
      <c r="BB1217" s="18"/>
      <c r="BC1217" s="18"/>
      <c r="BD1217" s="18"/>
      <c r="BE1217" s="18"/>
      <c r="BF1217" s="18"/>
      <c r="BG1217" s="18"/>
      <c r="BH1217" s="18"/>
      <c r="BI1217" s="18"/>
      <c r="BJ1217" s="18"/>
      <c r="BK1217" s="18"/>
      <c r="BL1217" s="18"/>
      <c r="BM1217" s="18"/>
      <c r="BN1217" s="18"/>
      <c r="BO1217" s="18"/>
      <c r="BP1217" s="18"/>
      <c r="BQ1217" s="18"/>
      <c r="BR1217" s="18"/>
      <c r="BS1217" s="18"/>
      <c r="BT1217" s="18"/>
      <c r="BU1217" s="18"/>
      <c r="BV1217" s="18"/>
      <c r="BW1217" s="18"/>
      <c r="BX1217" s="18"/>
      <c r="BY1217" s="18"/>
      <c r="BZ1217" s="18"/>
      <c r="CA1217" s="18"/>
      <c r="CB1217" s="18"/>
      <c r="CC1217" s="18"/>
      <c r="CD1217" s="18"/>
      <c r="CE1217" s="18"/>
      <c r="CF1217" s="18"/>
      <c r="CG1217" s="18"/>
      <c r="CH1217" s="18"/>
      <c r="CI1217" s="18"/>
      <c r="CJ1217" s="18"/>
      <c r="CK1217" s="18"/>
      <c r="CL1217" s="18"/>
      <c r="CM1217" s="18"/>
      <c r="CN1217" s="18"/>
      <c r="CO1217" s="18"/>
      <c r="CP1217" s="18"/>
      <c r="CQ1217" s="18"/>
      <c r="CR1217" s="18"/>
      <c r="CS1217" s="18"/>
      <c r="CT1217" s="18"/>
      <c r="CU1217" s="18"/>
    </row>
    <row r="1218" spans="1:99">
      <c r="A1218" s="19"/>
      <c r="B1218" s="19"/>
      <c r="C1218" s="19"/>
      <c r="D1218" s="19"/>
      <c r="E1218" s="19"/>
      <c r="F1218" s="19"/>
      <c r="G1218" s="19"/>
      <c r="H1218" s="19"/>
      <c r="I1218" s="19"/>
      <c r="J1218" s="19"/>
      <c r="K1218" s="18"/>
      <c r="L1218" s="18"/>
      <c r="M1218" s="18"/>
      <c r="N1218" s="18"/>
      <c r="O1218" s="18"/>
      <c r="P1218" s="18"/>
      <c r="Q1218" s="18"/>
      <c r="R1218" s="18"/>
      <c r="S1218" s="18"/>
      <c r="T1218" s="18"/>
      <c r="U1218" s="18"/>
      <c r="V1218" s="18"/>
      <c r="W1218" s="18"/>
      <c r="X1218" s="18"/>
      <c r="Y1218" s="18"/>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c r="BC1218" s="18"/>
      <c r="BD1218" s="18"/>
      <c r="BE1218" s="18"/>
      <c r="BF1218" s="18"/>
      <c r="BG1218" s="18"/>
      <c r="BH1218" s="18"/>
      <c r="BI1218" s="18"/>
      <c r="BJ1218" s="18"/>
      <c r="BK1218" s="18"/>
      <c r="BL1218" s="18"/>
      <c r="BM1218" s="18"/>
      <c r="BN1218" s="18"/>
      <c r="BO1218" s="18"/>
      <c r="BP1218" s="18"/>
      <c r="BQ1218" s="18"/>
      <c r="BR1218" s="18"/>
      <c r="BS1218" s="18"/>
      <c r="BT1218" s="18"/>
      <c r="BU1218" s="18"/>
      <c r="BV1218" s="18"/>
      <c r="BW1218" s="18"/>
      <c r="BX1218" s="18"/>
      <c r="BY1218" s="18"/>
      <c r="BZ1218" s="18"/>
      <c r="CA1218" s="18"/>
      <c r="CB1218" s="18"/>
      <c r="CC1218" s="18"/>
      <c r="CD1218" s="18"/>
      <c r="CE1218" s="18"/>
      <c r="CF1218" s="18"/>
      <c r="CG1218" s="18"/>
      <c r="CH1218" s="18"/>
      <c r="CI1218" s="18"/>
      <c r="CJ1218" s="18"/>
      <c r="CK1218" s="18"/>
      <c r="CL1218" s="18"/>
      <c r="CM1218" s="18"/>
      <c r="CN1218" s="18"/>
      <c r="CO1218" s="18"/>
      <c r="CP1218" s="18"/>
      <c r="CQ1218" s="18"/>
      <c r="CR1218" s="18"/>
      <c r="CS1218" s="18"/>
      <c r="CT1218" s="18"/>
      <c r="CU1218" s="18"/>
    </row>
    <row r="1219" spans="1:99">
      <c r="A1219" s="19"/>
      <c r="B1219" s="19"/>
      <c r="C1219" s="19"/>
      <c r="D1219" s="19"/>
      <c r="E1219" s="19"/>
      <c r="F1219" s="19"/>
      <c r="G1219" s="19"/>
      <c r="H1219" s="19"/>
      <c r="I1219" s="19"/>
      <c r="J1219" s="19"/>
      <c r="K1219" s="18"/>
      <c r="L1219" s="18"/>
      <c r="M1219" s="18"/>
      <c r="N1219" s="18"/>
      <c r="O1219" s="18"/>
      <c r="P1219" s="18"/>
      <c r="Q1219" s="18"/>
      <c r="R1219" s="18"/>
      <c r="S1219" s="18"/>
      <c r="T1219" s="18"/>
      <c r="U1219" s="18"/>
      <c r="V1219" s="18"/>
      <c r="W1219" s="18"/>
      <c r="X1219" s="18"/>
      <c r="Y1219" s="18"/>
      <c r="Z1219" s="18"/>
      <c r="AA1219" s="18"/>
      <c r="AB1219" s="18"/>
      <c r="AC1219" s="18"/>
      <c r="AD1219" s="18"/>
      <c r="AE1219" s="18"/>
      <c r="AF1219" s="18"/>
      <c r="AG1219" s="18"/>
      <c r="AH1219" s="18"/>
      <c r="AI1219" s="18"/>
      <c r="AJ1219" s="18"/>
      <c r="AK1219" s="18"/>
      <c r="AL1219" s="18"/>
      <c r="AM1219" s="18"/>
      <c r="AN1219" s="18"/>
      <c r="AO1219" s="18"/>
      <c r="AP1219" s="18"/>
      <c r="AQ1219" s="18"/>
      <c r="AR1219" s="18"/>
      <c r="AS1219" s="18"/>
      <c r="AT1219" s="18"/>
      <c r="AU1219" s="18"/>
      <c r="AV1219" s="18"/>
      <c r="AW1219" s="18"/>
      <c r="AX1219" s="18"/>
      <c r="AY1219" s="18"/>
      <c r="AZ1219" s="18"/>
      <c r="BA1219" s="18"/>
      <c r="BB1219" s="18"/>
      <c r="BC1219" s="18"/>
      <c r="BD1219" s="18"/>
      <c r="BE1219" s="18"/>
      <c r="BF1219" s="18"/>
      <c r="BG1219" s="18"/>
      <c r="BH1219" s="18"/>
      <c r="BI1219" s="18"/>
      <c r="BJ1219" s="18"/>
      <c r="BK1219" s="18"/>
      <c r="BL1219" s="18"/>
      <c r="BM1219" s="18"/>
      <c r="BN1219" s="18"/>
      <c r="BO1219" s="18"/>
      <c r="BP1219" s="18"/>
      <c r="BQ1219" s="18"/>
      <c r="BR1219" s="18"/>
      <c r="BS1219" s="18"/>
      <c r="BT1219" s="18"/>
      <c r="BU1219" s="18"/>
      <c r="BV1219" s="18"/>
      <c r="BW1219" s="18"/>
      <c r="BX1219" s="18"/>
      <c r="BY1219" s="18"/>
      <c r="BZ1219" s="18"/>
      <c r="CA1219" s="18"/>
      <c r="CB1219" s="18"/>
      <c r="CC1219" s="18"/>
      <c r="CD1219" s="18"/>
      <c r="CE1219" s="18"/>
      <c r="CF1219" s="18"/>
      <c r="CG1219" s="18"/>
      <c r="CH1219" s="18"/>
      <c r="CI1219" s="18"/>
      <c r="CJ1219" s="18"/>
      <c r="CK1219" s="18"/>
      <c r="CL1219" s="18"/>
      <c r="CM1219" s="18"/>
      <c r="CN1219" s="18"/>
      <c r="CO1219" s="18"/>
      <c r="CP1219" s="18"/>
      <c r="CQ1219" s="18"/>
      <c r="CR1219" s="18"/>
      <c r="CS1219" s="18"/>
      <c r="CT1219" s="18"/>
      <c r="CU1219" s="18"/>
    </row>
    <row r="1220" spans="1:99">
      <c r="A1220" s="19"/>
      <c r="B1220" s="19"/>
      <c r="C1220" s="19"/>
      <c r="D1220" s="19"/>
      <c r="E1220" s="19"/>
      <c r="F1220" s="19"/>
      <c r="G1220" s="19"/>
      <c r="H1220" s="19"/>
      <c r="I1220" s="19"/>
      <c r="J1220" s="19"/>
      <c r="K1220" s="18"/>
      <c r="L1220" s="18"/>
      <c r="M1220" s="18"/>
      <c r="N1220" s="18"/>
      <c r="O1220" s="18"/>
      <c r="P1220" s="18"/>
      <c r="Q1220" s="18"/>
      <c r="R1220" s="18"/>
      <c r="S1220" s="18"/>
      <c r="T1220" s="18"/>
      <c r="U1220" s="18"/>
      <c r="V1220" s="18"/>
      <c r="W1220" s="18"/>
      <c r="X1220" s="18"/>
      <c r="Y1220" s="18"/>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c r="BC1220" s="18"/>
      <c r="BD1220" s="18"/>
      <c r="BE1220" s="18"/>
      <c r="BF1220" s="18"/>
      <c r="BG1220" s="18"/>
      <c r="BH1220" s="18"/>
      <c r="BI1220" s="18"/>
      <c r="BJ1220" s="18"/>
      <c r="BK1220" s="18"/>
      <c r="BL1220" s="18"/>
      <c r="BM1220" s="18"/>
      <c r="BN1220" s="18"/>
      <c r="BO1220" s="18"/>
      <c r="BP1220" s="18"/>
      <c r="BQ1220" s="18"/>
      <c r="BR1220" s="18"/>
      <c r="BS1220" s="18"/>
      <c r="BT1220" s="18"/>
      <c r="BU1220" s="18"/>
      <c r="BV1220" s="18"/>
      <c r="BW1220" s="18"/>
      <c r="BX1220" s="18"/>
      <c r="BY1220" s="18"/>
      <c r="BZ1220" s="18"/>
      <c r="CA1220" s="18"/>
      <c r="CB1220" s="18"/>
      <c r="CC1220" s="18"/>
      <c r="CD1220" s="18"/>
      <c r="CE1220" s="18"/>
      <c r="CF1220" s="18"/>
      <c r="CG1220" s="18"/>
      <c r="CH1220" s="18"/>
      <c r="CI1220" s="18"/>
      <c r="CJ1220" s="18"/>
      <c r="CK1220" s="18"/>
      <c r="CL1220" s="18"/>
      <c r="CM1220" s="18"/>
      <c r="CN1220" s="18"/>
      <c r="CO1220" s="18"/>
      <c r="CP1220" s="18"/>
      <c r="CQ1220" s="18"/>
      <c r="CR1220" s="18"/>
      <c r="CS1220" s="18"/>
      <c r="CT1220" s="18"/>
      <c r="CU1220" s="18"/>
    </row>
    <row r="1221" spans="1:99">
      <c r="A1221" s="19"/>
      <c r="B1221" s="19"/>
      <c r="C1221" s="19"/>
      <c r="D1221" s="19"/>
      <c r="E1221" s="19"/>
      <c r="F1221" s="19"/>
      <c r="G1221" s="19"/>
      <c r="H1221" s="19"/>
      <c r="I1221" s="19"/>
      <c r="J1221" s="19"/>
      <c r="K1221" s="18"/>
      <c r="L1221" s="18"/>
      <c r="M1221" s="18"/>
      <c r="N1221" s="18"/>
      <c r="O1221" s="18"/>
      <c r="P1221" s="18"/>
      <c r="Q1221" s="18"/>
      <c r="R1221" s="18"/>
      <c r="S1221" s="18"/>
      <c r="T1221" s="18"/>
      <c r="U1221" s="18"/>
      <c r="V1221" s="18"/>
      <c r="W1221" s="18"/>
      <c r="X1221" s="18"/>
      <c r="Y1221" s="18"/>
      <c r="Z1221" s="18"/>
      <c r="AA1221" s="18"/>
      <c r="AB1221" s="18"/>
      <c r="AC1221" s="18"/>
      <c r="AD1221" s="18"/>
      <c r="AE1221" s="18"/>
      <c r="AF1221" s="18"/>
      <c r="AG1221" s="18"/>
      <c r="AH1221" s="18"/>
      <c r="AI1221" s="18"/>
      <c r="AJ1221" s="18"/>
      <c r="AK1221" s="18"/>
      <c r="AL1221" s="18"/>
      <c r="AM1221" s="18"/>
      <c r="AN1221" s="18"/>
      <c r="AO1221" s="18"/>
      <c r="AP1221" s="18"/>
      <c r="AQ1221" s="18"/>
      <c r="AR1221" s="18"/>
      <c r="AS1221" s="18"/>
      <c r="AT1221" s="18"/>
      <c r="AU1221" s="18"/>
      <c r="AV1221" s="18"/>
      <c r="AW1221" s="18"/>
      <c r="AX1221" s="18"/>
      <c r="AY1221" s="18"/>
      <c r="AZ1221" s="18"/>
      <c r="BA1221" s="18"/>
      <c r="BB1221" s="18"/>
      <c r="BC1221" s="18"/>
      <c r="BD1221" s="18"/>
      <c r="BE1221" s="18"/>
      <c r="BF1221" s="18"/>
      <c r="BG1221" s="18"/>
      <c r="BH1221" s="18"/>
      <c r="BI1221" s="18"/>
      <c r="BJ1221" s="18"/>
      <c r="BK1221" s="18"/>
      <c r="BL1221" s="18"/>
      <c r="BM1221" s="18"/>
      <c r="BN1221" s="18"/>
      <c r="BO1221" s="18"/>
      <c r="BP1221" s="18"/>
      <c r="BQ1221" s="18"/>
      <c r="BR1221" s="18"/>
      <c r="BS1221" s="18"/>
      <c r="BT1221" s="18"/>
      <c r="BU1221" s="18"/>
      <c r="BV1221" s="18"/>
      <c r="BW1221" s="18"/>
      <c r="BX1221" s="18"/>
      <c r="BY1221" s="18"/>
      <c r="BZ1221" s="18"/>
      <c r="CA1221" s="18"/>
      <c r="CB1221" s="18"/>
      <c r="CC1221" s="18"/>
      <c r="CD1221" s="18"/>
      <c r="CE1221" s="18"/>
      <c r="CF1221" s="18"/>
      <c r="CG1221" s="18"/>
      <c r="CH1221" s="18"/>
      <c r="CI1221" s="18"/>
      <c r="CJ1221" s="18"/>
      <c r="CK1221" s="18"/>
      <c r="CL1221" s="18"/>
      <c r="CM1221" s="18"/>
      <c r="CN1221" s="18"/>
      <c r="CO1221" s="18"/>
      <c r="CP1221" s="18"/>
      <c r="CQ1221" s="18"/>
      <c r="CR1221" s="18"/>
      <c r="CS1221" s="18"/>
      <c r="CT1221" s="18"/>
      <c r="CU1221" s="18"/>
    </row>
    <row r="1222" spans="1:99">
      <c r="A1222" s="19"/>
      <c r="B1222" s="19"/>
      <c r="C1222" s="19"/>
      <c r="D1222" s="19"/>
      <c r="E1222" s="19"/>
      <c r="F1222" s="19"/>
      <c r="G1222" s="19"/>
      <c r="H1222" s="19"/>
      <c r="I1222" s="19"/>
      <c r="J1222" s="19"/>
      <c r="K1222" s="18"/>
      <c r="L1222" s="18"/>
      <c r="M1222" s="18"/>
      <c r="N1222" s="18"/>
      <c r="O1222" s="18"/>
      <c r="P1222" s="18"/>
      <c r="Q1222" s="18"/>
      <c r="R1222" s="18"/>
      <c r="S1222" s="18"/>
      <c r="T1222" s="18"/>
      <c r="U1222" s="18"/>
      <c r="V1222" s="18"/>
      <c r="W1222" s="18"/>
      <c r="X1222" s="18"/>
      <c r="Y1222" s="18"/>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c r="BC1222" s="18"/>
      <c r="BD1222" s="18"/>
      <c r="BE1222" s="18"/>
      <c r="BF1222" s="18"/>
      <c r="BG1222" s="18"/>
      <c r="BH1222" s="18"/>
      <c r="BI1222" s="18"/>
      <c r="BJ1222" s="18"/>
      <c r="BK1222" s="18"/>
      <c r="BL1222" s="18"/>
      <c r="BM1222" s="18"/>
      <c r="BN1222" s="18"/>
      <c r="BO1222" s="18"/>
      <c r="BP1222" s="18"/>
      <c r="BQ1222" s="18"/>
      <c r="BR1222" s="18"/>
      <c r="BS1222" s="18"/>
      <c r="BT1222" s="18"/>
      <c r="BU1222" s="18"/>
      <c r="BV1222" s="18"/>
      <c r="BW1222" s="18"/>
      <c r="BX1222" s="18"/>
      <c r="BY1222" s="18"/>
      <c r="BZ1222" s="18"/>
      <c r="CA1222" s="18"/>
      <c r="CB1222" s="18"/>
      <c r="CC1222" s="18"/>
      <c r="CD1222" s="18"/>
      <c r="CE1222" s="18"/>
      <c r="CF1222" s="18"/>
      <c r="CG1222" s="18"/>
      <c r="CH1222" s="18"/>
      <c r="CI1222" s="18"/>
      <c r="CJ1222" s="18"/>
      <c r="CK1222" s="18"/>
      <c r="CL1222" s="18"/>
      <c r="CM1222" s="18"/>
      <c r="CN1222" s="18"/>
      <c r="CO1222" s="18"/>
      <c r="CP1222" s="18"/>
      <c r="CQ1222" s="18"/>
      <c r="CR1222" s="18"/>
      <c r="CS1222" s="18"/>
      <c r="CT1222" s="18"/>
      <c r="CU1222" s="18"/>
    </row>
    <row r="1223" spans="1:99">
      <c r="A1223" s="19"/>
      <c r="B1223" s="19"/>
      <c r="C1223" s="19"/>
      <c r="D1223" s="19"/>
      <c r="E1223" s="19"/>
      <c r="F1223" s="19"/>
      <c r="G1223" s="19"/>
      <c r="H1223" s="19"/>
      <c r="I1223" s="19"/>
      <c r="J1223" s="19"/>
      <c r="K1223" s="18"/>
      <c r="L1223" s="18"/>
      <c r="M1223" s="18"/>
      <c r="N1223" s="18"/>
      <c r="O1223" s="18"/>
      <c r="P1223" s="18"/>
      <c r="Q1223" s="18"/>
      <c r="R1223" s="18"/>
      <c r="S1223" s="18"/>
      <c r="T1223" s="18"/>
      <c r="U1223" s="18"/>
      <c r="V1223" s="18"/>
      <c r="W1223" s="18"/>
      <c r="X1223" s="18"/>
      <c r="Y1223" s="18"/>
      <c r="Z1223" s="18"/>
      <c r="AA1223" s="18"/>
      <c r="AB1223" s="18"/>
      <c r="AC1223" s="18"/>
      <c r="AD1223" s="18"/>
      <c r="AE1223" s="18"/>
      <c r="AF1223" s="18"/>
      <c r="AG1223" s="18"/>
      <c r="AH1223" s="18"/>
      <c r="AI1223" s="18"/>
      <c r="AJ1223" s="18"/>
      <c r="AK1223" s="18"/>
      <c r="AL1223" s="18"/>
      <c r="AM1223" s="18"/>
      <c r="AN1223" s="18"/>
      <c r="AO1223" s="18"/>
      <c r="AP1223" s="18"/>
      <c r="AQ1223" s="18"/>
      <c r="AR1223" s="18"/>
      <c r="AS1223" s="18"/>
      <c r="AT1223" s="18"/>
      <c r="AU1223" s="18"/>
      <c r="AV1223" s="18"/>
      <c r="AW1223" s="18"/>
      <c r="AX1223" s="18"/>
      <c r="AY1223" s="18"/>
      <c r="AZ1223" s="18"/>
      <c r="BA1223" s="18"/>
      <c r="BB1223" s="18"/>
      <c r="BC1223" s="18"/>
      <c r="BD1223" s="18"/>
      <c r="BE1223" s="18"/>
      <c r="BF1223" s="18"/>
      <c r="BG1223" s="18"/>
      <c r="BH1223" s="18"/>
      <c r="BI1223" s="18"/>
      <c r="BJ1223" s="18"/>
      <c r="BK1223" s="18"/>
      <c r="BL1223" s="18"/>
      <c r="BM1223" s="18"/>
      <c r="BN1223" s="18"/>
      <c r="BO1223" s="18"/>
      <c r="BP1223" s="18"/>
      <c r="BQ1223" s="18"/>
      <c r="BR1223" s="18"/>
      <c r="BS1223" s="18"/>
      <c r="BT1223" s="18"/>
      <c r="BU1223" s="18"/>
      <c r="BV1223" s="18"/>
      <c r="BW1223" s="18"/>
      <c r="BX1223" s="18"/>
      <c r="BY1223" s="18"/>
      <c r="BZ1223" s="18"/>
      <c r="CA1223" s="18"/>
      <c r="CB1223" s="18"/>
      <c r="CC1223" s="18"/>
      <c r="CD1223" s="18"/>
      <c r="CE1223" s="18"/>
      <c r="CF1223" s="18"/>
      <c r="CG1223" s="18"/>
      <c r="CH1223" s="18"/>
      <c r="CI1223" s="18"/>
      <c r="CJ1223" s="18"/>
      <c r="CK1223" s="18"/>
      <c r="CL1223" s="18"/>
      <c r="CM1223" s="18"/>
      <c r="CN1223" s="18"/>
      <c r="CO1223" s="18"/>
      <c r="CP1223" s="18"/>
      <c r="CQ1223" s="18"/>
      <c r="CR1223" s="18"/>
      <c r="CS1223" s="18"/>
      <c r="CT1223" s="18"/>
      <c r="CU1223" s="18"/>
    </row>
    <row r="1224" spans="1:99">
      <c r="A1224" s="19"/>
      <c r="B1224" s="19"/>
      <c r="C1224" s="19"/>
      <c r="D1224" s="19"/>
      <c r="E1224" s="19"/>
      <c r="F1224" s="19"/>
      <c r="G1224" s="19"/>
      <c r="H1224" s="19"/>
      <c r="I1224" s="19"/>
      <c r="J1224" s="19"/>
      <c r="K1224" s="18"/>
      <c r="L1224" s="18"/>
      <c r="M1224" s="18"/>
      <c r="N1224" s="18"/>
      <c r="O1224" s="18"/>
      <c r="P1224" s="18"/>
      <c r="Q1224" s="18"/>
      <c r="R1224" s="18"/>
      <c r="S1224" s="18"/>
      <c r="T1224" s="18"/>
      <c r="U1224" s="18"/>
      <c r="V1224" s="18"/>
      <c r="W1224" s="18"/>
      <c r="X1224" s="18"/>
      <c r="Y1224" s="18"/>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c r="BC1224" s="18"/>
      <c r="BD1224" s="18"/>
      <c r="BE1224" s="18"/>
      <c r="BF1224" s="18"/>
      <c r="BG1224" s="18"/>
      <c r="BH1224" s="18"/>
      <c r="BI1224" s="18"/>
      <c r="BJ1224" s="18"/>
      <c r="BK1224" s="18"/>
      <c r="BL1224" s="18"/>
      <c r="BM1224" s="18"/>
      <c r="BN1224" s="18"/>
      <c r="BO1224" s="18"/>
      <c r="BP1224" s="18"/>
      <c r="BQ1224" s="18"/>
      <c r="BR1224" s="18"/>
      <c r="BS1224" s="18"/>
      <c r="BT1224" s="18"/>
      <c r="BU1224" s="18"/>
      <c r="BV1224" s="18"/>
      <c r="BW1224" s="18"/>
      <c r="BX1224" s="18"/>
      <c r="BY1224" s="18"/>
      <c r="BZ1224" s="18"/>
      <c r="CA1224" s="18"/>
      <c r="CB1224" s="18"/>
      <c r="CC1224" s="18"/>
      <c r="CD1224" s="18"/>
      <c r="CE1224" s="18"/>
      <c r="CF1224" s="18"/>
      <c r="CG1224" s="18"/>
      <c r="CH1224" s="18"/>
      <c r="CI1224" s="18"/>
      <c r="CJ1224" s="18"/>
      <c r="CK1224" s="18"/>
      <c r="CL1224" s="18"/>
      <c r="CM1224" s="18"/>
      <c r="CN1224" s="18"/>
      <c r="CO1224" s="18"/>
      <c r="CP1224" s="18"/>
      <c r="CQ1224" s="18"/>
      <c r="CR1224" s="18"/>
      <c r="CS1224" s="18"/>
      <c r="CT1224" s="18"/>
      <c r="CU1224" s="18"/>
    </row>
    <row r="1225" spans="1:99">
      <c r="A1225" s="19"/>
      <c r="B1225" s="19"/>
      <c r="C1225" s="19"/>
      <c r="D1225" s="19"/>
      <c r="E1225" s="19"/>
      <c r="F1225" s="19"/>
      <c r="G1225" s="19"/>
      <c r="H1225" s="19"/>
      <c r="I1225" s="19"/>
      <c r="J1225" s="19"/>
      <c r="K1225" s="18"/>
      <c r="L1225" s="18"/>
      <c r="M1225" s="18"/>
      <c r="N1225" s="18"/>
      <c r="O1225" s="18"/>
      <c r="P1225" s="18"/>
      <c r="Q1225" s="18"/>
      <c r="R1225" s="18"/>
      <c r="S1225" s="18"/>
      <c r="T1225" s="18"/>
      <c r="U1225" s="18"/>
      <c r="V1225" s="18"/>
      <c r="W1225" s="18"/>
      <c r="X1225" s="18"/>
      <c r="Y1225" s="18"/>
      <c r="Z1225" s="18"/>
      <c r="AA1225" s="18"/>
      <c r="AB1225" s="18"/>
      <c r="AC1225" s="18"/>
      <c r="AD1225" s="18"/>
      <c r="AE1225" s="18"/>
      <c r="AF1225" s="18"/>
      <c r="AG1225" s="18"/>
      <c r="AH1225" s="18"/>
      <c r="AI1225" s="18"/>
      <c r="AJ1225" s="18"/>
      <c r="AK1225" s="18"/>
      <c r="AL1225" s="18"/>
      <c r="AM1225" s="18"/>
      <c r="AN1225" s="18"/>
      <c r="AO1225" s="18"/>
      <c r="AP1225" s="18"/>
      <c r="AQ1225" s="18"/>
      <c r="AR1225" s="18"/>
      <c r="AS1225" s="18"/>
      <c r="AT1225" s="18"/>
      <c r="AU1225" s="18"/>
      <c r="AV1225" s="18"/>
      <c r="AW1225" s="18"/>
      <c r="AX1225" s="18"/>
      <c r="AY1225" s="18"/>
      <c r="AZ1225" s="18"/>
      <c r="BA1225" s="18"/>
      <c r="BB1225" s="18"/>
      <c r="BC1225" s="18"/>
      <c r="BD1225" s="18"/>
      <c r="BE1225" s="18"/>
      <c r="BF1225" s="18"/>
      <c r="BG1225" s="18"/>
      <c r="BH1225" s="18"/>
      <c r="BI1225" s="18"/>
      <c r="BJ1225" s="18"/>
      <c r="BK1225" s="18"/>
      <c r="BL1225" s="18"/>
      <c r="BM1225" s="18"/>
      <c r="BN1225" s="18"/>
      <c r="BO1225" s="18"/>
      <c r="BP1225" s="18"/>
      <c r="BQ1225" s="18"/>
      <c r="BR1225" s="18"/>
      <c r="BS1225" s="18"/>
      <c r="BT1225" s="18"/>
      <c r="BU1225" s="18"/>
      <c r="BV1225" s="18"/>
      <c r="BW1225" s="18"/>
      <c r="BX1225" s="18"/>
      <c r="BY1225" s="18"/>
      <c r="BZ1225" s="18"/>
      <c r="CA1225" s="18"/>
      <c r="CB1225" s="18"/>
      <c r="CC1225" s="18"/>
      <c r="CD1225" s="18"/>
      <c r="CE1225" s="18"/>
      <c r="CF1225" s="18"/>
      <c r="CG1225" s="18"/>
      <c r="CH1225" s="18"/>
      <c r="CI1225" s="18"/>
      <c r="CJ1225" s="18"/>
      <c r="CK1225" s="18"/>
      <c r="CL1225" s="18"/>
      <c r="CM1225" s="18"/>
      <c r="CN1225" s="18"/>
      <c r="CO1225" s="18"/>
      <c r="CP1225" s="18"/>
      <c r="CQ1225" s="18"/>
      <c r="CR1225" s="18"/>
      <c r="CS1225" s="18"/>
      <c r="CT1225" s="18"/>
      <c r="CU1225" s="18"/>
    </row>
    <row r="1226" spans="1:99">
      <c r="A1226" s="19"/>
      <c r="B1226" s="19"/>
      <c r="C1226" s="19"/>
      <c r="D1226" s="19"/>
      <c r="E1226" s="19"/>
      <c r="F1226" s="19"/>
      <c r="G1226" s="19"/>
      <c r="H1226" s="19"/>
      <c r="I1226" s="19"/>
      <c r="J1226" s="19"/>
      <c r="K1226" s="18"/>
      <c r="L1226" s="18"/>
      <c r="M1226" s="18"/>
      <c r="N1226" s="18"/>
      <c r="O1226" s="18"/>
      <c r="P1226" s="18"/>
      <c r="Q1226" s="18"/>
      <c r="R1226" s="18"/>
      <c r="S1226" s="18"/>
      <c r="T1226" s="18"/>
      <c r="U1226" s="18"/>
      <c r="V1226" s="18"/>
      <c r="W1226" s="18"/>
      <c r="X1226" s="18"/>
      <c r="Y1226" s="18"/>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c r="BC1226" s="18"/>
      <c r="BD1226" s="18"/>
      <c r="BE1226" s="18"/>
      <c r="BF1226" s="18"/>
      <c r="BG1226" s="18"/>
      <c r="BH1226" s="18"/>
      <c r="BI1226" s="18"/>
      <c r="BJ1226" s="18"/>
      <c r="BK1226" s="18"/>
      <c r="BL1226" s="18"/>
      <c r="BM1226" s="18"/>
      <c r="BN1226" s="18"/>
      <c r="BO1226" s="18"/>
      <c r="BP1226" s="18"/>
      <c r="BQ1226" s="18"/>
      <c r="BR1226" s="18"/>
      <c r="BS1226" s="18"/>
      <c r="BT1226" s="18"/>
      <c r="BU1226" s="18"/>
      <c r="BV1226" s="18"/>
      <c r="BW1226" s="18"/>
      <c r="BX1226" s="18"/>
      <c r="BY1226" s="18"/>
      <c r="BZ1226" s="18"/>
      <c r="CA1226" s="18"/>
      <c r="CB1226" s="18"/>
      <c r="CC1226" s="18"/>
      <c r="CD1226" s="18"/>
      <c r="CE1226" s="18"/>
      <c r="CF1226" s="18"/>
      <c r="CG1226" s="18"/>
      <c r="CH1226" s="18"/>
      <c r="CI1226" s="18"/>
      <c r="CJ1226" s="18"/>
      <c r="CK1226" s="18"/>
      <c r="CL1226" s="18"/>
      <c r="CM1226" s="18"/>
      <c r="CN1226" s="18"/>
      <c r="CO1226" s="18"/>
      <c r="CP1226" s="18"/>
      <c r="CQ1226" s="18"/>
      <c r="CR1226" s="18"/>
      <c r="CS1226" s="18"/>
      <c r="CT1226" s="18"/>
      <c r="CU1226" s="18"/>
    </row>
    <row r="1227" spans="1:99">
      <c r="A1227" s="19"/>
      <c r="B1227" s="19"/>
      <c r="C1227" s="19"/>
      <c r="D1227" s="19"/>
      <c r="E1227" s="19"/>
      <c r="F1227" s="19"/>
      <c r="G1227" s="19"/>
      <c r="H1227" s="19"/>
      <c r="I1227" s="19"/>
      <c r="J1227" s="19"/>
      <c r="K1227" s="18"/>
      <c r="L1227" s="18"/>
      <c r="M1227" s="18"/>
      <c r="N1227" s="18"/>
      <c r="O1227" s="18"/>
      <c r="P1227" s="18"/>
      <c r="Q1227" s="18"/>
      <c r="R1227" s="18"/>
      <c r="S1227" s="18"/>
      <c r="T1227" s="18"/>
      <c r="U1227" s="18"/>
      <c r="V1227" s="18"/>
      <c r="W1227" s="18"/>
      <c r="X1227" s="18"/>
      <c r="Y1227" s="18"/>
      <c r="Z1227" s="18"/>
      <c r="AA1227" s="18"/>
      <c r="AB1227" s="18"/>
      <c r="AC1227" s="18"/>
      <c r="AD1227" s="18"/>
      <c r="AE1227" s="18"/>
      <c r="AF1227" s="18"/>
      <c r="AG1227" s="18"/>
      <c r="AH1227" s="18"/>
      <c r="AI1227" s="18"/>
      <c r="AJ1227" s="18"/>
      <c r="AK1227" s="18"/>
      <c r="AL1227" s="18"/>
      <c r="AM1227" s="18"/>
      <c r="AN1227" s="18"/>
      <c r="AO1227" s="18"/>
      <c r="AP1227" s="18"/>
      <c r="AQ1227" s="18"/>
      <c r="AR1227" s="18"/>
      <c r="AS1227" s="18"/>
      <c r="AT1227" s="18"/>
      <c r="AU1227" s="18"/>
      <c r="AV1227" s="18"/>
      <c r="AW1227" s="18"/>
      <c r="AX1227" s="18"/>
      <c r="AY1227" s="18"/>
      <c r="AZ1227" s="18"/>
      <c r="BA1227" s="18"/>
      <c r="BB1227" s="18"/>
      <c r="BC1227" s="18"/>
      <c r="BD1227" s="18"/>
      <c r="BE1227" s="18"/>
      <c r="BF1227" s="18"/>
      <c r="BG1227" s="18"/>
      <c r="BH1227" s="18"/>
      <c r="BI1227" s="18"/>
      <c r="BJ1227" s="18"/>
      <c r="BK1227" s="18"/>
      <c r="BL1227" s="18"/>
      <c r="BM1227" s="18"/>
      <c r="BN1227" s="18"/>
      <c r="BO1227" s="18"/>
      <c r="BP1227" s="18"/>
      <c r="BQ1227" s="18"/>
      <c r="BR1227" s="18"/>
      <c r="BS1227" s="18"/>
      <c r="BT1227" s="18"/>
      <c r="BU1227" s="18"/>
      <c r="BV1227" s="18"/>
      <c r="BW1227" s="18"/>
      <c r="BX1227" s="18"/>
      <c r="BY1227" s="18"/>
      <c r="BZ1227" s="18"/>
      <c r="CA1227" s="18"/>
      <c r="CB1227" s="18"/>
      <c r="CC1227" s="18"/>
      <c r="CD1227" s="18"/>
      <c r="CE1227" s="18"/>
      <c r="CF1227" s="18"/>
      <c r="CG1227" s="18"/>
      <c r="CH1227" s="18"/>
      <c r="CI1227" s="18"/>
      <c r="CJ1227" s="18"/>
      <c r="CK1227" s="18"/>
      <c r="CL1227" s="18"/>
      <c r="CM1227" s="18"/>
      <c r="CN1227" s="18"/>
      <c r="CO1227" s="18"/>
      <c r="CP1227" s="18"/>
      <c r="CQ1227" s="18"/>
      <c r="CR1227" s="18"/>
      <c r="CS1227" s="18"/>
      <c r="CT1227" s="18"/>
      <c r="CU1227" s="18"/>
    </row>
    <row r="1228" spans="1:99">
      <c r="A1228" s="19"/>
      <c r="B1228" s="19"/>
      <c r="C1228" s="19"/>
      <c r="D1228" s="19"/>
      <c r="E1228" s="19"/>
      <c r="F1228" s="19"/>
      <c r="G1228" s="19"/>
      <c r="H1228" s="19"/>
      <c r="I1228" s="19"/>
      <c r="J1228" s="19"/>
      <c r="K1228" s="18"/>
      <c r="L1228" s="18"/>
      <c r="M1228" s="18"/>
      <c r="N1228" s="18"/>
      <c r="O1228" s="18"/>
      <c r="P1228" s="18"/>
      <c r="Q1228" s="18"/>
      <c r="R1228" s="18"/>
      <c r="S1228" s="18"/>
      <c r="T1228" s="18"/>
      <c r="U1228" s="18"/>
      <c r="V1228" s="18"/>
      <c r="W1228" s="18"/>
      <c r="X1228" s="18"/>
      <c r="Y1228" s="18"/>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c r="BC1228" s="18"/>
      <c r="BD1228" s="18"/>
      <c r="BE1228" s="18"/>
      <c r="BF1228" s="18"/>
      <c r="BG1228" s="18"/>
      <c r="BH1228" s="18"/>
      <c r="BI1228" s="18"/>
      <c r="BJ1228" s="18"/>
      <c r="BK1228" s="18"/>
      <c r="BL1228" s="18"/>
      <c r="BM1228" s="18"/>
      <c r="BN1228" s="18"/>
      <c r="BO1228" s="18"/>
      <c r="BP1228" s="18"/>
      <c r="BQ1228" s="18"/>
      <c r="BR1228" s="18"/>
      <c r="BS1228" s="18"/>
      <c r="BT1228" s="18"/>
      <c r="BU1228" s="18"/>
      <c r="BV1228" s="18"/>
      <c r="BW1228" s="18"/>
      <c r="BX1228" s="18"/>
      <c r="BY1228" s="18"/>
      <c r="BZ1228" s="18"/>
      <c r="CA1228" s="18"/>
      <c r="CB1228" s="18"/>
      <c r="CC1228" s="18"/>
      <c r="CD1228" s="18"/>
      <c r="CE1228" s="18"/>
      <c r="CF1228" s="18"/>
      <c r="CG1228" s="18"/>
      <c r="CH1228" s="18"/>
      <c r="CI1228" s="18"/>
      <c r="CJ1228" s="18"/>
      <c r="CK1228" s="18"/>
      <c r="CL1228" s="18"/>
      <c r="CM1228" s="18"/>
      <c r="CN1228" s="18"/>
      <c r="CO1228" s="18"/>
      <c r="CP1228" s="18"/>
      <c r="CQ1228" s="18"/>
      <c r="CR1228" s="18"/>
      <c r="CS1228" s="18"/>
      <c r="CT1228" s="18"/>
      <c r="CU1228" s="18"/>
    </row>
    <row r="1229" spans="1:99">
      <c r="A1229" s="19"/>
      <c r="B1229" s="19"/>
      <c r="C1229" s="19"/>
      <c r="D1229" s="19"/>
      <c r="E1229" s="19"/>
      <c r="F1229" s="19"/>
      <c r="G1229" s="19"/>
      <c r="H1229" s="19"/>
      <c r="I1229" s="19"/>
      <c r="J1229" s="19"/>
      <c r="K1229" s="18"/>
      <c r="L1229" s="18"/>
      <c r="M1229" s="18"/>
      <c r="N1229" s="18"/>
      <c r="O1229" s="18"/>
      <c r="P1229" s="18"/>
      <c r="Q1229" s="18"/>
      <c r="R1229" s="18"/>
      <c r="S1229" s="18"/>
      <c r="T1229" s="18"/>
      <c r="U1229" s="18"/>
      <c r="V1229" s="18"/>
      <c r="W1229" s="18"/>
      <c r="X1229" s="18"/>
      <c r="Y1229" s="18"/>
      <c r="Z1229" s="18"/>
      <c r="AA1229" s="18"/>
      <c r="AB1229" s="18"/>
      <c r="AC1229" s="18"/>
      <c r="AD1229" s="18"/>
      <c r="AE1229" s="18"/>
      <c r="AF1229" s="18"/>
      <c r="AG1229" s="18"/>
      <c r="AH1229" s="18"/>
      <c r="AI1229" s="18"/>
      <c r="AJ1229" s="18"/>
      <c r="AK1229" s="18"/>
      <c r="AL1229" s="18"/>
      <c r="AM1229" s="18"/>
      <c r="AN1229" s="18"/>
      <c r="AO1229" s="18"/>
      <c r="AP1229" s="18"/>
      <c r="AQ1229" s="18"/>
      <c r="AR1229" s="18"/>
      <c r="AS1229" s="18"/>
      <c r="AT1229" s="18"/>
      <c r="AU1229" s="18"/>
      <c r="AV1229" s="18"/>
      <c r="AW1229" s="18"/>
      <c r="AX1229" s="18"/>
      <c r="AY1229" s="18"/>
      <c r="AZ1229" s="18"/>
      <c r="BA1229" s="18"/>
      <c r="BB1229" s="18"/>
      <c r="BC1229" s="18"/>
      <c r="BD1229" s="18"/>
      <c r="BE1229" s="18"/>
      <c r="BF1229" s="18"/>
      <c r="BG1229" s="18"/>
      <c r="BH1229" s="18"/>
      <c r="BI1229" s="18"/>
      <c r="BJ1229" s="18"/>
      <c r="BK1229" s="18"/>
      <c r="BL1229" s="18"/>
      <c r="BM1229" s="18"/>
      <c r="BN1229" s="18"/>
      <c r="BO1229" s="18"/>
      <c r="BP1229" s="18"/>
      <c r="BQ1229" s="18"/>
      <c r="BR1229" s="18"/>
      <c r="BS1229" s="18"/>
      <c r="BT1229" s="18"/>
      <c r="BU1229" s="18"/>
      <c r="BV1229" s="18"/>
      <c r="BW1229" s="18"/>
      <c r="BX1229" s="18"/>
      <c r="BY1229" s="18"/>
      <c r="BZ1229" s="18"/>
      <c r="CA1229" s="18"/>
      <c r="CB1229" s="18"/>
      <c r="CC1229" s="18"/>
      <c r="CD1229" s="18"/>
      <c r="CE1229" s="18"/>
      <c r="CF1229" s="18"/>
      <c r="CG1229" s="18"/>
      <c r="CH1229" s="18"/>
      <c r="CI1229" s="18"/>
      <c r="CJ1229" s="18"/>
      <c r="CK1229" s="18"/>
      <c r="CL1229" s="18"/>
      <c r="CM1229" s="18"/>
      <c r="CN1229" s="18"/>
      <c r="CO1229" s="18"/>
      <c r="CP1229" s="18"/>
      <c r="CQ1229" s="18"/>
      <c r="CR1229" s="18"/>
      <c r="CS1229" s="18"/>
      <c r="CT1229" s="18"/>
      <c r="CU1229" s="18"/>
    </row>
    <row r="1230" spans="1:99">
      <c r="A1230" s="19"/>
      <c r="B1230" s="19"/>
      <c r="C1230" s="19"/>
      <c r="D1230" s="19"/>
      <c r="E1230" s="19"/>
      <c r="F1230" s="19"/>
      <c r="G1230" s="19"/>
      <c r="H1230" s="19"/>
      <c r="I1230" s="19"/>
      <c r="J1230" s="19"/>
      <c r="K1230" s="18"/>
      <c r="L1230" s="18"/>
      <c r="M1230" s="18"/>
      <c r="N1230" s="18"/>
      <c r="O1230" s="18"/>
      <c r="P1230" s="18"/>
      <c r="Q1230" s="18"/>
      <c r="R1230" s="18"/>
      <c r="S1230" s="18"/>
      <c r="T1230" s="18"/>
      <c r="U1230" s="18"/>
      <c r="V1230" s="18"/>
      <c r="W1230" s="18"/>
      <c r="X1230" s="18"/>
      <c r="Y1230" s="18"/>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c r="BC1230" s="18"/>
      <c r="BD1230" s="18"/>
      <c r="BE1230" s="18"/>
      <c r="BF1230" s="18"/>
      <c r="BG1230" s="18"/>
      <c r="BH1230" s="18"/>
      <c r="BI1230" s="18"/>
      <c r="BJ1230" s="18"/>
      <c r="BK1230" s="18"/>
      <c r="BL1230" s="18"/>
      <c r="BM1230" s="18"/>
      <c r="BN1230" s="18"/>
      <c r="BO1230" s="18"/>
      <c r="BP1230" s="18"/>
      <c r="BQ1230" s="18"/>
      <c r="BR1230" s="18"/>
      <c r="BS1230" s="18"/>
      <c r="BT1230" s="18"/>
      <c r="BU1230" s="18"/>
      <c r="BV1230" s="18"/>
      <c r="BW1230" s="18"/>
      <c r="BX1230" s="18"/>
      <c r="BY1230" s="18"/>
      <c r="BZ1230" s="18"/>
      <c r="CA1230" s="18"/>
      <c r="CB1230" s="18"/>
      <c r="CC1230" s="18"/>
      <c r="CD1230" s="18"/>
      <c r="CE1230" s="18"/>
      <c r="CF1230" s="18"/>
      <c r="CG1230" s="18"/>
      <c r="CH1230" s="18"/>
      <c r="CI1230" s="18"/>
      <c r="CJ1230" s="18"/>
      <c r="CK1230" s="18"/>
      <c r="CL1230" s="18"/>
      <c r="CM1230" s="18"/>
      <c r="CN1230" s="18"/>
      <c r="CO1230" s="18"/>
      <c r="CP1230" s="18"/>
      <c r="CQ1230" s="18"/>
      <c r="CR1230" s="18"/>
      <c r="CS1230" s="18"/>
      <c r="CT1230" s="18"/>
      <c r="CU1230" s="18"/>
    </row>
    <row r="1231" spans="1:99">
      <c r="A1231" s="19"/>
      <c r="B1231" s="19"/>
      <c r="C1231" s="19"/>
      <c r="D1231" s="19"/>
      <c r="E1231" s="19"/>
      <c r="F1231" s="19"/>
      <c r="G1231" s="19"/>
      <c r="H1231" s="19"/>
      <c r="I1231" s="19"/>
      <c r="J1231" s="19"/>
      <c r="K1231" s="18"/>
      <c r="L1231" s="18"/>
      <c r="M1231" s="18"/>
      <c r="N1231" s="18"/>
      <c r="O1231" s="18"/>
      <c r="P1231" s="18"/>
      <c r="Q1231" s="18"/>
      <c r="R1231" s="18"/>
      <c r="S1231" s="18"/>
      <c r="T1231" s="18"/>
      <c r="U1231" s="18"/>
      <c r="V1231" s="18"/>
      <c r="W1231" s="18"/>
      <c r="X1231" s="18"/>
      <c r="Y1231" s="18"/>
      <c r="Z1231" s="18"/>
      <c r="AA1231" s="18"/>
      <c r="AB1231" s="18"/>
      <c r="AC1231" s="18"/>
      <c r="AD1231" s="18"/>
      <c r="AE1231" s="18"/>
      <c r="AF1231" s="18"/>
      <c r="AG1231" s="18"/>
      <c r="AH1231" s="18"/>
      <c r="AI1231" s="18"/>
      <c r="AJ1231" s="18"/>
      <c r="AK1231" s="18"/>
      <c r="AL1231" s="18"/>
      <c r="AM1231" s="18"/>
      <c r="AN1231" s="18"/>
      <c r="AO1231" s="18"/>
      <c r="AP1231" s="18"/>
      <c r="AQ1231" s="18"/>
      <c r="AR1231" s="18"/>
      <c r="AS1231" s="18"/>
      <c r="AT1231" s="18"/>
      <c r="AU1231" s="18"/>
      <c r="AV1231" s="18"/>
      <c r="AW1231" s="18"/>
      <c r="AX1231" s="18"/>
      <c r="AY1231" s="18"/>
      <c r="AZ1231" s="18"/>
      <c r="BA1231" s="18"/>
      <c r="BB1231" s="18"/>
      <c r="BC1231" s="18"/>
      <c r="BD1231" s="18"/>
      <c r="BE1231" s="18"/>
      <c r="BF1231" s="18"/>
      <c r="BG1231" s="18"/>
      <c r="BH1231" s="18"/>
      <c r="BI1231" s="18"/>
      <c r="BJ1231" s="18"/>
      <c r="BK1231" s="18"/>
      <c r="BL1231" s="18"/>
      <c r="BM1231" s="18"/>
      <c r="BN1231" s="18"/>
      <c r="BO1231" s="18"/>
      <c r="BP1231" s="18"/>
      <c r="BQ1231" s="18"/>
      <c r="BR1231" s="18"/>
      <c r="BS1231" s="18"/>
      <c r="BT1231" s="18"/>
      <c r="BU1231" s="18"/>
      <c r="BV1231" s="18"/>
      <c r="BW1231" s="18"/>
      <c r="BX1231" s="18"/>
      <c r="BY1231" s="18"/>
      <c r="BZ1231" s="18"/>
      <c r="CA1231" s="18"/>
      <c r="CB1231" s="18"/>
      <c r="CC1231" s="18"/>
      <c r="CD1231" s="18"/>
      <c r="CE1231" s="18"/>
      <c r="CF1231" s="18"/>
      <c r="CG1231" s="18"/>
      <c r="CH1231" s="18"/>
      <c r="CI1231" s="18"/>
      <c r="CJ1231" s="18"/>
      <c r="CK1231" s="18"/>
      <c r="CL1231" s="18"/>
      <c r="CM1231" s="18"/>
      <c r="CN1231" s="18"/>
      <c r="CO1231" s="18"/>
      <c r="CP1231" s="18"/>
      <c r="CQ1231" s="18"/>
      <c r="CR1231" s="18"/>
      <c r="CS1231" s="18"/>
      <c r="CT1231" s="18"/>
      <c r="CU1231" s="18"/>
    </row>
    <row r="1232" spans="1:99">
      <c r="A1232" s="19"/>
      <c r="B1232" s="19"/>
      <c r="C1232" s="19"/>
      <c r="D1232" s="19"/>
      <c r="E1232" s="19"/>
      <c r="F1232" s="19"/>
      <c r="G1232" s="19"/>
      <c r="H1232" s="19"/>
      <c r="I1232" s="19"/>
      <c r="J1232" s="19"/>
      <c r="K1232" s="18"/>
      <c r="L1232" s="18"/>
      <c r="M1232" s="18"/>
      <c r="N1232" s="18"/>
      <c r="O1232" s="18"/>
      <c r="P1232" s="18"/>
      <c r="Q1232" s="18"/>
      <c r="R1232" s="18"/>
      <c r="S1232" s="18"/>
      <c r="T1232" s="18"/>
      <c r="U1232" s="18"/>
      <c r="V1232" s="18"/>
      <c r="W1232" s="18"/>
      <c r="X1232" s="18"/>
      <c r="Y1232" s="18"/>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c r="BC1232" s="18"/>
      <c r="BD1232" s="18"/>
      <c r="BE1232" s="18"/>
      <c r="BF1232" s="18"/>
      <c r="BG1232" s="18"/>
      <c r="BH1232" s="18"/>
      <c r="BI1232" s="18"/>
      <c r="BJ1232" s="18"/>
      <c r="BK1232" s="18"/>
      <c r="BL1232" s="18"/>
      <c r="BM1232" s="18"/>
      <c r="BN1232" s="18"/>
      <c r="BO1232" s="18"/>
      <c r="BP1232" s="18"/>
      <c r="BQ1232" s="18"/>
      <c r="BR1232" s="18"/>
      <c r="BS1232" s="18"/>
      <c r="BT1232" s="18"/>
      <c r="BU1232" s="18"/>
      <c r="BV1232" s="18"/>
      <c r="BW1232" s="18"/>
      <c r="BX1232" s="18"/>
      <c r="BY1232" s="18"/>
      <c r="BZ1232" s="18"/>
      <c r="CA1232" s="18"/>
      <c r="CB1232" s="18"/>
      <c r="CC1232" s="18"/>
      <c r="CD1232" s="18"/>
      <c r="CE1232" s="18"/>
      <c r="CF1232" s="18"/>
      <c r="CG1232" s="18"/>
      <c r="CH1232" s="18"/>
      <c r="CI1232" s="18"/>
      <c r="CJ1232" s="18"/>
      <c r="CK1232" s="18"/>
      <c r="CL1232" s="18"/>
      <c r="CM1232" s="18"/>
      <c r="CN1232" s="18"/>
      <c r="CO1232" s="18"/>
      <c r="CP1232" s="18"/>
      <c r="CQ1232" s="18"/>
      <c r="CR1232" s="18"/>
      <c r="CS1232" s="18"/>
      <c r="CT1232" s="18"/>
      <c r="CU1232" s="18"/>
    </row>
    <row r="1233" spans="1:99">
      <c r="A1233" s="19"/>
      <c r="B1233" s="19"/>
      <c r="C1233" s="19"/>
      <c r="D1233" s="19"/>
      <c r="E1233" s="19"/>
      <c r="F1233" s="19"/>
      <c r="G1233" s="19"/>
      <c r="H1233" s="19"/>
      <c r="I1233" s="19"/>
      <c r="J1233" s="19"/>
      <c r="K1233" s="18"/>
      <c r="L1233" s="18"/>
      <c r="M1233" s="18"/>
      <c r="N1233" s="18"/>
      <c r="O1233" s="18"/>
      <c r="P1233" s="18"/>
      <c r="Q1233" s="18"/>
      <c r="R1233" s="18"/>
      <c r="S1233" s="18"/>
      <c r="T1233" s="18"/>
      <c r="U1233" s="18"/>
      <c r="V1233" s="18"/>
      <c r="W1233" s="18"/>
      <c r="X1233" s="18"/>
      <c r="Y1233" s="18"/>
      <c r="Z1233" s="18"/>
      <c r="AA1233" s="18"/>
      <c r="AB1233" s="18"/>
      <c r="AC1233" s="18"/>
      <c r="AD1233" s="18"/>
      <c r="AE1233" s="18"/>
      <c r="AF1233" s="18"/>
      <c r="AG1233" s="18"/>
      <c r="AH1233" s="18"/>
      <c r="AI1233" s="18"/>
      <c r="AJ1233" s="18"/>
      <c r="AK1233" s="18"/>
      <c r="AL1233" s="18"/>
      <c r="AM1233" s="18"/>
      <c r="AN1233" s="18"/>
      <c r="AO1233" s="18"/>
      <c r="AP1233" s="18"/>
      <c r="AQ1233" s="18"/>
      <c r="AR1233" s="18"/>
      <c r="AS1233" s="18"/>
      <c r="AT1233" s="18"/>
      <c r="AU1233" s="18"/>
      <c r="AV1233" s="18"/>
      <c r="AW1233" s="18"/>
      <c r="AX1233" s="18"/>
      <c r="AY1233" s="18"/>
      <c r="AZ1233" s="18"/>
      <c r="BA1233" s="18"/>
      <c r="BB1233" s="18"/>
      <c r="BC1233" s="18"/>
      <c r="BD1233" s="18"/>
      <c r="BE1233" s="18"/>
      <c r="BF1233" s="18"/>
      <c r="BG1233" s="18"/>
      <c r="BH1233" s="18"/>
      <c r="BI1233" s="18"/>
      <c r="BJ1233" s="18"/>
      <c r="BK1233" s="18"/>
      <c r="BL1233" s="18"/>
      <c r="BM1233" s="18"/>
      <c r="BN1233" s="18"/>
      <c r="BO1233" s="18"/>
      <c r="BP1233" s="18"/>
      <c r="BQ1233" s="18"/>
      <c r="BR1233" s="18"/>
      <c r="BS1233" s="18"/>
      <c r="BT1233" s="18"/>
      <c r="BU1233" s="18"/>
      <c r="BV1233" s="18"/>
      <c r="BW1233" s="18"/>
      <c r="BX1233" s="18"/>
      <c r="BY1233" s="18"/>
      <c r="BZ1233" s="18"/>
      <c r="CA1233" s="18"/>
      <c r="CB1233" s="18"/>
      <c r="CC1233" s="18"/>
      <c r="CD1233" s="18"/>
      <c r="CE1233" s="18"/>
      <c r="CF1233" s="18"/>
      <c r="CG1233" s="18"/>
      <c r="CH1233" s="18"/>
      <c r="CI1233" s="18"/>
      <c r="CJ1233" s="18"/>
      <c r="CK1233" s="18"/>
      <c r="CL1233" s="18"/>
      <c r="CM1233" s="18"/>
      <c r="CN1233" s="18"/>
      <c r="CO1233" s="18"/>
      <c r="CP1233" s="18"/>
      <c r="CQ1233" s="18"/>
      <c r="CR1233" s="18"/>
      <c r="CS1233" s="18"/>
      <c r="CT1233" s="18"/>
      <c r="CU1233" s="18"/>
    </row>
    <row r="1234" spans="1:99">
      <c r="A1234" s="19"/>
      <c r="B1234" s="19"/>
      <c r="C1234" s="19"/>
      <c r="D1234" s="19"/>
      <c r="E1234" s="19"/>
      <c r="F1234" s="19"/>
      <c r="G1234" s="19"/>
      <c r="H1234" s="19"/>
      <c r="I1234" s="19"/>
      <c r="J1234" s="19"/>
      <c r="K1234" s="18"/>
      <c r="L1234" s="18"/>
      <c r="M1234" s="18"/>
      <c r="N1234" s="18"/>
      <c r="O1234" s="18"/>
      <c r="P1234" s="18"/>
      <c r="Q1234" s="18"/>
      <c r="R1234" s="18"/>
      <c r="S1234" s="18"/>
      <c r="T1234" s="18"/>
      <c r="U1234" s="18"/>
      <c r="V1234" s="18"/>
      <c r="W1234" s="18"/>
      <c r="X1234" s="18"/>
      <c r="Y1234" s="18"/>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c r="BC1234" s="18"/>
      <c r="BD1234" s="18"/>
      <c r="BE1234" s="18"/>
      <c r="BF1234" s="18"/>
      <c r="BG1234" s="18"/>
      <c r="BH1234" s="18"/>
      <c r="BI1234" s="18"/>
      <c r="BJ1234" s="18"/>
      <c r="BK1234" s="18"/>
      <c r="BL1234" s="18"/>
      <c r="BM1234" s="18"/>
      <c r="BN1234" s="18"/>
      <c r="BO1234" s="18"/>
      <c r="BP1234" s="18"/>
      <c r="BQ1234" s="18"/>
      <c r="BR1234" s="18"/>
      <c r="BS1234" s="18"/>
      <c r="BT1234" s="18"/>
      <c r="BU1234" s="18"/>
      <c r="BV1234" s="18"/>
      <c r="BW1234" s="18"/>
      <c r="BX1234" s="18"/>
      <c r="BY1234" s="18"/>
      <c r="BZ1234" s="18"/>
      <c r="CA1234" s="18"/>
      <c r="CB1234" s="18"/>
      <c r="CC1234" s="18"/>
      <c r="CD1234" s="18"/>
      <c r="CE1234" s="18"/>
      <c r="CF1234" s="18"/>
      <c r="CG1234" s="18"/>
      <c r="CH1234" s="18"/>
      <c r="CI1234" s="18"/>
      <c r="CJ1234" s="18"/>
      <c r="CK1234" s="18"/>
      <c r="CL1234" s="18"/>
      <c r="CM1234" s="18"/>
      <c r="CN1234" s="18"/>
      <c r="CO1234" s="18"/>
      <c r="CP1234" s="18"/>
      <c r="CQ1234" s="18"/>
      <c r="CR1234" s="18"/>
      <c r="CS1234" s="18"/>
      <c r="CT1234" s="18"/>
      <c r="CU1234" s="18"/>
    </row>
    <row r="1235" spans="1:99">
      <c r="A1235" s="19"/>
      <c r="B1235" s="19"/>
      <c r="C1235" s="19"/>
      <c r="D1235" s="19"/>
      <c r="E1235" s="19"/>
      <c r="F1235" s="19"/>
      <c r="G1235" s="19"/>
      <c r="H1235" s="19"/>
      <c r="I1235" s="19"/>
      <c r="J1235" s="19"/>
      <c r="K1235" s="18"/>
      <c r="L1235" s="18"/>
      <c r="M1235" s="18"/>
      <c r="N1235" s="18"/>
      <c r="O1235" s="18"/>
      <c r="P1235" s="18"/>
      <c r="Q1235" s="18"/>
      <c r="R1235" s="18"/>
      <c r="S1235" s="18"/>
      <c r="T1235" s="18"/>
      <c r="U1235" s="18"/>
      <c r="V1235" s="18"/>
      <c r="W1235" s="18"/>
      <c r="X1235" s="18"/>
      <c r="Y1235" s="18"/>
      <c r="Z1235" s="18"/>
      <c r="AA1235" s="18"/>
      <c r="AB1235" s="18"/>
      <c r="AC1235" s="18"/>
      <c r="AD1235" s="18"/>
      <c r="AE1235" s="18"/>
      <c r="AF1235" s="18"/>
      <c r="AG1235" s="18"/>
      <c r="AH1235" s="18"/>
      <c r="AI1235" s="18"/>
      <c r="AJ1235" s="18"/>
      <c r="AK1235" s="18"/>
      <c r="AL1235" s="18"/>
      <c r="AM1235" s="18"/>
      <c r="AN1235" s="18"/>
      <c r="AO1235" s="18"/>
      <c r="AP1235" s="18"/>
      <c r="AQ1235" s="18"/>
      <c r="AR1235" s="18"/>
      <c r="AS1235" s="18"/>
      <c r="AT1235" s="18"/>
      <c r="AU1235" s="18"/>
      <c r="AV1235" s="18"/>
      <c r="AW1235" s="18"/>
      <c r="AX1235" s="18"/>
      <c r="AY1235" s="18"/>
      <c r="AZ1235" s="18"/>
      <c r="BA1235" s="18"/>
      <c r="BB1235" s="18"/>
      <c r="BC1235" s="18"/>
      <c r="BD1235" s="18"/>
      <c r="BE1235" s="18"/>
      <c r="BF1235" s="18"/>
      <c r="BG1235" s="18"/>
      <c r="BH1235" s="18"/>
      <c r="BI1235" s="18"/>
      <c r="BJ1235" s="18"/>
      <c r="BK1235" s="18"/>
      <c r="BL1235" s="18"/>
      <c r="BM1235" s="18"/>
      <c r="BN1235" s="18"/>
      <c r="BO1235" s="18"/>
      <c r="BP1235" s="18"/>
      <c r="BQ1235" s="18"/>
      <c r="BR1235" s="18"/>
      <c r="BS1235" s="18"/>
      <c r="BT1235" s="18"/>
      <c r="BU1235" s="18"/>
      <c r="BV1235" s="18"/>
      <c r="BW1235" s="18"/>
      <c r="BX1235" s="18"/>
      <c r="BY1235" s="18"/>
      <c r="BZ1235" s="18"/>
      <c r="CA1235" s="18"/>
      <c r="CB1235" s="18"/>
      <c r="CC1235" s="18"/>
      <c r="CD1235" s="18"/>
      <c r="CE1235" s="18"/>
      <c r="CF1235" s="18"/>
      <c r="CG1235" s="18"/>
      <c r="CH1235" s="18"/>
      <c r="CI1235" s="18"/>
      <c r="CJ1235" s="18"/>
      <c r="CK1235" s="18"/>
      <c r="CL1235" s="18"/>
      <c r="CM1235" s="18"/>
      <c r="CN1235" s="18"/>
      <c r="CO1235" s="18"/>
      <c r="CP1235" s="18"/>
      <c r="CQ1235" s="18"/>
      <c r="CR1235" s="18"/>
      <c r="CS1235" s="18"/>
      <c r="CT1235" s="18"/>
      <c r="CU1235" s="18"/>
    </row>
    <row r="1236" spans="1:99">
      <c r="A1236" s="19"/>
      <c r="B1236" s="19"/>
      <c r="C1236" s="19"/>
      <c r="D1236" s="19"/>
      <c r="E1236" s="19"/>
      <c r="F1236" s="19"/>
      <c r="G1236" s="19"/>
      <c r="H1236" s="19"/>
      <c r="I1236" s="19"/>
      <c r="J1236" s="19"/>
      <c r="K1236" s="18"/>
      <c r="L1236" s="18"/>
      <c r="M1236" s="18"/>
      <c r="N1236" s="18"/>
      <c r="O1236" s="18"/>
      <c r="P1236" s="18"/>
      <c r="Q1236" s="18"/>
      <c r="R1236" s="18"/>
      <c r="S1236" s="18"/>
      <c r="T1236" s="18"/>
      <c r="U1236" s="18"/>
      <c r="V1236" s="18"/>
      <c r="W1236" s="18"/>
      <c r="X1236" s="18"/>
      <c r="Y1236" s="18"/>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c r="BC1236" s="18"/>
      <c r="BD1236" s="18"/>
      <c r="BE1236" s="18"/>
      <c r="BF1236" s="18"/>
      <c r="BG1236" s="18"/>
      <c r="BH1236" s="18"/>
      <c r="BI1236" s="18"/>
      <c r="BJ1236" s="18"/>
      <c r="BK1236" s="18"/>
      <c r="BL1236" s="18"/>
      <c r="BM1236" s="18"/>
      <c r="BN1236" s="18"/>
      <c r="BO1236" s="18"/>
      <c r="BP1236" s="18"/>
      <c r="BQ1236" s="18"/>
      <c r="BR1236" s="18"/>
      <c r="BS1236" s="18"/>
      <c r="BT1236" s="18"/>
      <c r="BU1236" s="18"/>
      <c r="BV1236" s="18"/>
      <c r="BW1236" s="18"/>
      <c r="BX1236" s="18"/>
      <c r="BY1236" s="18"/>
      <c r="BZ1236" s="18"/>
      <c r="CA1236" s="18"/>
      <c r="CB1236" s="18"/>
      <c r="CC1236" s="18"/>
      <c r="CD1236" s="18"/>
      <c r="CE1236" s="18"/>
      <c r="CF1236" s="18"/>
      <c r="CG1236" s="18"/>
      <c r="CH1236" s="18"/>
      <c r="CI1236" s="18"/>
      <c r="CJ1236" s="18"/>
      <c r="CK1236" s="18"/>
      <c r="CL1236" s="18"/>
      <c r="CM1236" s="18"/>
      <c r="CN1236" s="18"/>
      <c r="CO1236" s="18"/>
      <c r="CP1236" s="18"/>
      <c r="CQ1236" s="18"/>
      <c r="CR1236" s="18"/>
      <c r="CS1236" s="18"/>
      <c r="CT1236" s="18"/>
      <c r="CU1236" s="18"/>
    </row>
    <row r="1237" spans="1:99">
      <c r="A1237" s="19"/>
      <c r="B1237" s="19"/>
      <c r="C1237" s="19"/>
      <c r="D1237" s="19"/>
      <c r="E1237" s="19"/>
      <c r="F1237" s="19"/>
      <c r="G1237" s="19"/>
      <c r="H1237" s="19"/>
      <c r="I1237" s="19"/>
      <c r="J1237" s="19"/>
      <c r="K1237" s="18"/>
      <c r="L1237" s="18"/>
      <c r="M1237" s="18"/>
      <c r="N1237" s="18"/>
      <c r="O1237" s="18"/>
      <c r="P1237" s="18"/>
      <c r="Q1237" s="18"/>
      <c r="R1237" s="18"/>
      <c r="S1237" s="18"/>
      <c r="T1237" s="18"/>
      <c r="U1237" s="18"/>
      <c r="V1237" s="18"/>
      <c r="W1237" s="18"/>
      <c r="X1237" s="18"/>
      <c r="Y1237" s="18"/>
      <c r="Z1237" s="18"/>
      <c r="AA1237" s="18"/>
      <c r="AB1237" s="18"/>
      <c r="AC1237" s="18"/>
      <c r="AD1237" s="18"/>
      <c r="AE1237" s="18"/>
      <c r="AF1237" s="18"/>
      <c r="AG1237" s="18"/>
      <c r="AH1237" s="18"/>
      <c r="AI1237" s="18"/>
      <c r="AJ1237" s="18"/>
      <c r="AK1237" s="18"/>
      <c r="AL1237" s="18"/>
      <c r="AM1237" s="18"/>
      <c r="AN1237" s="18"/>
      <c r="AO1237" s="18"/>
      <c r="AP1237" s="18"/>
      <c r="AQ1237" s="18"/>
      <c r="AR1237" s="18"/>
      <c r="AS1237" s="18"/>
      <c r="AT1237" s="18"/>
      <c r="AU1237" s="18"/>
      <c r="AV1237" s="18"/>
      <c r="AW1237" s="18"/>
      <c r="AX1237" s="18"/>
      <c r="AY1237" s="18"/>
      <c r="AZ1237" s="18"/>
      <c r="BA1237" s="18"/>
      <c r="BB1237" s="18"/>
      <c r="BC1237" s="18"/>
      <c r="BD1237" s="18"/>
      <c r="BE1237" s="18"/>
      <c r="BF1237" s="18"/>
      <c r="BG1237" s="18"/>
      <c r="BH1237" s="18"/>
      <c r="BI1237" s="18"/>
      <c r="BJ1237" s="18"/>
      <c r="BK1237" s="18"/>
      <c r="BL1237" s="18"/>
      <c r="BM1237" s="18"/>
      <c r="BN1237" s="18"/>
      <c r="BO1237" s="18"/>
      <c r="BP1237" s="18"/>
      <c r="BQ1237" s="18"/>
      <c r="BR1237" s="18"/>
      <c r="BS1237" s="18"/>
      <c r="BT1237" s="18"/>
      <c r="BU1237" s="18"/>
      <c r="BV1237" s="18"/>
      <c r="BW1237" s="18"/>
      <c r="BX1237" s="18"/>
      <c r="BY1237" s="18"/>
      <c r="BZ1237" s="18"/>
      <c r="CA1237" s="18"/>
      <c r="CB1237" s="18"/>
      <c r="CC1237" s="18"/>
      <c r="CD1237" s="18"/>
      <c r="CE1237" s="18"/>
      <c r="CF1237" s="18"/>
      <c r="CG1237" s="18"/>
      <c r="CH1237" s="18"/>
      <c r="CI1237" s="18"/>
      <c r="CJ1237" s="18"/>
      <c r="CK1237" s="18"/>
      <c r="CL1237" s="18"/>
      <c r="CM1237" s="18"/>
      <c r="CN1237" s="18"/>
      <c r="CO1237" s="18"/>
      <c r="CP1237" s="18"/>
      <c r="CQ1237" s="18"/>
      <c r="CR1237" s="18"/>
      <c r="CS1237" s="18"/>
      <c r="CT1237" s="18"/>
      <c r="CU1237" s="18"/>
    </row>
    <row r="1238" spans="1:99">
      <c r="A1238" s="19"/>
      <c r="B1238" s="19"/>
      <c r="C1238" s="19"/>
      <c r="D1238" s="19"/>
      <c r="E1238" s="19"/>
      <c r="F1238" s="19"/>
      <c r="G1238" s="19"/>
      <c r="H1238" s="19"/>
      <c r="I1238" s="19"/>
      <c r="J1238" s="19"/>
      <c r="K1238" s="18"/>
      <c r="L1238" s="18"/>
      <c r="M1238" s="18"/>
      <c r="N1238" s="18"/>
      <c r="O1238" s="18"/>
      <c r="P1238" s="18"/>
      <c r="Q1238" s="18"/>
      <c r="R1238" s="18"/>
      <c r="S1238" s="18"/>
      <c r="T1238" s="18"/>
      <c r="U1238" s="18"/>
      <c r="V1238" s="18"/>
      <c r="W1238" s="18"/>
      <c r="X1238" s="18"/>
      <c r="Y1238" s="18"/>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c r="BC1238" s="18"/>
      <c r="BD1238" s="18"/>
      <c r="BE1238" s="18"/>
      <c r="BF1238" s="18"/>
      <c r="BG1238" s="18"/>
      <c r="BH1238" s="18"/>
      <c r="BI1238" s="18"/>
      <c r="BJ1238" s="18"/>
      <c r="BK1238" s="18"/>
      <c r="BL1238" s="18"/>
      <c r="BM1238" s="18"/>
      <c r="BN1238" s="18"/>
      <c r="BO1238" s="18"/>
      <c r="BP1238" s="18"/>
      <c r="BQ1238" s="18"/>
      <c r="BR1238" s="18"/>
      <c r="BS1238" s="18"/>
      <c r="BT1238" s="18"/>
      <c r="BU1238" s="18"/>
      <c r="BV1238" s="18"/>
      <c r="BW1238" s="18"/>
      <c r="BX1238" s="18"/>
      <c r="BY1238" s="18"/>
      <c r="BZ1238" s="18"/>
      <c r="CA1238" s="18"/>
      <c r="CB1238" s="18"/>
      <c r="CC1238" s="18"/>
      <c r="CD1238" s="18"/>
      <c r="CE1238" s="18"/>
      <c r="CF1238" s="18"/>
      <c r="CG1238" s="18"/>
      <c r="CH1238" s="18"/>
      <c r="CI1238" s="18"/>
      <c r="CJ1238" s="18"/>
      <c r="CK1238" s="18"/>
      <c r="CL1238" s="18"/>
      <c r="CM1238" s="18"/>
      <c r="CN1238" s="18"/>
      <c r="CO1238" s="18"/>
      <c r="CP1238" s="18"/>
      <c r="CQ1238" s="18"/>
      <c r="CR1238" s="18"/>
      <c r="CS1238" s="18"/>
      <c r="CT1238" s="18"/>
      <c r="CU1238" s="18"/>
    </row>
    <row r="1239" spans="1:99">
      <c r="A1239" s="19"/>
      <c r="B1239" s="19"/>
      <c r="C1239" s="19"/>
      <c r="D1239" s="19"/>
      <c r="E1239" s="19"/>
      <c r="F1239" s="19"/>
      <c r="G1239" s="19"/>
      <c r="H1239" s="19"/>
      <c r="I1239" s="19"/>
      <c r="J1239" s="19"/>
      <c r="K1239" s="18"/>
      <c r="L1239" s="18"/>
      <c r="M1239" s="18"/>
      <c r="N1239" s="18"/>
      <c r="O1239" s="18"/>
      <c r="P1239" s="18"/>
      <c r="Q1239" s="18"/>
      <c r="R1239" s="18"/>
      <c r="S1239" s="18"/>
      <c r="T1239" s="18"/>
      <c r="U1239" s="18"/>
      <c r="V1239" s="18"/>
      <c r="W1239" s="18"/>
      <c r="X1239" s="18"/>
      <c r="Y1239" s="18"/>
      <c r="Z1239" s="18"/>
      <c r="AA1239" s="18"/>
      <c r="AB1239" s="18"/>
      <c r="AC1239" s="18"/>
      <c r="AD1239" s="18"/>
      <c r="AE1239" s="18"/>
      <c r="AF1239" s="18"/>
      <c r="AG1239" s="18"/>
      <c r="AH1239" s="18"/>
      <c r="AI1239" s="18"/>
      <c r="AJ1239" s="18"/>
      <c r="AK1239" s="18"/>
      <c r="AL1239" s="18"/>
      <c r="AM1239" s="18"/>
      <c r="AN1239" s="18"/>
      <c r="AO1239" s="18"/>
      <c r="AP1239" s="18"/>
      <c r="AQ1239" s="18"/>
      <c r="AR1239" s="18"/>
      <c r="AS1239" s="18"/>
      <c r="AT1239" s="18"/>
      <c r="AU1239" s="18"/>
      <c r="AV1239" s="18"/>
      <c r="AW1239" s="18"/>
      <c r="AX1239" s="18"/>
      <c r="AY1239" s="18"/>
      <c r="AZ1239" s="18"/>
      <c r="BA1239" s="18"/>
      <c r="BB1239" s="18"/>
      <c r="BC1239" s="18"/>
      <c r="BD1239" s="18"/>
      <c r="BE1239" s="18"/>
      <c r="BF1239" s="18"/>
      <c r="BG1239" s="18"/>
      <c r="BH1239" s="18"/>
      <c r="BI1239" s="18"/>
      <c r="BJ1239" s="18"/>
      <c r="BK1239" s="18"/>
      <c r="BL1239" s="18"/>
      <c r="BM1239" s="18"/>
      <c r="BN1239" s="18"/>
      <c r="BO1239" s="18"/>
      <c r="BP1239" s="18"/>
      <c r="BQ1239" s="18"/>
      <c r="BR1239" s="18"/>
      <c r="BS1239" s="18"/>
      <c r="BT1239" s="18"/>
      <c r="BU1239" s="18"/>
      <c r="BV1239" s="18"/>
      <c r="BW1239" s="18"/>
      <c r="BX1239" s="18"/>
      <c r="BY1239" s="18"/>
      <c r="BZ1239" s="18"/>
      <c r="CA1239" s="18"/>
      <c r="CB1239" s="18"/>
      <c r="CC1239" s="18"/>
      <c r="CD1239" s="18"/>
      <c r="CE1239" s="18"/>
      <c r="CF1239" s="18"/>
      <c r="CG1239" s="18"/>
      <c r="CH1239" s="18"/>
      <c r="CI1239" s="18"/>
      <c r="CJ1239" s="18"/>
      <c r="CK1239" s="18"/>
      <c r="CL1239" s="18"/>
      <c r="CM1239" s="18"/>
      <c r="CN1239" s="18"/>
      <c r="CO1239" s="18"/>
      <c r="CP1239" s="18"/>
      <c r="CQ1239" s="18"/>
      <c r="CR1239" s="18"/>
      <c r="CS1239" s="18"/>
      <c r="CT1239" s="18"/>
      <c r="CU1239" s="18"/>
    </row>
    <row r="1240" spans="1:99">
      <c r="A1240" s="19"/>
      <c r="B1240" s="19"/>
      <c r="C1240" s="19"/>
      <c r="D1240" s="19"/>
      <c r="E1240" s="19"/>
      <c r="F1240" s="19"/>
      <c r="G1240" s="19"/>
      <c r="H1240" s="19"/>
      <c r="I1240" s="19"/>
      <c r="J1240" s="19"/>
      <c r="K1240" s="18"/>
      <c r="L1240" s="18"/>
      <c r="M1240" s="18"/>
      <c r="N1240" s="18"/>
      <c r="O1240" s="18"/>
      <c r="P1240" s="18"/>
      <c r="Q1240" s="18"/>
      <c r="R1240" s="18"/>
      <c r="S1240" s="18"/>
      <c r="T1240" s="18"/>
      <c r="U1240" s="18"/>
      <c r="V1240" s="18"/>
      <c r="W1240" s="18"/>
      <c r="X1240" s="18"/>
      <c r="Y1240" s="18"/>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c r="BC1240" s="18"/>
      <c r="BD1240" s="18"/>
      <c r="BE1240" s="18"/>
      <c r="BF1240" s="18"/>
      <c r="BG1240" s="18"/>
      <c r="BH1240" s="18"/>
      <c r="BI1240" s="18"/>
      <c r="BJ1240" s="18"/>
      <c r="BK1240" s="18"/>
      <c r="BL1240" s="18"/>
      <c r="BM1240" s="18"/>
      <c r="BN1240" s="18"/>
      <c r="BO1240" s="18"/>
      <c r="BP1240" s="18"/>
      <c r="BQ1240" s="18"/>
      <c r="BR1240" s="18"/>
      <c r="BS1240" s="18"/>
      <c r="BT1240" s="18"/>
      <c r="BU1240" s="18"/>
      <c r="BV1240" s="18"/>
      <c r="BW1240" s="18"/>
      <c r="BX1240" s="18"/>
      <c r="BY1240" s="18"/>
      <c r="BZ1240" s="18"/>
      <c r="CA1240" s="18"/>
      <c r="CB1240" s="18"/>
      <c r="CC1240" s="18"/>
      <c r="CD1240" s="18"/>
      <c r="CE1240" s="18"/>
      <c r="CF1240" s="18"/>
      <c r="CG1240" s="18"/>
      <c r="CH1240" s="18"/>
      <c r="CI1240" s="18"/>
      <c r="CJ1240" s="18"/>
      <c r="CK1240" s="18"/>
      <c r="CL1240" s="18"/>
      <c r="CM1240" s="18"/>
      <c r="CN1240" s="18"/>
      <c r="CO1240" s="18"/>
      <c r="CP1240" s="18"/>
      <c r="CQ1240" s="18"/>
      <c r="CR1240" s="18"/>
      <c r="CS1240" s="18"/>
      <c r="CT1240" s="18"/>
      <c r="CU1240" s="18"/>
    </row>
    <row r="1241" spans="1:99">
      <c r="A1241" s="19"/>
      <c r="B1241" s="19"/>
      <c r="C1241" s="19"/>
      <c r="D1241" s="19"/>
      <c r="E1241" s="19"/>
      <c r="F1241" s="19"/>
      <c r="G1241" s="19"/>
      <c r="H1241" s="19"/>
      <c r="I1241" s="19"/>
      <c r="J1241" s="19"/>
      <c r="K1241" s="18"/>
      <c r="L1241" s="18"/>
      <c r="M1241" s="18"/>
      <c r="N1241" s="18"/>
      <c r="O1241" s="18"/>
      <c r="P1241" s="18"/>
      <c r="Q1241" s="18"/>
      <c r="R1241" s="18"/>
      <c r="S1241" s="18"/>
      <c r="T1241" s="18"/>
      <c r="U1241" s="18"/>
      <c r="V1241" s="18"/>
      <c r="W1241" s="18"/>
      <c r="X1241" s="18"/>
      <c r="Y1241" s="18"/>
      <c r="Z1241" s="18"/>
      <c r="AA1241" s="18"/>
      <c r="AB1241" s="18"/>
      <c r="AC1241" s="18"/>
      <c r="AD1241" s="18"/>
      <c r="AE1241" s="18"/>
      <c r="AF1241" s="18"/>
      <c r="AG1241" s="18"/>
      <c r="AH1241" s="18"/>
      <c r="AI1241" s="18"/>
      <c r="AJ1241" s="18"/>
      <c r="AK1241" s="18"/>
      <c r="AL1241" s="18"/>
      <c r="AM1241" s="18"/>
      <c r="AN1241" s="18"/>
      <c r="AO1241" s="18"/>
      <c r="AP1241" s="18"/>
      <c r="AQ1241" s="18"/>
      <c r="AR1241" s="18"/>
      <c r="AS1241" s="18"/>
      <c r="AT1241" s="18"/>
      <c r="AU1241" s="18"/>
      <c r="AV1241" s="18"/>
      <c r="AW1241" s="18"/>
      <c r="AX1241" s="18"/>
      <c r="AY1241" s="18"/>
      <c r="AZ1241" s="18"/>
      <c r="BA1241" s="18"/>
      <c r="BB1241" s="18"/>
      <c r="BC1241" s="18"/>
      <c r="BD1241" s="18"/>
      <c r="BE1241" s="18"/>
      <c r="BF1241" s="18"/>
      <c r="BG1241" s="18"/>
      <c r="BH1241" s="18"/>
      <c r="BI1241" s="18"/>
      <c r="BJ1241" s="18"/>
      <c r="BK1241" s="18"/>
      <c r="BL1241" s="18"/>
      <c r="BM1241" s="18"/>
      <c r="BN1241" s="18"/>
      <c r="BO1241" s="18"/>
      <c r="BP1241" s="18"/>
      <c r="BQ1241" s="18"/>
      <c r="BR1241" s="18"/>
      <c r="BS1241" s="18"/>
      <c r="BT1241" s="18"/>
      <c r="BU1241" s="18"/>
      <c r="BV1241" s="18"/>
      <c r="BW1241" s="18"/>
      <c r="BX1241" s="18"/>
      <c r="BY1241" s="18"/>
      <c r="BZ1241" s="18"/>
      <c r="CA1241" s="18"/>
      <c r="CB1241" s="18"/>
      <c r="CC1241" s="18"/>
      <c r="CD1241" s="18"/>
      <c r="CE1241" s="18"/>
      <c r="CF1241" s="18"/>
      <c r="CG1241" s="18"/>
      <c r="CH1241" s="18"/>
      <c r="CI1241" s="18"/>
      <c r="CJ1241" s="18"/>
      <c r="CK1241" s="18"/>
      <c r="CL1241" s="18"/>
      <c r="CM1241" s="18"/>
      <c r="CN1241" s="18"/>
      <c r="CO1241" s="18"/>
      <c r="CP1241" s="18"/>
      <c r="CQ1241" s="18"/>
      <c r="CR1241" s="18"/>
      <c r="CS1241" s="18"/>
      <c r="CT1241" s="18"/>
      <c r="CU1241" s="18"/>
    </row>
    <row r="1242" spans="1:99">
      <c r="A1242" s="19"/>
      <c r="B1242" s="19"/>
      <c r="C1242" s="19"/>
      <c r="D1242" s="19"/>
      <c r="E1242" s="19"/>
      <c r="F1242" s="19"/>
      <c r="G1242" s="19"/>
      <c r="H1242" s="19"/>
      <c r="I1242" s="19"/>
      <c r="J1242" s="19"/>
      <c r="K1242" s="18"/>
      <c r="L1242" s="18"/>
      <c r="M1242" s="18"/>
      <c r="N1242" s="18"/>
      <c r="O1242" s="18"/>
      <c r="P1242" s="18"/>
      <c r="Q1242" s="18"/>
      <c r="R1242" s="18"/>
      <c r="S1242" s="18"/>
      <c r="T1242" s="18"/>
      <c r="U1242" s="18"/>
      <c r="V1242" s="18"/>
      <c r="W1242" s="18"/>
      <c r="X1242" s="18"/>
      <c r="Y1242" s="18"/>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c r="BC1242" s="18"/>
      <c r="BD1242" s="18"/>
      <c r="BE1242" s="18"/>
      <c r="BF1242" s="18"/>
      <c r="BG1242" s="18"/>
      <c r="BH1242" s="18"/>
      <c r="BI1242" s="18"/>
      <c r="BJ1242" s="18"/>
      <c r="BK1242" s="18"/>
      <c r="BL1242" s="18"/>
      <c r="BM1242" s="18"/>
      <c r="BN1242" s="18"/>
      <c r="BO1242" s="18"/>
      <c r="BP1242" s="18"/>
      <c r="BQ1242" s="18"/>
      <c r="BR1242" s="18"/>
      <c r="BS1242" s="18"/>
      <c r="BT1242" s="18"/>
      <c r="BU1242" s="18"/>
      <c r="BV1242" s="18"/>
      <c r="BW1242" s="18"/>
      <c r="BX1242" s="18"/>
      <c r="BY1242" s="18"/>
      <c r="BZ1242" s="18"/>
      <c r="CA1242" s="18"/>
      <c r="CB1242" s="18"/>
      <c r="CC1242" s="18"/>
      <c r="CD1242" s="18"/>
      <c r="CE1242" s="18"/>
      <c r="CF1242" s="18"/>
      <c r="CG1242" s="18"/>
      <c r="CH1242" s="18"/>
      <c r="CI1242" s="18"/>
      <c r="CJ1242" s="18"/>
      <c r="CK1242" s="18"/>
      <c r="CL1242" s="18"/>
      <c r="CM1242" s="18"/>
      <c r="CN1242" s="18"/>
      <c r="CO1242" s="18"/>
      <c r="CP1242" s="18"/>
      <c r="CQ1242" s="18"/>
      <c r="CR1242" s="18"/>
      <c r="CS1242" s="18"/>
      <c r="CT1242" s="18"/>
      <c r="CU1242" s="18"/>
    </row>
    <row r="1243" spans="1:99">
      <c r="A1243" s="19"/>
      <c r="B1243" s="19"/>
      <c r="C1243" s="19"/>
      <c r="D1243" s="19"/>
      <c r="E1243" s="19"/>
      <c r="F1243" s="19"/>
      <c r="G1243" s="19"/>
      <c r="H1243" s="19"/>
      <c r="I1243" s="19"/>
      <c r="J1243" s="19"/>
      <c r="K1243" s="18"/>
      <c r="L1243" s="18"/>
      <c r="M1243" s="18"/>
      <c r="N1243" s="18"/>
      <c r="O1243" s="18"/>
      <c r="P1243" s="18"/>
      <c r="Q1243" s="18"/>
      <c r="R1243" s="18"/>
      <c r="S1243" s="18"/>
      <c r="T1243" s="18"/>
      <c r="U1243" s="18"/>
      <c r="V1243" s="18"/>
      <c r="W1243" s="18"/>
      <c r="X1243" s="18"/>
      <c r="Y1243" s="18"/>
      <c r="Z1243" s="18"/>
      <c r="AA1243" s="18"/>
      <c r="AB1243" s="18"/>
      <c r="AC1243" s="18"/>
      <c r="AD1243" s="18"/>
      <c r="AE1243" s="18"/>
      <c r="AF1243" s="18"/>
      <c r="AG1243" s="18"/>
      <c r="AH1243" s="18"/>
      <c r="AI1243" s="18"/>
      <c r="AJ1243" s="18"/>
      <c r="AK1243" s="18"/>
      <c r="AL1243" s="18"/>
      <c r="AM1243" s="18"/>
      <c r="AN1243" s="18"/>
      <c r="AO1243" s="18"/>
      <c r="AP1243" s="18"/>
      <c r="AQ1243" s="18"/>
      <c r="AR1243" s="18"/>
      <c r="AS1243" s="18"/>
      <c r="AT1243" s="18"/>
      <c r="AU1243" s="18"/>
      <c r="AV1243" s="18"/>
      <c r="AW1243" s="18"/>
      <c r="AX1243" s="18"/>
      <c r="AY1243" s="18"/>
      <c r="AZ1243" s="18"/>
      <c r="BA1243" s="18"/>
      <c r="BB1243" s="18"/>
      <c r="BC1243" s="18"/>
      <c r="BD1243" s="18"/>
      <c r="BE1243" s="18"/>
      <c r="BF1243" s="18"/>
      <c r="BG1243" s="18"/>
      <c r="BH1243" s="18"/>
      <c r="BI1243" s="18"/>
      <c r="BJ1243" s="18"/>
      <c r="BK1243" s="18"/>
      <c r="BL1243" s="18"/>
      <c r="BM1243" s="18"/>
      <c r="BN1243" s="18"/>
      <c r="BO1243" s="18"/>
      <c r="BP1243" s="18"/>
      <c r="BQ1243" s="18"/>
      <c r="BR1243" s="18"/>
      <c r="BS1243" s="18"/>
      <c r="BT1243" s="18"/>
      <c r="BU1243" s="18"/>
      <c r="BV1243" s="18"/>
      <c r="BW1243" s="18"/>
      <c r="BX1243" s="18"/>
      <c r="BY1243" s="18"/>
      <c r="BZ1243" s="18"/>
      <c r="CA1243" s="18"/>
      <c r="CB1243" s="18"/>
      <c r="CC1243" s="18"/>
      <c r="CD1243" s="18"/>
      <c r="CE1243" s="18"/>
      <c r="CF1243" s="18"/>
      <c r="CG1243" s="18"/>
      <c r="CH1243" s="18"/>
      <c r="CI1243" s="18"/>
      <c r="CJ1243" s="18"/>
      <c r="CK1243" s="18"/>
      <c r="CL1243" s="18"/>
      <c r="CM1243" s="18"/>
      <c r="CN1243" s="18"/>
      <c r="CO1243" s="18"/>
      <c r="CP1243" s="18"/>
      <c r="CQ1243" s="18"/>
      <c r="CR1243" s="18"/>
      <c r="CS1243" s="18"/>
      <c r="CT1243" s="18"/>
      <c r="CU1243" s="18"/>
    </row>
    <row r="1244" spans="1:99">
      <c r="A1244" s="19"/>
      <c r="B1244" s="19"/>
      <c r="C1244" s="19"/>
      <c r="D1244" s="19"/>
      <c r="E1244" s="19"/>
      <c r="F1244" s="19"/>
      <c r="G1244" s="19"/>
      <c r="H1244" s="19"/>
      <c r="I1244" s="19"/>
      <c r="J1244" s="19"/>
      <c r="K1244" s="18"/>
      <c r="L1244" s="18"/>
      <c r="M1244" s="18"/>
      <c r="N1244" s="18"/>
      <c r="O1244" s="18"/>
      <c r="P1244" s="18"/>
      <c r="Q1244" s="18"/>
      <c r="R1244" s="18"/>
      <c r="S1244" s="18"/>
      <c r="T1244" s="18"/>
      <c r="U1244" s="18"/>
      <c r="V1244" s="18"/>
      <c r="W1244" s="18"/>
      <c r="X1244" s="18"/>
      <c r="Y1244" s="18"/>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c r="BC1244" s="18"/>
      <c r="BD1244" s="18"/>
      <c r="BE1244" s="18"/>
      <c r="BF1244" s="18"/>
      <c r="BG1244" s="18"/>
      <c r="BH1244" s="18"/>
      <c r="BI1244" s="18"/>
      <c r="BJ1244" s="18"/>
      <c r="BK1244" s="18"/>
      <c r="BL1244" s="18"/>
      <c r="BM1244" s="18"/>
      <c r="BN1244" s="18"/>
      <c r="BO1244" s="18"/>
      <c r="BP1244" s="18"/>
      <c r="BQ1244" s="18"/>
      <c r="BR1244" s="18"/>
      <c r="BS1244" s="18"/>
      <c r="BT1244" s="18"/>
      <c r="BU1244" s="18"/>
      <c r="BV1244" s="18"/>
      <c r="BW1244" s="18"/>
      <c r="BX1244" s="18"/>
      <c r="BY1244" s="18"/>
      <c r="BZ1244" s="18"/>
      <c r="CA1244" s="18"/>
      <c r="CB1244" s="18"/>
      <c r="CC1244" s="18"/>
      <c r="CD1244" s="18"/>
      <c r="CE1244" s="18"/>
      <c r="CF1244" s="18"/>
      <c r="CG1244" s="18"/>
      <c r="CH1244" s="18"/>
      <c r="CI1244" s="18"/>
      <c r="CJ1244" s="18"/>
      <c r="CK1244" s="18"/>
      <c r="CL1244" s="18"/>
      <c r="CM1244" s="18"/>
      <c r="CN1244" s="18"/>
      <c r="CO1244" s="18"/>
      <c r="CP1244" s="18"/>
      <c r="CQ1244" s="18"/>
      <c r="CR1244" s="18"/>
      <c r="CS1244" s="18"/>
      <c r="CT1244" s="18"/>
      <c r="CU1244" s="18"/>
    </row>
    <row r="1245" spans="1:99">
      <c r="A1245" s="19"/>
      <c r="B1245" s="19"/>
      <c r="C1245" s="19"/>
      <c r="D1245" s="19"/>
      <c r="E1245" s="19"/>
      <c r="F1245" s="19"/>
      <c r="G1245" s="19"/>
      <c r="H1245" s="19"/>
      <c r="I1245" s="19"/>
      <c r="J1245" s="19"/>
      <c r="K1245" s="18"/>
      <c r="L1245" s="18"/>
      <c r="M1245" s="18"/>
      <c r="N1245" s="18"/>
      <c r="O1245" s="18"/>
      <c r="P1245" s="18"/>
      <c r="Q1245" s="18"/>
      <c r="R1245" s="18"/>
      <c r="S1245" s="18"/>
      <c r="T1245" s="18"/>
      <c r="U1245" s="18"/>
      <c r="V1245" s="18"/>
      <c r="W1245" s="18"/>
      <c r="X1245" s="18"/>
      <c r="Y1245" s="18"/>
      <c r="Z1245" s="18"/>
      <c r="AA1245" s="18"/>
      <c r="AB1245" s="18"/>
      <c r="AC1245" s="18"/>
      <c r="AD1245" s="18"/>
      <c r="AE1245" s="18"/>
      <c r="AF1245" s="18"/>
      <c r="AG1245" s="18"/>
      <c r="AH1245" s="18"/>
      <c r="AI1245" s="18"/>
      <c r="AJ1245" s="18"/>
      <c r="AK1245" s="18"/>
      <c r="AL1245" s="18"/>
      <c r="AM1245" s="18"/>
      <c r="AN1245" s="18"/>
      <c r="AO1245" s="18"/>
      <c r="AP1245" s="18"/>
      <c r="AQ1245" s="18"/>
      <c r="AR1245" s="18"/>
      <c r="AS1245" s="18"/>
      <c r="AT1245" s="18"/>
      <c r="AU1245" s="18"/>
      <c r="AV1245" s="18"/>
      <c r="AW1245" s="18"/>
      <c r="AX1245" s="18"/>
      <c r="AY1245" s="18"/>
      <c r="AZ1245" s="18"/>
      <c r="BA1245" s="18"/>
      <c r="BB1245" s="18"/>
      <c r="BC1245" s="18"/>
      <c r="BD1245" s="18"/>
      <c r="BE1245" s="18"/>
      <c r="BF1245" s="18"/>
      <c r="BG1245" s="18"/>
      <c r="BH1245" s="18"/>
      <c r="BI1245" s="18"/>
      <c r="BJ1245" s="18"/>
      <c r="BK1245" s="18"/>
      <c r="BL1245" s="18"/>
      <c r="BM1245" s="18"/>
      <c r="BN1245" s="18"/>
      <c r="BO1245" s="18"/>
      <c r="BP1245" s="18"/>
      <c r="BQ1245" s="18"/>
      <c r="BR1245" s="18"/>
      <c r="BS1245" s="18"/>
      <c r="BT1245" s="18"/>
      <c r="BU1245" s="18"/>
      <c r="BV1245" s="18"/>
      <c r="BW1245" s="18"/>
      <c r="BX1245" s="18"/>
      <c r="BY1245" s="18"/>
      <c r="BZ1245" s="18"/>
      <c r="CA1245" s="18"/>
      <c r="CB1245" s="18"/>
      <c r="CC1245" s="18"/>
      <c r="CD1245" s="18"/>
      <c r="CE1245" s="18"/>
      <c r="CF1245" s="18"/>
      <c r="CG1245" s="18"/>
      <c r="CH1245" s="18"/>
      <c r="CI1245" s="18"/>
      <c r="CJ1245" s="18"/>
      <c r="CK1245" s="18"/>
      <c r="CL1245" s="18"/>
      <c r="CM1245" s="18"/>
      <c r="CN1245" s="18"/>
      <c r="CO1245" s="18"/>
      <c r="CP1245" s="18"/>
      <c r="CQ1245" s="18"/>
      <c r="CR1245" s="18"/>
      <c r="CS1245" s="18"/>
      <c r="CT1245" s="18"/>
      <c r="CU1245" s="18"/>
    </row>
    <row r="1246" spans="1:99">
      <c r="A1246" s="19"/>
      <c r="B1246" s="19"/>
      <c r="C1246" s="19"/>
      <c r="D1246" s="19"/>
      <c r="E1246" s="19"/>
      <c r="F1246" s="19"/>
      <c r="G1246" s="19"/>
      <c r="H1246" s="19"/>
      <c r="I1246" s="19"/>
      <c r="J1246" s="19"/>
      <c r="K1246" s="18"/>
      <c r="L1246" s="18"/>
      <c r="M1246" s="18"/>
      <c r="N1246" s="18"/>
      <c r="O1246" s="18"/>
      <c r="P1246" s="18"/>
      <c r="Q1246" s="18"/>
      <c r="R1246" s="18"/>
      <c r="S1246" s="18"/>
      <c r="T1246" s="18"/>
      <c r="U1246" s="18"/>
      <c r="V1246" s="18"/>
      <c r="W1246" s="18"/>
      <c r="X1246" s="18"/>
      <c r="Y1246" s="18"/>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c r="BC1246" s="18"/>
      <c r="BD1246" s="18"/>
      <c r="BE1246" s="18"/>
      <c r="BF1246" s="18"/>
      <c r="BG1246" s="18"/>
      <c r="BH1246" s="18"/>
      <c r="BI1246" s="18"/>
      <c r="BJ1246" s="18"/>
      <c r="BK1246" s="18"/>
      <c r="BL1246" s="18"/>
      <c r="BM1246" s="18"/>
      <c r="BN1246" s="18"/>
      <c r="BO1246" s="18"/>
      <c r="BP1246" s="18"/>
      <c r="BQ1246" s="18"/>
      <c r="BR1246" s="18"/>
      <c r="BS1246" s="18"/>
      <c r="BT1246" s="18"/>
      <c r="BU1246" s="18"/>
      <c r="BV1246" s="18"/>
      <c r="BW1246" s="18"/>
      <c r="BX1246" s="18"/>
      <c r="BY1246" s="18"/>
      <c r="BZ1246" s="18"/>
      <c r="CA1246" s="18"/>
      <c r="CB1246" s="18"/>
      <c r="CC1246" s="18"/>
      <c r="CD1246" s="18"/>
      <c r="CE1246" s="18"/>
      <c r="CF1246" s="18"/>
      <c r="CG1246" s="18"/>
      <c r="CH1246" s="18"/>
      <c r="CI1246" s="18"/>
      <c r="CJ1246" s="18"/>
      <c r="CK1246" s="18"/>
      <c r="CL1246" s="18"/>
      <c r="CM1246" s="18"/>
      <c r="CN1246" s="18"/>
      <c r="CO1246" s="18"/>
      <c r="CP1246" s="18"/>
      <c r="CQ1246" s="18"/>
      <c r="CR1246" s="18"/>
      <c r="CS1246" s="18"/>
      <c r="CT1246" s="18"/>
      <c r="CU1246" s="18"/>
    </row>
    <row r="1247" spans="1:99">
      <c r="A1247" s="19"/>
      <c r="B1247" s="19"/>
      <c r="C1247" s="19"/>
      <c r="D1247" s="19"/>
      <c r="E1247" s="19"/>
      <c r="F1247" s="19"/>
      <c r="G1247" s="19"/>
      <c r="H1247" s="19"/>
      <c r="I1247" s="19"/>
      <c r="J1247" s="19"/>
      <c r="K1247" s="18"/>
      <c r="L1247" s="18"/>
      <c r="M1247" s="18"/>
      <c r="N1247" s="18"/>
      <c r="O1247" s="18"/>
      <c r="P1247" s="18"/>
      <c r="Q1247" s="18"/>
      <c r="R1247" s="18"/>
      <c r="S1247" s="18"/>
      <c r="T1247" s="18"/>
      <c r="U1247" s="18"/>
      <c r="V1247" s="18"/>
      <c r="W1247" s="18"/>
      <c r="X1247" s="18"/>
      <c r="Y1247" s="18"/>
      <c r="Z1247" s="18"/>
      <c r="AA1247" s="18"/>
      <c r="AB1247" s="18"/>
      <c r="AC1247" s="18"/>
      <c r="AD1247" s="18"/>
      <c r="AE1247" s="18"/>
      <c r="AF1247" s="18"/>
      <c r="AG1247" s="18"/>
      <c r="AH1247" s="18"/>
      <c r="AI1247" s="18"/>
      <c r="AJ1247" s="18"/>
      <c r="AK1247" s="18"/>
      <c r="AL1247" s="18"/>
      <c r="AM1247" s="18"/>
      <c r="AN1247" s="18"/>
      <c r="AO1247" s="18"/>
      <c r="AP1247" s="18"/>
      <c r="AQ1247" s="18"/>
      <c r="AR1247" s="18"/>
      <c r="AS1247" s="18"/>
      <c r="AT1247" s="18"/>
      <c r="AU1247" s="18"/>
      <c r="AV1247" s="18"/>
      <c r="AW1247" s="18"/>
      <c r="AX1247" s="18"/>
      <c r="AY1247" s="18"/>
      <c r="AZ1247" s="18"/>
      <c r="BA1247" s="18"/>
      <c r="BB1247" s="18"/>
      <c r="BC1247" s="18"/>
      <c r="BD1247" s="18"/>
      <c r="BE1247" s="18"/>
      <c r="BF1247" s="18"/>
      <c r="BG1247" s="18"/>
      <c r="BH1247" s="18"/>
      <c r="BI1247" s="18"/>
      <c r="BJ1247" s="18"/>
      <c r="BK1247" s="18"/>
      <c r="BL1247" s="18"/>
      <c r="BM1247" s="18"/>
      <c r="BN1247" s="18"/>
      <c r="BO1247" s="18"/>
      <c r="BP1247" s="18"/>
      <c r="BQ1247" s="18"/>
      <c r="BR1247" s="18"/>
      <c r="BS1247" s="18"/>
      <c r="BT1247" s="18"/>
      <c r="BU1247" s="18"/>
      <c r="BV1247" s="18"/>
      <c r="BW1247" s="18"/>
      <c r="BX1247" s="18"/>
      <c r="BY1247" s="18"/>
      <c r="BZ1247" s="18"/>
      <c r="CA1247" s="18"/>
      <c r="CB1247" s="18"/>
      <c r="CC1247" s="18"/>
      <c r="CD1247" s="18"/>
      <c r="CE1247" s="18"/>
      <c r="CF1247" s="18"/>
      <c r="CG1247" s="18"/>
      <c r="CH1247" s="18"/>
      <c r="CI1247" s="18"/>
      <c r="CJ1247" s="18"/>
      <c r="CK1247" s="18"/>
      <c r="CL1247" s="18"/>
      <c r="CM1247" s="18"/>
      <c r="CN1247" s="18"/>
      <c r="CO1247" s="18"/>
      <c r="CP1247" s="18"/>
      <c r="CQ1247" s="18"/>
      <c r="CR1247" s="18"/>
      <c r="CS1247" s="18"/>
      <c r="CT1247" s="18"/>
      <c r="CU1247" s="18"/>
    </row>
    <row r="1248" spans="1:99">
      <c r="A1248" s="19"/>
      <c r="B1248" s="19"/>
      <c r="C1248" s="19"/>
      <c r="D1248" s="19"/>
      <c r="E1248" s="19"/>
      <c r="F1248" s="19"/>
      <c r="G1248" s="19"/>
      <c r="H1248" s="19"/>
      <c r="I1248" s="19"/>
      <c r="J1248" s="19"/>
      <c r="K1248" s="18"/>
      <c r="L1248" s="18"/>
      <c r="M1248" s="18"/>
      <c r="N1248" s="18"/>
      <c r="O1248" s="18"/>
      <c r="P1248" s="18"/>
      <c r="Q1248" s="18"/>
      <c r="R1248" s="18"/>
      <c r="S1248" s="18"/>
      <c r="T1248" s="18"/>
      <c r="U1248" s="18"/>
      <c r="V1248" s="18"/>
      <c r="W1248" s="18"/>
      <c r="X1248" s="18"/>
      <c r="Y1248" s="18"/>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c r="BC1248" s="18"/>
      <c r="BD1248" s="18"/>
      <c r="BE1248" s="18"/>
      <c r="BF1248" s="18"/>
      <c r="BG1248" s="18"/>
      <c r="BH1248" s="18"/>
      <c r="BI1248" s="18"/>
      <c r="BJ1248" s="18"/>
      <c r="BK1248" s="18"/>
      <c r="BL1248" s="18"/>
      <c r="BM1248" s="18"/>
      <c r="BN1248" s="18"/>
      <c r="BO1248" s="18"/>
      <c r="BP1248" s="18"/>
      <c r="BQ1248" s="18"/>
      <c r="BR1248" s="18"/>
      <c r="BS1248" s="18"/>
      <c r="BT1248" s="18"/>
      <c r="BU1248" s="18"/>
      <c r="BV1248" s="18"/>
      <c r="BW1248" s="18"/>
      <c r="BX1248" s="18"/>
      <c r="BY1248" s="18"/>
      <c r="BZ1248" s="18"/>
      <c r="CA1248" s="18"/>
      <c r="CB1248" s="18"/>
      <c r="CC1248" s="18"/>
      <c r="CD1248" s="18"/>
      <c r="CE1248" s="18"/>
      <c r="CF1248" s="18"/>
      <c r="CG1248" s="18"/>
      <c r="CH1248" s="18"/>
      <c r="CI1248" s="18"/>
      <c r="CJ1248" s="18"/>
      <c r="CK1248" s="18"/>
      <c r="CL1248" s="18"/>
      <c r="CM1248" s="18"/>
      <c r="CN1248" s="18"/>
      <c r="CO1248" s="18"/>
      <c r="CP1248" s="18"/>
      <c r="CQ1248" s="18"/>
      <c r="CR1248" s="18"/>
      <c r="CS1248" s="18"/>
      <c r="CT1248" s="18"/>
      <c r="CU1248" s="18"/>
    </row>
    <row r="1249" spans="1:99">
      <c r="A1249" s="19"/>
      <c r="B1249" s="19"/>
      <c r="C1249" s="19"/>
      <c r="D1249" s="19"/>
      <c r="E1249" s="19"/>
      <c r="F1249" s="19"/>
      <c r="G1249" s="19"/>
      <c r="H1249" s="19"/>
      <c r="I1249" s="19"/>
      <c r="J1249" s="19"/>
      <c r="K1249" s="18"/>
      <c r="L1249" s="18"/>
      <c r="M1249" s="18"/>
      <c r="N1249" s="18"/>
      <c r="O1249" s="18"/>
      <c r="P1249" s="18"/>
      <c r="Q1249" s="18"/>
      <c r="R1249" s="18"/>
      <c r="S1249" s="18"/>
      <c r="T1249" s="18"/>
      <c r="U1249" s="18"/>
      <c r="V1249" s="18"/>
      <c r="W1249" s="18"/>
      <c r="X1249" s="18"/>
      <c r="Y1249" s="18"/>
      <c r="Z1249" s="18"/>
      <c r="AA1249" s="18"/>
      <c r="AB1249" s="18"/>
      <c r="AC1249" s="18"/>
      <c r="AD1249" s="18"/>
      <c r="AE1249" s="18"/>
      <c r="AF1249" s="18"/>
      <c r="AG1249" s="18"/>
      <c r="AH1249" s="18"/>
      <c r="AI1249" s="18"/>
      <c r="AJ1249" s="18"/>
      <c r="AK1249" s="18"/>
      <c r="AL1249" s="18"/>
      <c r="AM1249" s="18"/>
      <c r="AN1249" s="18"/>
      <c r="AO1249" s="18"/>
      <c r="AP1249" s="18"/>
      <c r="AQ1249" s="18"/>
      <c r="AR1249" s="18"/>
      <c r="AS1249" s="18"/>
      <c r="AT1249" s="18"/>
      <c r="AU1249" s="18"/>
      <c r="AV1249" s="18"/>
      <c r="AW1249" s="18"/>
      <c r="AX1249" s="18"/>
      <c r="AY1249" s="18"/>
      <c r="AZ1249" s="18"/>
      <c r="BA1249" s="18"/>
      <c r="BB1249" s="18"/>
      <c r="BC1249" s="18"/>
      <c r="BD1249" s="18"/>
      <c r="BE1249" s="18"/>
      <c r="BF1249" s="18"/>
      <c r="BG1249" s="18"/>
      <c r="BH1249" s="18"/>
      <c r="BI1249" s="18"/>
      <c r="BJ1249" s="18"/>
      <c r="BK1249" s="18"/>
      <c r="BL1249" s="18"/>
      <c r="BM1249" s="18"/>
      <c r="BN1249" s="18"/>
      <c r="BO1249" s="18"/>
      <c r="BP1249" s="18"/>
      <c r="BQ1249" s="18"/>
      <c r="BR1249" s="18"/>
      <c r="BS1249" s="18"/>
      <c r="BT1249" s="18"/>
      <c r="BU1249" s="18"/>
      <c r="BV1249" s="18"/>
      <c r="BW1249" s="18"/>
      <c r="BX1249" s="18"/>
      <c r="BY1249" s="18"/>
      <c r="BZ1249" s="18"/>
      <c r="CA1249" s="18"/>
      <c r="CB1249" s="18"/>
      <c r="CC1249" s="18"/>
      <c r="CD1249" s="18"/>
      <c r="CE1249" s="18"/>
      <c r="CF1249" s="18"/>
      <c r="CG1249" s="18"/>
      <c r="CH1249" s="18"/>
      <c r="CI1249" s="18"/>
      <c r="CJ1249" s="18"/>
      <c r="CK1249" s="18"/>
      <c r="CL1249" s="18"/>
      <c r="CM1249" s="18"/>
      <c r="CN1249" s="18"/>
      <c r="CO1249" s="18"/>
      <c r="CP1249" s="18"/>
      <c r="CQ1249" s="18"/>
      <c r="CR1249" s="18"/>
      <c r="CS1249" s="18"/>
      <c r="CT1249" s="18"/>
      <c r="CU1249" s="18"/>
    </row>
    <row r="1250" spans="1:99">
      <c r="A1250" s="19"/>
      <c r="B1250" s="19"/>
      <c r="C1250" s="19"/>
      <c r="D1250" s="19"/>
      <c r="E1250" s="19"/>
      <c r="F1250" s="19"/>
      <c r="G1250" s="19"/>
      <c r="H1250" s="19"/>
      <c r="I1250" s="19"/>
      <c r="J1250" s="19"/>
      <c r="K1250" s="18"/>
      <c r="L1250" s="18"/>
      <c r="M1250" s="18"/>
      <c r="N1250" s="18"/>
      <c r="O1250" s="18"/>
      <c r="P1250" s="18"/>
      <c r="Q1250" s="18"/>
      <c r="R1250" s="18"/>
      <c r="S1250" s="18"/>
      <c r="T1250" s="18"/>
      <c r="U1250" s="18"/>
      <c r="V1250" s="18"/>
      <c r="W1250" s="18"/>
      <c r="X1250" s="18"/>
      <c r="Y1250" s="18"/>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c r="BC1250" s="18"/>
      <c r="BD1250" s="18"/>
      <c r="BE1250" s="18"/>
      <c r="BF1250" s="18"/>
      <c r="BG1250" s="18"/>
      <c r="BH1250" s="18"/>
      <c r="BI1250" s="18"/>
      <c r="BJ1250" s="18"/>
      <c r="BK1250" s="18"/>
      <c r="BL1250" s="18"/>
      <c r="BM1250" s="18"/>
      <c r="BN1250" s="18"/>
      <c r="BO1250" s="18"/>
      <c r="BP1250" s="18"/>
      <c r="BQ1250" s="18"/>
      <c r="BR1250" s="18"/>
      <c r="BS1250" s="18"/>
      <c r="BT1250" s="18"/>
      <c r="BU1250" s="18"/>
      <c r="BV1250" s="18"/>
      <c r="BW1250" s="18"/>
      <c r="BX1250" s="18"/>
      <c r="BY1250" s="18"/>
      <c r="BZ1250" s="18"/>
      <c r="CA1250" s="18"/>
      <c r="CB1250" s="18"/>
      <c r="CC1250" s="18"/>
      <c r="CD1250" s="18"/>
      <c r="CE1250" s="18"/>
      <c r="CF1250" s="18"/>
      <c r="CG1250" s="18"/>
      <c r="CH1250" s="18"/>
      <c r="CI1250" s="18"/>
      <c r="CJ1250" s="18"/>
      <c r="CK1250" s="18"/>
      <c r="CL1250" s="18"/>
      <c r="CM1250" s="18"/>
      <c r="CN1250" s="18"/>
      <c r="CO1250" s="18"/>
      <c r="CP1250" s="18"/>
      <c r="CQ1250" s="18"/>
      <c r="CR1250" s="18"/>
      <c r="CS1250" s="18"/>
      <c r="CT1250" s="18"/>
      <c r="CU1250" s="18"/>
    </row>
    <row r="1251" spans="1:99">
      <c r="A1251" s="19"/>
      <c r="B1251" s="19"/>
      <c r="C1251" s="19"/>
      <c r="D1251" s="19"/>
      <c r="E1251" s="19"/>
      <c r="F1251" s="19"/>
      <c r="G1251" s="19"/>
      <c r="H1251" s="19"/>
      <c r="I1251" s="19"/>
      <c r="J1251" s="19"/>
      <c r="K1251" s="18"/>
      <c r="L1251" s="18"/>
      <c r="M1251" s="18"/>
      <c r="N1251" s="18"/>
      <c r="O1251" s="18"/>
      <c r="P1251" s="18"/>
      <c r="Q1251" s="18"/>
      <c r="R1251" s="18"/>
      <c r="S1251" s="18"/>
      <c r="T1251" s="18"/>
      <c r="U1251" s="18"/>
      <c r="V1251" s="18"/>
      <c r="W1251" s="18"/>
      <c r="X1251" s="18"/>
      <c r="Y1251" s="18"/>
      <c r="Z1251" s="18"/>
      <c r="AA1251" s="18"/>
      <c r="AB1251" s="18"/>
      <c r="AC1251" s="18"/>
      <c r="AD1251" s="18"/>
      <c r="AE1251" s="18"/>
      <c r="AF1251" s="18"/>
      <c r="AG1251" s="18"/>
      <c r="AH1251" s="18"/>
      <c r="AI1251" s="18"/>
      <c r="AJ1251" s="18"/>
      <c r="AK1251" s="18"/>
      <c r="AL1251" s="18"/>
      <c r="AM1251" s="18"/>
      <c r="AN1251" s="18"/>
      <c r="AO1251" s="18"/>
      <c r="AP1251" s="18"/>
      <c r="AQ1251" s="18"/>
      <c r="AR1251" s="18"/>
      <c r="AS1251" s="18"/>
      <c r="AT1251" s="18"/>
      <c r="AU1251" s="18"/>
      <c r="AV1251" s="18"/>
      <c r="AW1251" s="18"/>
      <c r="AX1251" s="18"/>
      <c r="AY1251" s="18"/>
      <c r="AZ1251" s="18"/>
      <c r="BA1251" s="18"/>
      <c r="BB1251" s="18"/>
      <c r="BC1251" s="18"/>
      <c r="BD1251" s="18"/>
      <c r="BE1251" s="18"/>
      <c r="BF1251" s="18"/>
      <c r="BG1251" s="18"/>
      <c r="BH1251" s="18"/>
      <c r="BI1251" s="18"/>
      <c r="BJ1251" s="18"/>
      <c r="BK1251" s="18"/>
      <c r="BL1251" s="18"/>
      <c r="BM1251" s="18"/>
      <c r="BN1251" s="18"/>
      <c r="BO1251" s="18"/>
      <c r="BP1251" s="18"/>
      <c r="BQ1251" s="18"/>
      <c r="BR1251" s="18"/>
      <c r="BS1251" s="18"/>
      <c r="BT1251" s="18"/>
      <c r="BU1251" s="18"/>
      <c r="BV1251" s="18"/>
      <c r="BW1251" s="18"/>
      <c r="BX1251" s="18"/>
      <c r="BY1251" s="18"/>
      <c r="BZ1251" s="18"/>
      <c r="CA1251" s="18"/>
      <c r="CB1251" s="18"/>
      <c r="CC1251" s="18"/>
      <c r="CD1251" s="18"/>
      <c r="CE1251" s="18"/>
      <c r="CF1251" s="18"/>
      <c r="CG1251" s="18"/>
      <c r="CH1251" s="18"/>
      <c r="CI1251" s="18"/>
      <c r="CJ1251" s="18"/>
      <c r="CK1251" s="18"/>
      <c r="CL1251" s="18"/>
      <c r="CM1251" s="18"/>
      <c r="CN1251" s="18"/>
      <c r="CO1251" s="18"/>
      <c r="CP1251" s="18"/>
      <c r="CQ1251" s="18"/>
      <c r="CR1251" s="18"/>
      <c r="CS1251" s="18"/>
      <c r="CT1251" s="18"/>
      <c r="CU1251" s="18"/>
    </row>
    <row r="1252" spans="1:99">
      <c r="A1252" s="19"/>
      <c r="B1252" s="19"/>
      <c r="C1252" s="19"/>
      <c r="D1252" s="19"/>
      <c r="E1252" s="19"/>
      <c r="F1252" s="19"/>
      <c r="G1252" s="19"/>
      <c r="H1252" s="19"/>
      <c r="I1252" s="19"/>
      <c r="J1252" s="19"/>
      <c r="K1252" s="18"/>
      <c r="L1252" s="18"/>
      <c r="M1252" s="18"/>
      <c r="N1252" s="18"/>
      <c r="O1252" s="18"/>
      <c r="P1252" s="18"/>
      <c r="Q1252" s="18"/>
      <c r="R1252" s="18"/>
      <c r="S1252" s="18"/>
      <c r="T1252" s="18"/>
      <c r="U1252" s="18"/>
      <c r="V1252" s="18"/>
      <c r="W1252" s="18"/>
      <c r="X1252" s="18"/>
      <c r="Y1252" s="18"/>
      <c r="Z1252" s="18"/>
      <c r="AA1252" s="18"/>
      <c r="AB1252" s="18"/>
      <c r="AC1252" s="18"/>
      <c r="AD1252" s="18"/>
      <c r="AE1252" s="18"/>
      <c r="AF1252" s="18"/>
      <c r="AG1252" s="18"/>
      <c r="AH1252" s="18"/>
      <c r="AI1252" s="18"/>
      <c r="AJ1252" s="18"/>
      <c r="AK1252" s="18"/>
      <c r="AL1252" s="18"/>
      <c r="AM1252" s="18"/>
      <c r="AN1252" s="18"/>
      <c r="AO1252" s="18"/>
      <c r="AP1252" s="18"/>
      <c r="AQ1252" s="18"/>
      <c r="AR1252" s="18"/>
      <c r="AS1252" s="18"/>
      <c r="AT1252" s="18"/>
      <c r="AU1252" s="18"/>
      <c r="AV1252" s="18"/>
      <c r="AW1252" s="18"/>
      <c r="AX1252" s="18"/>
      <c r="AY1252" s="18"/>
      <c r="AZ1252" s="18"/>
      <c r="BA1252" s="18"/>
      <c r="BB1252" s="18"/>
      <c r="BC1252" s="18"/>
      <c r="BD1252" s="18"/>
      <c r="BE1252" s="18"/>
      <c r="BF1252" s="18"/>
      <c r="BG1252" s="18"/>
      <c r="BH1252" s="18"/>
      <c r="BI1252" s="18"/>
      <c r="BJ1252" s="18"/>
      <c r="BK1252" s="18"/>
      <c r="BL1252" s="18"/>
      <c r="BM1252" s="18"/>
      <c r="BN1252" s="18"/>
      <c r="BO1252" s="18"/>
      <c r="BP1252" s="18"/>
      <c r="BQ1252" s="18"/>
      <c r="BR1252" s="18"/>
      <c r="BS1252" s="18"/>
      <c r="BT1252" s="18"/>
      <c r="BU1252" s="18"/>
      <c r="BV1252" s="18"/>
      <c r="BW1252" s="18"/>
      <c r="BX1252" s="18"/>
      <c r="BY1252" s="18"/>
      <c r="BZ1252" s="18"/>
      <c r="CA1252" s="18"/>
      <c r="CB1252" s="18"/>
      <c r="CC1252" s="18"/>
      <c r="CD1252" s="18"/>
      <c r="CE1252" s="18"/>
      <c r="CF1252" s="18"/>
      <c r="CG1252" s="18"/>
      <c r="CH1252" s="18"/>
      <c r="CI1252" s="18"/>
      <c r="CJ1252" s="18"/>
      <c r="CK1252" s="18"/>
      <c r="CL1252" s="18"/>
      <c r="CM1252" s="18"/>
      <c r="CN1252" s="18"/>
      <c r="CO1252" s="18"/>
      <c r="CP1252" s="18"/>
      <c r="CQ1252" s="18"/>
      <c r="CR1252" s="18"/>
      <c r="CS1252" s="18"/>
      <c r="CT1252" s="18"/>
      <c r="CU1252" s="18"/>
    </row>
    <row r="1253" spans="1:99">
      <c r="A1253" s="19"/>
      <c r="B1253" s="19"/>
      <c r="C1253" s="19"/>
      <c r="D1253" s="19"/>
      <c r="E1253" s="19"/>
      <c r="F1253" s="19"/>
      <c r="G1253" s="19"/>
      <c r="H1253" s="19"/>
      <c r="I1253" s="19"/>
      <c r="J1253" s="19"/>
      <c r="K1253" s="18"/>
      <c r="L1253" s="18"/>
      <c r="M1253" s="18"/>
      <c r="N1253" s="18"/>
      <c r="O1253" s="18"/>
      <c r="P1253" s="18"/>
      <c r="Q1253" s="18"/>
      <c r="R1253" s="18"/>
      <c r="S1253" s="18"/>
      <c r="T1253" s="18"/>
      <c r="U1253" s="18"/>
      <c r="V1253" s="18"/>
      <c r="W1253" s="18"/>
      <c r="X1253" s="18"/>
      <c r="Y1253" s="18"/>
      <c r="Z1253" s="18"/>
      <c r="AA1253" s="18"/>
      <c r="AB1253" s="18"/>
      <c r="AC1253" s="18"/>
      <c r="AD1253" s="18"/>
      <c r="AE1253" s="18"/>
      <c r="AF1253" s="18"/>
      <c r="AG1253" s="18"/>
      <c r="AH1253" s="18"/>
      <c r="AI1253" s="18"/>
      <c r="AJ1253" s="18"/>
      <c r="AK1253" s="18"/>
      <c r="AL1253" s="18"/>
      <c r="AM1253" s="18"/>
      <c r="AN1253" s="18"/>
      <c r="AO1253" s="18"/>
      <c r="AP1253" s="18"/>
      <c r="AQ1253" s="18"/>
      <c r="AR1253" s="18"/>
      <c r="AS1253" s="18"/>
      <c r="AT1253" s="18"/>
      <c r="AU1253" s="18"/>
      <c r="AV1253" s="18"/>
      <c r="AW1253" s="18"/>
      <c r="AX1253" s="18"/>
      <c r="AY1253" s="18"/>
      <c r="AZ1253" s="18"/>
      <c r="BA1253" s="18"/>
      <c r="BB1253" s="18"/>
      <c r="BC1253" s="18"/>
      <c r="BD1253" s="18"/>
      <c r="BE1253" s="18"/>
      <c r="BF1253" s="18"/>
      <c r="BG1253" s="18"/>
      <c r="BH1253" s="18"/>
      <c r="BI1253" s="18"/>
      <c r="BJ1253" s="18"/>
      <c r="BK1253" s="18"/>
      <c r="BL1253" s="18"/>
      <c r="BM1253" s="18"/>
      <c r="BN1253" s="18"/>
      <c r="BO1253" s="18"/>
      <c r="BP1253" s="18"/>
      <c r="BQ1253" s="18"/>
      <c r="BR1253" s="18"/>
      <c r="BS1253" s="18"/>
      <c r="BT1253" s="18"/>
      <c r="BU1253" s="18"/>
      <c r="BV1253" s="18"/>
      <c r="BW1253" s="18"/>
      <c r="BX1253" s="18"/>
      <c r="BY1253" s="18"/>
      <c r="BZ1253" s="18"/>
      <c r="CA1253" s="18"/>
      <c r="CB1253" s="18"/>
      <c r="CC1253" s="18"/>
      <c r="CD1253" s="18"/>
      <c r="CE1253" s="18"/>
      <c r="CF1253" s="18"/>
      <c r="CG1253" s="18"/>
      <c r="CH1253" s="18"/>
      <c r="CI1253" s="18"/>
      <c r="CJ1253" s="18"/>
      <c r="CK1253" s="18"/>
      <c r="CL1253" s="18"/>
      <c r="CM1253" s="18"/>
      <c r="CN1253" s="18"/>
      <c r="CO1253" s="18"/>
      <c r="CP1253" s="18"/>
      <c r="CQ1253" s="18"/>
      <c r="CR1253" s="18"/>
      <c r="CS1253" s="18"/>
      <c r="CT1253" s="18"/>
      <c r="CU1253" s="18"/>
    </row>
    <row r="1254" spans="1:99">
      <c r="A1254" s="19"/>
      <c r="B1254" s="19"/>
      <c r="C1254" s="19"/>
      <c r="D1254" s="19"/>
      <c r="E1254" s="19"/>
      <c r="F1254" s="19"/>
      <c r="G1254" s="19"/>
      <c r="H1254" s="19"/>
      <c r="I1254" s="19"/>
      <c r="J1254" s="19"/>
      <c r="K1254" s="18"/>
      <c r="L1254" s="18"/>
      <c r="M1254" s="18"/>
      <c r="N1254" s="18"/>
      <c r="O1254" s="18"/>
      <c r="P1254" s="18"/>
      <c r="Q1254" s="18"/>
      <c r="R1254" s="18"/>
      <c r="S1254" s="18"/>
      <c r="T1254" s="18"/>
      <c r="U1254" s="18"/>
      <c r="V1254" s="18"/>
      <c r="W1254" s="18"/>
      <c r="X1254" s="18"/>
      <c r="Y1254" s="18"/>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c r="BC1254" s="18"/>
      <c r="BD1254" s="18"/>
      <c r="BE1254" s="18"/>
      <c r="BF1254" s="18"/>
      <c r="BG1254" s="18"/>
      <c r="BH1254" s="18"/>
      <c r="BI1254" s="18"/>
      <c r="BJ1254" s="18"/>
      <c r="BK1254" s="18"/>
      <c r="BL1254" s="18"/>
      <c r="BM1254" s="18"/>
      <c r="BN1254" s="18"/>
      <c r="BO1254" s="18"/>
      <c r="BP1254" s="18"/>
      <c r="BQ1254" s="18"/>
      <c r="BR1254" s="18"/>
      <c r="BS1254" s="18"/>
      <c r="BT1254" s="18"/>
      <c r="BU1254" s="18"/>
      <c r="BV1254" s="18"/>
      <c r="BW1254" s="18"/>
      <c r="BX1254" s="18"/>
      <c r="BY1254" s="18"/>
      <c r="BZ1254" s="18"/>
      <c r="CA1254" s="18"/>
      <c r="CB1254" s="18"/>
      <c r="CC1254" s="18"/>
      <c r="CD1254" s="18"/>
      <c r="CE1254" s="18"/>
      <c r="CF1254" s="18"/>
      <c r="CG1254" s="18"/>
      <c r="CH1254" s="18"/>
      <c r="CI1254" s="18"/>
      <c r="CJ1254" s="18"/>
      <c r="CK1254" s="18"/>
      <c r="CL1254" s="18"/>
      <c r="CM1254" s="18"/>
      <c r="CN1254" s="18"/>
      <c r="CO1254" s="18"/>
      <c r="CP1254" s="18"/>
      <c r="CQ1254" s="18"/>
      <c r="CR1254" s="18"/>
      <c r="CS1254" s="18"/>
      <c r="CT1254" s="18"/>
      <c r="CU1254" s="18"/>
    </row>
    <row r="1255" spans="1:99">
      <c r="A1255" s="19"/>
      <c r="B1255" s="19"/>
      <c r="C1255" s="19"/>
      <c r="D1255" s="19"/>
      <c r="E1255" s="19"/>
      <c r="F1255" s="19"/>
      <c r="G1255" s="19"/>
      <c r="H1255" s="19"/>
      <c r="I1255" s="19"/>
      <c r="J1255" s="19"/>
      <c r="K1255" s="18"/>
      <c r="L1255" s="18"/>
      <c r="M1255" s="18"/>
      <c r="N1255" s="18"/>
      <c r="O1255" s="18"/>
      <c r="P1255" s="18"/>
      <c r="Q1255" s="18"/>
      <c r="R1255" s="18"/>
      <c r="S1255" s="18"/>
      <c r="T1255" s="18"/>
      <c r="U1255" s="18"/>
      <c r="V1255" s="18"/>
      <c r="W1255" s="18"/>
      <c r="X1255" s="18"/>
      <c r="Y1255" s="18"/>
      <c r="Z1255" s="18"/>
      <c r="AA1255" s="18"/>
      <c r="AB1255" s="18"/>
      <c r="AC1255" s="18"/>
      <c r="AD1255" s="18"/>
      <c r="AE1255" s="18"/>
      <c r="AF1255" s="18"/>
      <c r="AG1255" s="18"/>
      <c r="AH1255" s="18"/>
      <c r="AI1255" s="18"/>
      <c r="AJ1255" s="18"/>
      <c r="AK1255" s="18"/>
      <c r="AL1255" s="18"/>
      <c r="AM1255" s="18"/>
      <c r="AN1255" s="18"/>
      <c r="AO1255" s="18"/>
      <c r="AP1255" s="18"/>
      <c r="AQ1255" s="18"/>
      <c r="AR1255" s="18"/>
      <c r="AS1255" s="18"/>
      <c r="AT1255" s="18"/>
      <c r="AU1255" s="18"/>
      <c r="AV1255" s="18"/>
      <c r="AW1255" s="18"/>
      <c r="AX1255" s="18"/>
      <c r="AY1255" s="18"/>
      <c r="AZ1255" s="18"/>
      <c r="BA1255" s="18"/>
      <c r="BB1255" s="18"/>
      <c r="BC1255" s="18"/>
      <c r="BD1255" s="18"/>
      <c r="BE1255" s="18"/>
      <c r="BF1255" s="18"/>
      <c r="BG1255" s="18"/>
      <c r="BH1255" s="18"/>
      <c r="BI1255" s="18"/>
      <c r="BJ1255" s="18"/>
      <c r="BK1255" s="18"/>
      <c r="BL1255" s="18"/>
      <c r="BM1255" s="18"/>
      <c r="BN1255" s="18"/>
      <c r="BO1255" s="18"/>
      <c r="BP1255" s="18"/>
      <c r="BQ1255" s="18"/>
      <c r="BR1255" s="18"/>
      <c r="BS1255" s="18"/>
      <c r="BT1255" s="18"/>
      <c r="BU1255" s="18"/>
      <c r="BV1255" s="18"/>
      <c r="BW1255" s="18"/>
      <c r="BX1255" s="18"/>
      <c r="BY1255" s="18"/>
      <c r="BZ1255" s="18"/>
      <c r="CA1255" s="18"/>
      <c r="CB1255" s="18"/>
      <c r="CC1255" s="18"/>
      <c r="CD1255" s="18"/>
      <c r="CE1255" s="18"/>
      <c r="CF1255" s="18"/>
      <c r="CG1255" s="18"/>
      <c r="CH1255" s="18"/>
      <c r="CI1255" s="18"/>
      <c r="CJ1255" s="18"/>
      <c r="CK1255" s="18"/>
      <c r="CL1255" s="18"/>
      <c r="CM1255" s="18"/>
      <c r="CN1255" s="18"/>
      <c r="CO1255" s="18"/>
      <c r="CP1255" s="18"/>
      <c r="CQ1255" s="18"/>
      <c r="CR1255" s="18"/>
      <c r="CS1255" s="18"/>
      <c r="CT1255" s="18"/>
      <c r="CU1255" s="18"/>
    </row>
    <row r="1256" spans="1:99">
      <c r="A1256" s="19"/>
      <c r="B1256" s="19"/>
      <c r="C1256" s="19"/>
      <c r="D1256" s="19"/>
      <c r="E1256" s="19"/>
      <c r="F1256" s="19"/>
      <c r="G1256" s="19"/>
      <c r="H1256" s="19"/>
      <c r="I1256" s="19"/>
      <c r="J1256" s="19"/>
      <c r="K1256" s="18"/>
      <c r="L1256" s="18"/>
      <c r="M1256" s="18"/>
      <c r="N1256" s="18"/>
      <c r="O1256" s="18"/>
      <c r="P1256" s="18"/>
      <c r="Q1256" s="18"/>
      <c r="R1256" s="18"/>
      <c r="S1256" s="18"/>
      <c r="T1256" s="18"/>
      <c r="U1256" s="18"/>
      <c r="V1256" s="18"/>
      <c r="W1256" s="18"/>
      <c r="X1256" s="18"/>
      <c r="Y1256" s="18"/>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c r="BC1256" s="18"/>
      <c r="BD1256" s="18"/>
      <c r="BE1256" s="18"/>
      <c r="BF1256" s="18"/>
      <c r="BG1256" s="18"/>
      <c r="BH1256" s="18"/>
      <c r="BI1256" s="18"/>
      <c r="BJ1256" s="18"/>
      <c r="BK1256" s="18"/>
      <c r="BL1256" s="18"/>
      <c r="BM1256" s="18"/>
      <c r="BN1256" s="18"/>
      <c r="BO1256" s="18"/>
      <c r="BP1256" s="18"/>
      <c r="BQ1256" s="18"/>
      <c r="BR1256" s="18"/>
      <c r="BS1256" s="18"/>
      <c r="BT1256" s="18"/>
      <c r="BU1256" s="18"/>
      <c r="BV1256" s="18"/>
      <c r="BW1256" s="18"/>
      <c r="BX1256" s="18"/>
      <c r="BY1256" s="18"/>
      <c r="BZ1256" s="18"/>
      <c r="CA1256" s="18"/>
      <c r="CB1256" s="18"/>
      <c r="CC1256" s="18"/>
      <c r="CD1256" s="18"/>
      <c r="CE1256" s="18"/>
      <c r="CF1256" s="18"/>
      <c r="CG1256" s="18"/>
      <c r="CH1256" s="18"/>
      <c r="CI1256" s="18"/>
      <c r="CJ1256" s="18"/>
      <c r="CK1256" s="18"/>
      <c r="CL1256" s="18"/>
      <c r="CM1256" s="18"/>
      <c r="CN1256" s="18"/>
      <c r="CO1256" s="18"/>
      <c r="CP1256" s="18"/>
      <c r="CQ1256" s="18"/>
      <c r="CR1256" s="18"/>
      <c r="CS1256" s="18"/>
      <c r="CT1256" s="18"/>
      <c r="CU1256" s="18"/>
    </row>
    <row r="1257" spans="1:99">
      <c r="A1257" s="19"/>
      <c r="B1257" s="19"/>
      <c r="C1257" s="19"/>
      <c r="D1257" s="19"/>
      <c r="E1257" s="19"/>
      <c r="F1257" s="19"/>
      <c r="G1257" s="19"/>
      <c r="H1257" s="19"/>
      <c r="I1257" s="19"/>
      <c r="J1257" s="19"/>
      <c r="K1257" s="18"/>
      <c r="L1257" s="18"/>
      <c r="M1257" s="18"/>
      <c r="N1257" s="18"/>
      <c r="O1257" s="18"/>
      <c r="P1257" s="18"/>
      <c r="Q1257" s="18"/>
      <c r="R1257" s="18"/>
      <c r="S1257" s="18"/>
      <c r="T1257" s="18"/>
      <c r="U1257" s="18"/>
      <c r="V1257" s="18"/>
      <c r="W1257" s="18"/>
      <c r="X1257" s="18"/>
      <c r="Y1257" s="18"/>
      <c r="Z1257" s="18"/>
      <c r="AA1257" s="18"/>
      <c r="AB1257" s="18"/>
      <c r="AC1257" s="18"/>
      <c r="AD1257" s="18"/>
      <c r="AE1257" s="18"/>
      <c r="AF1257" s="18"/>
      <c r="AG1257" s="18"/>
      <c r="AH1257" s="18"/>
      <c r="AI1257" s="18"/>
      <c r="AJ1257" s="18"/>
      <c r="AK1257" s="18"/>
      <c r="AL1257" s="18"/>
      <c r="AM1257" s="18"/>
      <c r="AN1257" s="18"/>
      <c r="AO1257" s="18"/>
      <c r="AP1257" s="18"/>
      <c r="AQ1257" s="18"/>
      <c r="AR1257" s="18"/>
      <c r="AS1257" s="18"/>
      <c r="AT1257" s="18"/>
      <c r="AU1257" s="18"/>
      <c r="AV1257" s="18"/>
      <c r="AW1257" s="18"/>
      <c r="AX1257" s="18"/>
      <c r="AY1257" s="18"/>
      <c r="AZ1257" s="18"/>
      <c r="BA1257" s="18"/>
      <c r="BB1257" s="18"/>
      <c r="BC1257" s="18"/>
      <c r="BD1257" s="18"/>
      <c r="BE1257" s="18"/>
      <c r="BF1257" s="18"/>
      <c r="BG1257" s="18"/>
      <c r="BH1257" s="18"/>
      <c r="BI1257" s="18"/>
      <c r="BJ1257" s="18"/>
      <c r="BK1257" s="18"/>
      <c r="BL1257" s="18"/>
      <c r="BM1257" s="18"/>
      <c r="BN1257" s="18"/>
      <c r="BO1257" s="18"/>
      <c r="BP1257" s="18"/>
      <c r="BQ1257" s="18"/>
      <c r="BR1257" s="18"/>
      <c r="BS1257" s="18"/>
      <c r="BT1257" s="18"/>
      <c r="BU1257" s="18"/>
      <c r="BV1257" s="18"/>
      <c r="BW1257" s="18"/>
      <c r="BX1257" s="18"/>
      <c r="BY1257" s="18"/>
      <c r="BZ1257" s="18"/>
      <c r="CA1257" s="18"/>
      <c r="CB1257" s="18"/>
      <c r="CC1257" s="18"/>
      <c r="CD1257" s="18"/>
      <c r="CE1257" s="18"/>
      <c r="CF1257" s="18"/>
      <c r="CG1257" s="18"/>
      <c r="CH1257" s="18"/>
      <c r="CI1257" s="18"/>
      <c r="CJ1257" s="18"/>
      <c r="CK1257" s="18"/>
      <c r="CL1257" s="18"/>
      <c r="CM1257" s="18"/>
      <c r="CN1257" s="18"/>
      <c r="CO1257" s="18"/>
      <c r="CP1257" s="18"/>
      <c r="CQ1257" s="18"/>
      <c r="CR1257" s="18"/>
      <c r="CS1257" s="18"/>
      <c r="CT1257" s="18"/>
      <c r="CU1257" s="18"/>
    </row>
    <row r="1258" spans="1:99">
      <c r="A1258" s="19"/>
      <c r="B1258" s="19"/>
      <c r="C1258" s="19"/>
      <c r="D1258" s="19"/>
      <c r="E1258" s="19"/>
      <c r="F1258" s="19"/>
      <c r="G1258" s="19"/>
      <c r="H1258" s="19"/>
      <c r="I1258" s="19"/>
      <c r="J1258" s="19"/>
      <c r="K1258" s="18"/>
      <c r="L1258" s="18"/>
      <c r="M1258" s="18"/>
      <c r="N1258" s="18"/>
      <c r="O1258" s="18"/>
      <c r="P1258" s="18"/>
      <c r="Q1258" s="18"/>
      <c r="R1258" s="18"/>
      <c r="S1258" s="18"/>
      <c r="T1258" s="18"/>
      <c r="U1258" s="18"/>
      <c r="V1258" s="18"/>
      <c r="W1258" s="18"/>
      <c r="X1258" s="18"/>
      <c r="Y1258" s="18"/>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c r="BC1258" s="18"/>
      <c r="BD1258" s="18"/>
      <c r="BE1258" s="18"/>
      <c r="BF1258" s="18"/>
      <c r="BG1258" s="18"/>
      <c r="BH1258" s="18"/>
      <c r="BI1258" s="18"/>
      <c r="BJ1258" s="18"/>
      <c r="BK1258" s="18"/>
      <c r="BL1258" s="18"/>
      <c r="BM1258" s="18"/>
      <c r="BN1258" s="18"/>
      <c r="BO1258" s="18"/>
      <c r="BP1258" s="18"/>
      <c r="BQ1258" s="18"/>
      <c r="BR1258" s="18"/>
      <c r="BS1258" s="18"/>
      <c r="BT1258" s="18"/>
      <c r="BU1258" s="18"/>
      <c r="BV1258" s="18"/>
      <c r="BW1258" s="18"/>
      <c r="BX1258" s="18"/>
      <c r="BY1258" s="18"/>
      <c r="BZ1258" s="18"/>
      <c r="CA1258" s="18"/>
      <c r="CB1258" s="18"/>
      <c r="CC1258" s="18"/>
      <c r="CD1258" s="18"/>
      <c r="CE1258" s="18"/>
      <c r="CF1258" s="18"/>
      <c r="CG1258" s="18"/>
      <c r="CH1258" s="18"/>
      <c r="CI1258" s="18"/>
      <c r="CJ1258" s="18"/>
      <c r="CK1258" s="18"/>
      <c r="CL1258" s="18"/>
      <c r="CM1258" s="18"/>
      <c r="CN1258" s="18"/>
      <c r="CO1258" s="18"/>
      <c r="CP1258" s="18"/>
      <c r="CQ1258" s="18"/>
      <c r="CR1258" s="18"/>
      <c r="CS1258" s="18"/>
      <c r="CT1258" s="18"/>
      <c r="CU1258" s="18"/>
    </row>
    <row r="1259" spans="1:99">
      <c r="A1259" s="19"/>
      <c r="B1259" s="19"/>
      <c r="C1259" s="19"/>
      <c r="D1259" s="19"/>
      <c r="E1259" s="19"/>
      <c r="F1259" s="19"/>
      <c r="G1259" s="19"/>
      <c r="H1259" s="19"/>
      <c r="I1259" s="19"/>
      <c r="J1259" s="19"/>
      <c r="K1259" s="18"/>
      <c r="L1259" s="18"/>
      <c r="M1259" s="18"/>
      <c r="N1259" s="18"/>
      <c r="O1259" s="18"/>
      <c r="P1259" s="18"/>
      <c r="Q1259" s="18"/>
      <c r="R1259" s="18"/>
      <c r="S1259" s="18"/>
      <c r="T1259" s="18"/>
      <c r="U1259" s="18"/>
      <c r="V1259" s="18"/>
      <c r="W1259" s="18"/>
      <c r="X1259" s="18"/>
      <c r="Y1259" s="18"/>
      <c r="Z1259" s="18"/>
      <c r="AA1259" s="18"/>
      <c r="AB1259" s="18"/>
      <c r="AC1259" s="18"/>
      <c r="AD1259" s="18"/>
      <c r="AE1259" s="18"/>
      <c r="AF1259" s="18"/>
      <c r="AG1259" s="18"/>
      <c r="AH1259" s="18"/>
      <c r="AI1259" s="18"/>
      <c r="AJ1259" s="18"/>
      <c r="AK1259" s="18"/>
      <c r="AL1259" s="18"/>
      <c r="AM1259" s="18"/>
      <c r="AN1259" s="18"/>
      <c r="AO1259" s="18"/>
      <c r="AP1259" s="18"/>
      <c r="AQ1259" s="18"/>
      <c r="AR1259" s="18"/>
      <c r="AS1259" s="18"/>
      <c r="AT1259" s="18"/>
      <c r="AU1259" s="18"/>
      <c r="AV1259" s="18"/>
      <c r="AW1259" s="18"/>
      <c r="AX1259" s="18"/>
      <c r="AY1259" s="18"/>
      <c r="AZ1259" s="18"/>
      <c r="BA1259" s="18"/>
      <c r="BB1259" s="18"/>
      <c r="BC1259" s="18"/>
      <c r="BD1259" s="18"/>
      <c r="BE1259" s="18"/>
      <c r="BF1259" s="18"/>
      <c r="BG1259" s="18"/>
      <c r="BH1259" s="18"/>
      <c r="BI1259" s="18"/>
      <c r="BJ1259" s="18"/>
      <c r="BK1259" s="18"/>
      <c r="BL1259" s="18"/>
      <c r="BM1259" s="18"/>
      <c r="BN1259" s="18"/>
      <c r="BO1259" s="18"/>
      <c r="BP1259" s="18"/>
      <c r="BQ1259" s="18"/>
      <c r="BR1259" s="18"/>
      <c r="BS1259" s="18"/>
      <c r="BT1259" s="18"/>
      <c r="BU1259" s="18"/>
      <c r="BV1259" s="18"/>
      <c r="BW1259" s="18"/>
      <c r="BX1259" s="18"/>
      <c r="BY1259" s="18"/>
      <c r="BZ1259" s="18"/>
      <c r="CA1259" s="18"/>
      <c r="CB1259" s="18"/>
      <c r="CC1259" s="18"/>
      <c r="CD1259" s="18"/>
      <c r="CE1259" s="18"/>
      <c r="CF1259" s="18"/>
      <c r="CG1259" s="18"/>
      <c r="CH1259" s="18"/>
      <c r="CI1259" s="18"/>
      <c r="CJ1259" s="18"/>
      <c r="CK1259" s="18"/>
      <c r="CL1259" s="18"/>
      <c r="CM1259" s="18"/>
      <c r="CN1259" s="18"/>
      <c r="CO1259" s="18"/>
      <c r="CP1259" s="18"/>
      <c r="CQ1259" s="18"/>
      <c r="CR1259" s="18"/>
      <c r="CS1259" s="18"/>
      <c r="CT1259" s="18"/>
      <c r="CU1259" s="18"/>
    </row>
    <row r="1260" spans="1:99">
      <c r="A1260" s="19"/>
      <c r="B1260" s="19"/>
      <c r="C1260" s="19"/>
      <c r="D1260" s="19"/>
      <c r="E1260" s="19"/>
      <c r="F1260" s="19"/>
      <c r="G1260" s="19"/>
      <c r="H1260" s="19"/>
      <c r="I1260" s="19"/>
      <c r="J1260" s="19"/>
      <c r="K1260" s="18"/>
      <c r="L1260" s="18"/>
      <c r="M1260" s="18"/>
      <c r="N1260" s="18"/>
      <c r="O1260" s="18"/>
      <c r="P1260" s="18"/>
      <c r="Q1260" s="18"/>
      <c r="R1260" s="18"/>
      <c r="S1260" s="18"/>
      <c r="T1260" s="18"/>
      <c r="U1260" s="18"/>
      <c r="V1260" s="18"/>
      <c r="W1260" s="18"/>
      <c r="X1260" s="18"/>
      <c r="Y1260" s="18"/>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c r="BC1260" s="18"/>
      <c r="BD1260" s="18"/>
      <c r="BE1260" s="18"/>
      <c r="BF1260" s="18"/>
      <c r="BG1260" s="18"/>
      <c r="BH1260" s="18"/>
      <c r="BI1260" s="18"/>
      <c r="BJ1260" s="18"/>
      <c r="BK1260" s="18"/>
      <c r="BL1260" s="18"/>
      <c r="BM1260" s="18"/>
      <c r="BN1260" s="18"/>
      <c r="BO1260" s="18"/>
      <c r="BP1260" s="18"/>
      <c r="BQ1260" s="18"/>
      <c r="BR1260" s="18"/>
      <c r="BS1260" s="18"/>
      <c r="BT1260" s="18"/>
      <c r="BU1260" s="18"/>
      <c r="BV1260" s="18"/>
      <c r="BW1260" s="18"/>
      <c r="BX1260" s="18"/>
      <c r="BY1260" s="18"/>
      <c r="BZ1260" s="18"/>
      <c r="CA1260" s="18"/>
      <c r="CB1260" s="18"/>
      <c r="CC1260" s="18"/>
      <c r="CD1260" s="18"/>
      <c r="CE1260" s="18"/>
      <c r="CF1260" s="18"/>
      <c r="CG1260" s="18"/>
      <c r="CH1260" s="18"/>
      <c r="CI1260" s="18"/>
      <c r="CJ1260" s="18"/>
      <c r="CK1260" s="18"/>
      <c r="CL1260" s="18"/>
      <c r="CM1260" s="18"/>
      <c r="CN1260" s="18"/>
      <c r="CO1260" s="18"/>
      <c r="CP1260" s="18"/>
      <c r="CQ1260" s="18"/>
      <c r="CR1260" s="18"/>
      <c r="CS1260" s="18"/>
      <c r="CT1260" s="18"/>
      <c r="CU1260" s="18"/>
    </row>
    <row r="1261" spans="1:99">
      <c r="A1261" s="19"/>
      <c r="B1261" s="19"/>
      <c r="C1261" s="19"/>
      <c r="D1261" s="19"/>
      <c r="E1261" s="19"/>
      <c r="F1261" s="19"/>
      <c r="G1261" s="19"/>
      <c r="H1261" s="19"/>
      <c r="I1261" s="19"/>
      <c r="J1261" s="19"/>
      <c r="K1261" s="18"/>
      <c r="L1261" s="18"/>
      <c r="M1261" s="18"/>
      <c r="N1261" s="18"/>
      <c r="O1261" s="18"/>
      <c r="P1261" s="18"/>
      <c r="Q1261" s="18"/>
      <c r="R1261" s="18"/>
      <c r="S1261" s="18"/>
      <c r="T1261" s="18"/>
      <c r="U1261" s="18"/>
      <c r="V1261" s="18"/>
      <c r="W1261" s="18"/>
      <c r="X1261" s="18"/>
      <c r="Y1261" s="18"/>
      <c r="Z1261" s="18"/>
      <c r="AA1261" s="18"/>
      <c r="AB1261" s="18"/>
      <c r="AC1261" s="18"/>
      <c r="AD1261" s="18"/>
      <c r="AE1261" s="18"/>
      <c r="AF1261" s="18"/>
      <c r="AG1261" s="18"/>
      <c r="AH1261" s="18"/>
      <c r="AI1261" s="18"/>
      <c r="AJ1261" s="18"/>
      <c r="AK1261" s="18"/>
      <c r="AL1261" s="18"/>
      <c r="AM1261" s="18"/>
      <c r="AN1261" s="18"/>
      <c r="AO1261" s="18"/>
      <c r="AP1261" s="18"/>
      <c r="AQ1261" s="18"/>
      <c r="AR1261" s="18"/>
      <c r="AS1261" s="18"/>
      <c r="AT1261" s="18"/>
      <c r="AU1261" s="18"/>
      <c r="AV1261" s="18"/>
      <c r="AW1261" s="18"/>
      <c r="AX1261" s="18"/>
      <c r="AY1261" s="18"/>
      <c r="AZ1261" s="18"/>
      <c r="BA1261" s="18"/>
      <c r="BB1261" s="18"/>
      <c r="BC1261" s="18"/>
      <c r="BD1261" s="18"/>
      <c r="BE1261" s="18"/>
      <c r="BF1261" s="18"/>
      <c r="BG1261" s="18"/>
      <c r="BH1261" s="18"/>
      <c r="BI1261" s="18"/>
      <c r="BJ1261" s="18"/>
      <c r="BK1261" s="18"/>
      <c r="BL1261" s="18"/>
      <c r="BM1261" s="18"/>
      <c r="BN1261" s="18"/>
      <c r="BO1261" s="18"/>
      <c r="BP1261" s="18"/>
      <c r="BQ1261" s="18"/>
      <c r="BR1261" s="18"/>
      <c r="BS1261" s="18"/>
      <c r="BT1261" s="18"/>
      <c r="BU1261" s="18"/>
      <c r="BV1261" s="18"/>
      <c r="BW1261" s="18"/>
      <c r="BX1261" s="18"/>
      <c r="BY1261" s="18"/>
      <c r="BZ1261" s="18"/>
      <c r="CA1261" s="18"/>
      <c r="CB1261" s="18"/>
      <c r="CC1261" s="18"/>
      <c r="CD1261" s="18"/>
      <c r="CE1261" s="18"/>
      <c r="CF1261" s="18"/>
      <c r="CG1261" s="18"/>
      <c r="CH1261" s="18"/>
      <c r="CI1261" s="18"/>
      <c r="CJ1261" s="18"/>
      <c r="CK1261" s="18"/>
      <c r="CL1261" s="18"/>
      <c r="CM1261" s="18"/>
      <c r="CN1261" s="18"/>
      <c r="CO1261" s="18"/>
      <c r="CP1261" s="18"/>
      <c r="CQ1261" s="18"/>
      <c r="CR1261" s="18"/>
      <c r="CS1261" s="18"/>
      <c r="CT1261" s="18"/>
      <c r="CU1261" s="18"/>
    </row>
    <row r="1262" spans="1:99">
      <c r="A1262" s="19"/>
      <c r="B1262" s="19"/>
      <c r="C1262" s="19"/>
      <c r="D1262" s="19"/>
      <c r="E1262" s="19"/>
      <c r="F1262" s="19"/>
      <c r="G1262" s="19"/>
      <c r="H1262" s="19"/>
      <c r="I1262" s="19"/>
      <c r="J1262" s="19"/>
      <c r="K1262" s="18"/>
      <c r="L1262" s="18"/>
      <c r="M1262" s="18"/>
      <c r="N1262" s="18"/>
      <c r="O1262" s="18"/>
      <c r="P1262" s="18"/>
      <c r="Q1262" s="18"/>
      <c r="R1262" s="18"/>
      <c r="S1262" s="18"/>
      <c r="T1262" s="18"/>
      <c r="U1262" s="18"/>
      <c r="V1262" s="18"/>
      <c r="W1262" s="18"/>
      <c r="X1262" s="18"/>
      <c r="Y1262" s="18"/>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c r="BC1262" s="18"/>
      <c r="BD1262" s="18"/>
      <c r="BE1262" s="18"/>
      <c r="BF1262" s="18"/>
      <c r="BG1262" s="18"/>
      <c r="BH1262" s="18"/>
      <c r="BI1262" s="18"/>
      <c r="BJ1262" s="18"/>
      <c r="BK1262" s="18"/>
      <c r="BL1262" s="18"/>
      <c r="BM1262" s="18"/>
      <c r="BN1262" s="18"/>
      <c r="BO1262" s="18"/>
      <c r="BP1262" s="18"/>
      <c r="BQ1262" s="18"/>
      <c r="BR1262" s="18"/>
      <c r="BS1262" s="18"/>
      <c r="BT1262" s="18"/>
      <c r="BU1262" s="18"/>
      <c r="BV1262" s="18"/>
      <c r="BW1262" s="18"/>
      <c r="BX1262" s="18"/>
      <c r="BY1262" s="18"/>
      <c r="BZ1262" s="18"/>
      <c r="CA1262" s="18"/>
      <c r="CB1262" s="18"/>
      <c r="CC1262" s="18"/>
      <c r="CD1262" s="18"/>
      <c r="CE1262" s="18"/>
      <c r="CF1262" s="18"/>
      <c r="CG1262" s="18"/>
      <c r="CH1262" s="18"/>
      <c r="CI1262" s="18"/>
      <c r="CJ1262" s="18"/>
      <c r="CK1262" s="18"/>
      <c r="CL1262" s="18"/>
      <c r="CM1262" s="18"/>
      <c r="CN1262" s="18"/>
      <c r="CO1262" s="18"/>
      <c r="CP1262" s="18"/>
      <c r="CQ1262" s="18"/>
      <c r="CR1262" s="18"/>
      <c r="CS1262" s="18"/>
      <c r="CT1262" s="18"/>
      <c r="CU1262" s="18"/>
    </row>
    <row r="1263" spans="1:99">
      <c r="A1263" s="19"/>
      <c r="B1263" s="19"/>
      <c r="C1263" s="19"/>
      <c r="D1263" s="19"/>
      <c r="E1263" s="19"/>
      <c r="F1263" s="19"/>
      <c r="G1263" s="19"/>
      <c r="H1263" s="19"/>
      <c r="I1263" s="19"/>
      <c r="J1263" s="19"/>
      <c r="K1263" s="18"/>
      <c r="L1263" s="18"/>
      <c r="M1263" s="18"/>
      <c r="N1263" s="18"/>
      <c r="O1263" s="18"/>
      <c r="P1263" s="18"/>
      <c r="Q1263" s="18"/>
      <c r="R1263" s="18"/>
      <c r="S1263" s="18"/>
      <c r="T1263" s="18"/>
      <c r="U1263" s="18"/>
      <c r="V1263" s="18"/>
      <c r="W1263" s="18"/>
      <c r="X1263" s="18"/>
      <c r="Y1263" s="18"/>
      <c r="Z1263" s="18"/>
      <c r="AA1263" s="18"/>
      <c r="AB1263" s="18"/>
      <c r="AC1263" s="18"/>
      <c r="AD1263" s="18"/>
      <c r="AE1263" s="18"/>
      <c r="AF1263" s="18"/>
      <c r="AG1263" s="18"/>
      <c r="AH1263" s="18"/>
      <c r="AI1263" s="18"/>
      <c r="AJ1263" s="18"/>
      <c r="AK1263" s="18"/>
      <c r="AL1263" s="18"/>
      <c r="AM1263" s="18"/>
      <c r="AN1263" s="18"/>
      <c r="AO1263" s="18"/>
      <c r="AP1263" s="18"/>
      <c r="AQ1263" s="18"/>
      <c r="AR1263" s="18"/>
      <c r="AS1263" s="18"/>
      <c r="AT1263" s="18"/>
      <c r="AU1263" s="18"/>
      <c r="AV1263" s="18"/>
      <c r="AW1263" s="18"/>
      <c r="AX1263" s="18"/>
      <c r="AY1263" s="18"/>
      <c r="AZ1263" s="18"/>
      <c r="BA1263" s="18"/>
      <c r="BB1263" s="18"/>
      <c r="BC1263" s="18"/>
      <c r="BD1263" s="18"/>
      <c r="BE1263" s="18"/>
      <c r="BF1263" s="18"/>
      <c r="BG1263" s="18"/>
      <c r="BH1263" s="18"/>
      <c r="BI1263" s="18"/>
      <c r="BJ1263" s="18"/>
      <c r="BK1263" s="18"/>
      <c r="BL1263" s="18"/>
      <c r="BM1263" s="18"/>
      <c r="BN1263" s="18"/>
      <c r="BO1263" s="18"/>
      <c r="BP1263" s="18"/>
      <c r="BQ1263" s="18"/>
      <c r="BR1263" s="18"/>
      <c r="BS1263" s="18"/>
      <c r="BT1263" s="18"/>
      <c r="BU1263" s="18"/>
      <c r="BV1263" s="18"/>
      <c r="BW1263" s="18"/>
      <c r="BX1263" s="18"/>
      <c r="BY1263" s="18"/>
      <c r="BZ1263" s="18"/>
      <c r="CA1263" s="18"/>
      <c r="CB1263" s="18"/>
      <c r="CC1263" s="18"/>
      <c r="CD1263" s="18"/>
      <c r="CE1263" s="18"/>
      <c r="CF1263" s="18"/>
      <c r="CG1263" s="18"/>
      <c r="CH1263" s="18"/>
      <c r="CI1263" s="18"/>
      <c r="CJ1263" s="18"/>
      <c r="CK1263" s="18"/>
      <c r="CL1263" s="18"/>
      <c r="CM1263" s="18"/>
      <c r="CN1263" s="18"/>
      <c r="CO1263" s="18"/>
      <c r="CP1263" s="18"/>
      <c r="CQ1263" s="18"/>
      <c r="CR1263" s="18"/>
      <c r="CS1263" s="18"/>
      <c r="CT1263" s="18"/>
      <c r="CU1263" s="18"/>
    </row>
    <row r="1264" spans="1:99">
      <c r="A1264" s="19"/>
      <c r="B1264" s="19"/>
      <c r="C1264" s="19"/>
      <c r="D1264" s="19"/>
      <c r="E1264" s="19"/>
      <c r="F1264" s="19"/>
      <c r="G1264" s="19"/>
      <c r="H1264" s="19"/>
      <c r="I1264" s="19"/>
      <c r="J1264" s="19"/>
      <c r="K1264" s="18"/>
      <c r="L1264" s="18"/>
      <c r="M1264" s="18"/>
      <c r="N1264" s="18"/>
      <c r="O1264" s="18"/>
      <c r="P1264" s="18"/>
      <c r="Q1264" s="18"/>
      <c r="R1264" s="18"/>
      <c r="S1264" s="18"/>
      <c r="T1264" s="18"/>
      <c r="U1264" s="18"/>
      <c r="V1264" s="18"/>
      <c r="W1264" s="18"/>
      <c r="X1264" s="18"/>
      <c r="Y1264" s="18"/>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c r="BC1264" s="18"/>
      <c r="BD1264" s="18"/>
      <c r="BE1264" s="18"/>
      <c r="BF1264" s="18"/>
      <c r="BG1264" s="18"/>
      <c r="BH1264" s="18"/>
      <c r="BI1264" s="18"/>
      <c r="BJ1264" s="18"/>
      <c r="BK1264" s="18"/>
      <c r="BL1264" s="18"/>
      <c r="BM1264" s="18"/>
      <c r="BN1264" s="18"/>
      <c r="BO1264" s="18"/>
      <c r="BP1264" s="18"/>
      <c r="BQ1264" s="18"/>
      <c r="BR1264" s="18"/>
      <c r="BS1264" s="18"/>
      <c r="BT1264" s="18"/>
      <c r="BU1264" s="18"/>
      <c r="BV1264" s="18"/>
      <c r="BW1264" s="18"/>
      <c r="BX1264" s="18"/>
      <c r="BY1264" s="18"/>
      <c r="BZ1264" s="18"/>
      <c r="CA1264" s="18"/>
      <c r="CB1264" s="18"/>
      <c r="CC1264" s="18"/>
      <c r="CD1264" s="18"/>
      <c r="CE1264" s="18"/>
      <c r="CF1264" s="18"/>
      <c r="CG1264" s="18"/>
      <c r="CH1264" s="18"/>
      <c r="CI1264" s="18"/>
      <c r="CJ1264" s="18"/>
      <c r="CK1264" s="18"/>
      <c r="CL1264" s="18"/>
      <c r="CM1264" s="18"/>
      <c r="CN1264" s="18"/>
      <c r="CO1264" s="18"/>
      <c r="CP1264" s="18"/>
      <c r="CQ1264" s="18"/>
      <c r="CR1264" s="18"/>
      <c r="CS1264" s="18"/>
      <c r="CT1264" s="18"/>
      <c r="CU1264" s="18"/>
    </row>
    <row r="1265" spans="1:99">
      <c r="A1265" s="19"/>
      <c r="B1265" s="19"/>
      <c r="C1265" s="19"/>
      <c r="D1265" s="19"/>
      <c r="E1265" s="19"/>
      <c r="F1265" s="19"/>
      <c r="G1265" s="19"/>
      <c r="H1265" s="19"/>
      <c r="I1265" s="19"/>
      <c r="J1265" s="19"/>
      <c r="K1265" s="18"/>
      <c r="L1265" s="18"/>
      <c r="M1265" s="18"/>
      <c r="N1265" s="18"/>
      <c r="O1265" s="18"/>
      <c r="P1265" s="18"/>
      <c r="Q1265" s="18"/>
      <c r="R1265" s="18"/>
      <c r="S1265" s="18"/>
      <c r="T1265" s="18"/>
      <c r="U1265" s="18"/>
      <c r="V1265" s="18"/>
      <c r="W1265" s="18"/>
      <c r="X1265" s="18"/>
      <c r="Y1265" s="18"/>
      <c r="Z1265" s="18"/>
      <c r="AA1265" s="18"/>
      <c r="AB1265" s="18"/>
      <c r="AC1265" s="18"/>
      <c r="AD1265" s="18"/>
      <c r="AE1265" s="18"/>
      <c r="AF1265" s="18"/>
      <c r="AG1265" s="18"/>
      <c r="AH1265" s="18"/>
      <c r="AI1265" s="18"/>
      <c r="AJ1265" s="18"/>
      <c r="AK1265" s="18"/>
      <c r="AL1265" s="18"/>
      <c r="AM1265" s="18"/>
      <c r="AN1265" s="18"/>
      <c r="AO1265" s="18"/>
      <c r="AP1265" s="18"/>
      <c r="AQ1265" s="18"/>
      <c r="AR1265" s="18"/>
      <c r="AS1265" s="18"/>
      <c r="AT1265" s="18"/>
      <c r="AU1265" s="18"/>
      <c r="AV1265" s="18"/>
      <c r="AW1265" s="18"/>
      <c r="AX1265" s="18"/>
      <c r="AY1265" s="18"/>
      <c r="AZ1265" s="18"/>
      <c r="BA1265" s="18"/>
      <c r="BB1265" s="18"/>
      <c r="BC1265" s="18"/>
      <c r="BD1265" s="18"/>
      <c r="BE1265" s="18"/>
      <c r="BF1265" s="18"/>
      <c r="BG1265" s="18"/>
      <c r="BH1265" s="18"/>
      <c r="BI1265" s="18"/>
      <c r="BJ1265" s="18"/>
      <c r="BK1265" s="18"/>
      <c r="BL1265" s="18"/>
      <c r="BM1265" s="18"/>
      <c r="BN1265" s="18"/>
      <c r="BO1265" s="18"/>
      <c r="BP1265" s="18"/>
      <c r="BQ1265" s="18"/>
      <c r="BR1265" s="18"/>
      <c r="BS1265" s="18"/>
      <c r="BT1265" s="18"/>
      <c r="BU1265" s="18"/>
      <c r="BV1265" s="18"/>
      <c r="BW1265" s="18"/>
      <c r="BX1265" s="18"/>
      <c r="BY1265" s="18"/>
      <c r="BZ1265" s="18"/>
      <c r="CA1265" s="18"/>
      <c r="CB1265" s="18"/>
      <c r="CC1265" s="18"/>
      <c r="CD1265" s="18"/>
      <c r="CE1265" s="18"/>
      <c r="CF1265" s="18"/>
      <c r="CG1265" s="18"/>
      <c r="CH1265" s="18"/>
      <c r="CI1265" s="18"/>
      <c r="CJ1265" s="18"/>
      <c r="CK1265" s="18"/>
      <c r="CL1265" s="18"/>
      <c r="CM1265" s="18"/>
      <c r="CN1265" s="18"/>
      <c r="CO1265" s="18"/>
      <c r="CP1265" s="18"/>
      <c r="CQ1265" s="18"/>
      <c r="CR1265" s="18"/>
      <c r="CS1265" s="18"/>
      <c r="CT1265" s="18"/>
      <c r="CU1265" s="18"/>
    </row>
    <row r="1266" spans="1:99">
      <c r="A1266" s="19"/>
      <c r="B1266" s="19"/>
      <c r="C1266" s="19"/>
      <c r="D1266" s="19"/>
      <c r="E1266" s="19"/>
      <c r="F1266" s="19"/>
      <c r="G1266" s="19"/>
      <c r="H1266" s="19"/>
      <c r="I1266" s="19"/>
      <c r="J1266" s="19"/>
      <c r="K1266" s="18"/>
      <c r="L1266" s="18"/>
      <c r="M1266" s="18"/>
      <c r="N1266" s="18"/>
      <c r="O1266" s="18"/>
      <c r="P1266" s="18"/>
      <c r="Q1266" s="18"/>
      <c r="R1266" s="18"/>
      <c r="S1266" s="18"/>
      <c r="T1266" s="18"/>
      <c r="U1266" s="18"/>
      <c r="V1266" s="18"/>
      <c r="W1266" s="18"/>
      <c r="X1266" s="18"/>
      <c r="Y1266" s="18"/>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c r="BC1266" s="18"/>
      <c r="BD1266" s="18"/>
      <c r="BE1266" s="18"/>
      <c r="BF1266" s="18"/>
      <c r="BG1266" s="18"/>
      <c r="BH1266" s="18"/>
      <c r="BI1266" s="18"/>
      <c r="BJ1266" s="18"/>
      <c r="BK1266" s="18"/>
      <c r="BL1266" s="18"/>
      <c r="BM1266" s="18"/>
      <c r="BN1266" s="18"/>
      <c r="BO1266" s="18"/>
      <c r="BP1266" s="18"/>
      <c r="BQ1266" s="18"/>
      <c r="BR1266" s="18"/>
      <c r="BS1266" s="18"/>
      <c r="BT1266" s="18"/>
      <c r="BU1266" s="18"/>
      <c r="BV1266" s="18"/>
      <c r="BW1266" s="18"/>
      <c r="BX1266" s="18"/>
      <c r="BY1266" s="18"/>
      <c r="BZ1266" s="18"/>
      <c r="CA1266" s="18"/>
      <c r="CB1266" s="18"/>
      <c r="CC1266" s="18"/>
      <c r="CD1266" s="18"/>
      <c r="CE1266" s="18"/>
      <c r="CF1266" s="18"/>
      <c r="CG1266" s="18"/>
      <c r="CH1266" s="18"/>
      <c r="CI1266" s="18"/>
      <c r="CJ1266" s="18"/>
      <c r="CK1266" s="18"/>
      <c r="CL1266" s="18"/>
      <c r="CM1266" s="18"/>
      <c r="CN1266" s="18"/>
      <c r="CO1266" s="18"/>
      <c r="CP1266" s="18"/>
      <c r="CQ1266" s="18"/>
      <c r="CR1266" s="18"/>
      <c r="CS1266" s="18"/>
      <c r="CT1266" s="18"/>
      <c r="CU1266" s="18"/>
    </row>
    <row r="1267" spans="1:99">
      <c r="A1267" s="19"/>
      <c r="B1267" s="19"/>
      <c r="C1267" s="19"/>
      <c r="D1267" s="19"/>
      <c r="E1267" s="19"/>
      <c r="F1267" s="19"/>
      <c r="G1267" s="19"/>
      <c r="H1267" s="19"/>
      <c r="I1267" s="19"/>
      <c r="J1267" s="19"/>
      <c r="K1267" s="18"/>
      <c r="L1267" s="18"/>
      <c r="M1267" s="18"/>
      <c r="N1267" s="18"/>
      <c r="O1267" s="18"/>
      <c r="P1267" s="18"/>
      <c r="Q1267" s="18"/>
      <c r="R1267" s="18"/>
      <c r="S1267" s="18"/>
      <c r="T1267" s="18"/>
      <c r="U1267" s="18"/>
      <c r="V1267" s="18"/>
      <c r="W1267" s="18"/>
      <c r="X1267" s="18"/>
      <c r="Y1267" s="18"/>
      <c r="Z1267" s="18"/>
      <c r="AA1267" s="18"/>
      <c r="AB1267" s="18"/>
      <c r="AC1267" s="18"/>
      <c r="AD1267" s="18"/>
      <c r="AE1267" s="18"/>
      <c r="AF1267" s="18"/>
      <c r="AG1267" s="18"/>
      <c r="AH1267" s="18"/>
      <c r="AI1267" s="18"/>
      <c r="AJ1267" s="18"/>
      <c r="AK1267" s="18"/>
      <c r="AL1267" s="18"/>
      <c r="AM1267" s="18"/>
      <c r="AN1267" s="18"/>
      <c r="AO1267" s="18"/>
      <c r="AP1267" s="18"/>
      <c r="AQ1267" s="18"/>
      <c r="AR1267" s="18"/>
      <c r="AS1267" s="18"/>
      <c r="AT1267" s="18"/>
      <c r="AU1267" s="18"/>
      <c r="AV1267" s="18"/>
      <c r="AW1267" s="18"/>
      <c r="AX1267" s="18"/>
      <c r="AY1267" s="18"/>
      <c r="AZ1267" s="18"/>
      <c r="BA1267" s="18"/>
      <c r="BB1267" s="18"/>
      <c r="BC1267" s="18"/>
      <c r="BD1267" s="18"/>
      <c r="BE1267" s="18"/>
      <c r="BF1267" s="18"/>
      <c r="BG1267" s="18"/>
      <c r="BH1267" s="18"/>
      <c r="BI1267" s="18"/>
      <c r="BJ1267" s="18"/>
      <c r="BK1267" s="18"/>
      <c r="BL1267" s="18"/>
      <c r="BM1267" s="18"/>
      <c r="BN1267" s="18"/>
      <c r="BO1267" s="18"/>
      <c r="BP1267" s="18"/>
      <c r="BQ1267" s="18"/>
      <c r="BR1267" s="18"/>
      <c r="BS1267" s="18"/>
      <c r="BT1267" s="18"/>
      <c r="BU1267" s="18"/>
      <c r="BV1267" s="18"/>
      <c r="BW1267" s="18"/>
      <c r="BX1267" s="18"/>
      <c r="BY1267" s="18"/>
      <c r="BZ1267" s="18"/>
      <c r="CA1267" s="18"/>
      <c r="CB1267" s="18"/>
      <c r="CC1267" s="18"/>
      <c r="CD1267" s="18"/>
      <c r="CE1267" s="18"/>
      <c r="CF1267" s="18"/>
      <c r="CG1267" s="18"/>
      <c r="CH1267" s="18"/>
      <c r="CI1267" s="18"/>
      <c r="CJ1267" s="18"/>
      <c r="CK1267" s="18"/>
      <c r="CL1267" s="18"/>
      <c r="CM1267" s="18"/>
      <c r="CN1267" s="18"/>
      <c r="CO1267" s="18"/>
      <c r="CP1267" s="18"/>
      <c r="CQ1267" s="18"/>
      <c r="CR1267" s="18"/>
      <c r="CS1267" s="18"/>
      <c r="CT1267" s="18"/>
      <c r="CU1267" s="18"/>
    </row>
    <row r="1268" spans="1:99">
      <c r="A1268" s="19"/>
      <c r="B1268" s="19"/>
      <c r="C1268" s="19"/>
      <c r="D1268" s="19"/>
      <c r="E1268" s="19"/>
      <c r="F1268" s="19"/>
      <c r="G1268" s="19"/>
      <c r="H1268" s="19"/>
      <c r="I1268" s="19"/>
      <c r="J1268" s="19"/>
      <c r="K1268" s="18"/>
      <c r="L1268" s="18"/>
      <c r="M1268" s="18"/>
      <c r="N1268" s="18"/>
      <c r="O1268" s="18"/>
      <c r="P1268" s="18"/>
      <c r="Q1268" s="18"/>
      <c r="R1268" s="18"/>
      <c r="S1268" s="18"/>
      <c r="T1268" s="18"/>
      <c r="U1268" s="18"/>
      <c r="V1268" s="18"/>
      <c r="W1268" s="18"/>
      <c r="X1268" s="18"/>
      <c r="Y1268" s="18"/>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c r="BC1268" s="18"/>
      <c r="BD1268" s="18"/>
      <c r="BE1268" s="18"/>
      <c r="BF1268" s="18"/>
      <c r="BG1268" s="18"/>
      <c r="BH1268" s="18"/>
      <c r="BI1268" s="18"/>
      <c r="BJ1268" s="18"/>
      <c r="BK1268" s="18"/>
      <c r="BL1268" s="18"/>
      <c r="BM1268" s="18"/>
      <c r="BN1268" s="18"/>
      <c r="BO1268" s="18"/>
      <c r="BP1268" s="18"/>
      <c r="BQ1268" s="18"/>
      <c r="BR1268" s="18"/>
      <c r="BS1268" s="18"/>
      <c r="BT1268" s="18"/>
      <c r="BU1268" s="18"/>
      <c r="BV1268" s="18"/>
      <c r="BW1268" s="18"/>
      <c r="BX1268" s="18"/>
      <c r="BY1268" s="18"/>
      <c r="BZ1268" s="18"/>
      <c r="CA1268" s="18"/>
      <c r="CB1268" s="18"/>
      <c r="CC1268" s="18"/>
      <c r="CD1268" s="18"/>
      <c r="CE1268" s="18"/>
      <c r="CF1268" s="18"/>
      <c r="CG1268" s="18"/>
      <c r="CH1268" s="18"/>
      <c r="CI1268" s="18"/>
      <c r="CJ1268" s="18"/>
      <c r="CK1268" s="18"/>
      <c r="CL1268" s="18"/>
      <c r="CM1268" s="18"/>
      <c r="CN1268" s="18"/>
      <c r="CO1268" s="18"/>
      <c r="CP1268" s="18"/>
      <c r="CQ1268" s="18"/>
      <c r="CR1268" s="18"/>
      <c r="CS1268" s="18"/>
      <c r="CT1268" s="18"/>
      <c r="CU1268" s="18"/>
    </row>
    <row r="1269" spans="1:99">
      <c r="A1269" s="19"/>
      <c r="B1269" s="19"/>
      <c r="C1269" s="19"/>
      <c r="D1269" s="19"/>
      <c r="E1269" s="19"/>
      <c r="F1269" s="19"/>
      <c r="G1269" s="19"/>
      <c r="H1269" s="19"/>
      <c r="I1269" s="19"/>
      <c r="J1269" s="19"/>
      <c r="K1269" s="18"/>
      <c r="L1269" s="18"/>
      <c r="M1269" s="18"/>
      <c r="N1269" s="18"/>
      <c r="O1269" s="18"/>
      <c r="P1269" s="18"/>
      <c r="Q1269" s="18"/>
      <c r="R1269" s="18"/>
      <c r="S1269" s="18"/>
      <c r="T1269" s="18"/>
      <c r="U1269" s="18"/>
      <c r="V1269" s="18"/>
      <c r="W1269" s="18"/>
      <c r="X1269" s="18"/>
      <c r="Y1269" s="18"/>
      <c r="Z1269" s="18"/>
      <c r="AA1269" s="18"/>
      <c r="AB1269" s="18"/>
      <c r="AC1269" s="18"/>
      <c r="AD1269" s="18"/>
      <c r="AE1269" s="18"/>
      <c r="AF1269" s="18"/>
      <c r="AG1269" s="18"/>
      <c r="AH1269" s="18"/>
      <c r="AI1269" s="18"/>
      <c r="AJ1269" s="18"/>
      <c r="AK1269" s="18"/>
      <c r="AL1269" s="18"/>
      <c r="AM1269" s="18"/>
      <c r="AN1269" s="18"/>
      <c r="AO1269" s="18"/>
      <c r="AP1269" s="18"/>
      <c r="AQ1269" s="18"/>
      <c r="AR1269" s="18"/>
      <c r="AS1269" s="18"/>
      <c r="AT1269" s="18"/>
      <c r="AU1269" s="18"/>
      <c r="AV1269" s="18"/>
      <c r="AW1269" s="18"/>
      <c r="AX1269" s="18"/>
      <c r="AY1269" s="18"/>
      <c r="AZ1269" s="18"/>
      <c r="BA1269" s="18"/>
      <c r="BB1269" s="18"/>
      <c r="BC1269" s="18"/>
      <c r="BD1269" s="18"/>
      <c r="BE1269" s="18"/>
      <c r="BF1269" s="18"/>
      <c r="BG1269" s="18"/>
      <c r="BH1269" s="18"/>
      <c r="BI1269" s="18"/>
      <c r="BJ1269" s="18"/>
      <c r="BK1269" s="18"/>
      <c r="BL1269" s="18"/>
      <c r="BM1269" s="18"/>
      <c r="BN1269" s="18"/>
      <c r="BO1269" s="18"/>
      <c r="BP1269" s="18"/>
      <c r="BQ1269" s="18"/>
      <c r="BR1269" s="18"/>
      <c r="BS1269" s="18"/>
      <c r="BT1269" s="18"/>
      <c r="BU1269" s="18"/>
      <c r="BV1269" s="18"/>
      <c r="BW1269" s="18"/>
      <c r="BX1269" s="18"/>
      <c r="BY1269" s="18"/>
      <c r="BZ1269" s="18"/>
      <c r="CA1269" s="18"/>
      <c r="CB1269" s="18"/>
      <c r="CC1269" s="18"/>
      <c r="CD1269" s="18"/>
      <c r="CE1269" s="18"/>
      <c r="CF1269" s="18"/>
      <c r="CG1269" s="18"/>
      <c r="CH1269" s="18"/>
      <c r="CI1269" s="18"/>
      <c r="CJ1269" s="18"/>
      <c r="CK1269" s="18"/>
      <c r="CL1269" s="18"/>
      <c r="CM1269" s="18"/>
      <c r="CN1269" s="18"/>
      <c r="CO1269" s="18"/>
      <c r="CP1269" s="18"/>
      <c r="CQ1269" s="18"/>
      <c r="CR1269" s="18"/>
      <c r="CS1269" s="18"/>
      <c r="CT1269" s="18"/>
      <c r="CU1269" s="18"/>
    </row>
    <row r="1270" spans="1:99">
      <c r="A1270" s="19"/>
      <c r="B1270" s="19"/>
      <c r="C1270" s="19"/>
      <c r="D1270" s="19"/>
      <c r="E1270" s="19"/>
      <c r="F1270" s="19"/>
      <c r="G1270" s="19"/>
      <c r="H1270" s="19"/>
      <c r="I1270" s="19"/>
      <c r="J1270" s="19"/>
      <c r="K1270" s="18"/>
      <c r="L1270" s="18"/>
      <c r="M1270" s="18"/>
      <c r="N1270" s="18"/>
      <c r="O1270" s="18"/>
      <c r="P1270" s="18"/>
      <c r="Q1270" s="18"/>
      <c r="R1270" s="18"/>
      <c r="S1270" s="18"/>
      <c r="T1270" s="18"/>
      <c r="U1270" s="18"/>
      <c r="V1270" s="18"/>
      <c r="W1270" s="18"/>
      <c r="X1270" s="18"/>
      <c r="Y1270" s="18"/>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c r="BC1270" s="18"/>
      <c r="BD1270" s="18"/>
      <c r="BE1270" s="18"/>
      <c r="BF1270" s="18"/>
      <c r="BG1270" s="18"/>
      <c r="BH1270" s="18"/>
      <c r="BI1270" s="18"/>
      <c r="BJ1270" s="18"/>
      <c r="BK1270" s="18"/>
      <c r="BL1270" s="18"/>
      <c r="BM1270" s="18"/>
      <c r="BN1270" s="18"/>
      <c r="BO1270" s="18"/>
      <c r="BP1270" s="18"/>
      <c r="BQ1270" s="18"/>
      <c r="BR1270" s="18"/>
      <c r="BS1270" s="18"/>
      <c r="BT1270" s="18"/>
      <c r="BU1270" s="18"/>
      <c r="BV1270" s="18"/>
      <c r="BW1270" s="18"/>
      <c r="BX1270" s="18"/>
      <c r="BY1270" s="18"/>
      <c r="BZ1270" s="18"/>
      <c r="CA1270" s="18"/>
      <c r="CB1270" s="18"/>
      <c r="CC1270" s="18"/>
      <c r="CD1270" s="18"/>
      <c r="CE1270" s="18"/>
      <c r="CF1270" s="18"/>
      <c r="CG1270" s="18"/>
      <c r="CH1270" s="18"/>
      <c r="CI1270" s="18"/>
      <c r="CJ1270" s="18"/>
      <c r="CK1270" s="18"/>
      <c r="CL1270" s="18"/>
      <c r="CM1270" s="18"/>
      <c r="CN1270" s="18"/>
      <c r="CO1270" s="18"/>
      <c r="CP1270" s="18"/>
      <c r="CQ1270" s="18"/>
      <c r="CR1270" s="18"/>
      <c r="CS1270" s="18"/>
      <c r="CT1270" s="18"/>
      <c r="CU1270" s="18"/>
    </row>
    <row r="1271" spans="1:99">
      <c r="A1271" s="19"/>
      <c r="B1271" s="19"/>
      <c r="C1271" s="19"/>
      <c r="D1271" s="19"/>
      <c r="E1271" s="19"/>
      <c r="F1271" s="19"/>
      <c r="G1271" s="19"/>
      <c r="H1271" s="19"/>
      <c r="I1271" s="19"/>
      <c r="J1271" s="19"/>
      <c r="K1271" s="18"/>
      <c r="L1271" s="18"/>
      <c r="M1271" s="18"/>
      <c r="N1271" s="18"/>
      <c r="O1271" s="18"/>
      <c r="P1271" s="18"/>
      <c r="Q1271" s="18"/>
      <c r="R1271" s="18"/>
      <c r="S1271" s="18"/>
      <c r="T1271" s="18"/>
      <c r="U1271" s="18"/>
      <c r="V1271" s="18"/>
      <c r="W1271" s="18"/>
      <c r="X1271" s="18"/>
      <c r="Y1271" s="18"/>
      <c r="Z1271" s="18"/>
      <c r="AA1271" s="18"/>
      <c r="AB1271" s="18"/>
      <c r="AC1271" s="18"/>
      <c r="AD1271" s="18"/>
      <c r="AE1271" s="18"/>
      <c r="AF1271" s="18"/>
      <c r="AG1271" s="18"/>
      <c r="AH1271" s="18"/>
      <c r="AI1271" s="18"/>
      <c r="AJ1271" s="18"/>
      <c r="AK1271" s="18"/>
      <c r="AL1271" s="18"/>
      <c r="AM1271" s="18"/>
      <c r="AN1271" s="18"/>
      <c r="AO1271" s="18"/>
      <c r="AP1271" s="18"/>
      <c r="AQ1271" s="18"/>
      <c r="AR1271" s="18"/>
      <c r="AS1271" s="18"/>
      <c r="AT1271" s="18"/>
      <c r="AU1271" s="18"/>
      <c r="AV1271" s="18"/>
      <c r="AW1271" s="18"/>
      <c r="AX1271" s="18"/>
      <c r="AY1271" s="18"/>
      <c r="AZ1271" s="18"/>
      <c r="BA1271" s="18"/>
      <c r="BB1271" s="18"/>
      <c r="BC1271" s="18"/>
      <c r="BD1271" s="18"/>
      <c r="BE1271" s="18"/>
      <c r="BF1271" s="18"/>
      <c r="BG1271" s="18"/>
      <c r="BH1271" s="18"/>
      <c r="BI1271" s="18"/>
      <c r="BJ1271" s="18"/>
      <c r="BK1271" s="18"/>
      <c r="BL1271" s="18"/>
      <c r="BM1271" s="18"/>
      <c r="BN1271" s="18"/>
      <c r="BO1271" s="18"/>
      <c r="BP1271" s="18"/>
      <c r="BQ1271" s="18"/>
      <c r="BR1271" s="18"/>
      <c r="BS1271" s="18"/>
      <c r="BT1271" s="18"/>
      <c r="BU1271" s="18"/>
      <c r="BV1271" s="18"/>
      <c r="BW1271" s="18"/>
      <c r="BX1271" s="18"/>
      <c r="BY1271" s="18"/>
      <c r="BZ1271" s="18"/>
      <c r="CA1271" s="18"/>
      <c r="CB1271" s="18"/>
      <c r="CC1271" s="18"/>
      <c r="CD1271" s="18"/>
      <c r="CE1271" s="18"/>
      <c r="CF1271" s="18"/>
      <c r="CG1271" s="18"/>
      <c r="CH1271" s="18"/>
      <c r="CI1271" s="18"/>
      <c r="CJ1271" s="18"/>
      <c r="CK1271" s="18"/>
      <c r="CL1271" s="18"/>
      <c r="CM1271" s="18"/>
      <c r="CN1271" s="18"/>
      <c r="CO1271" s="18"/>
      <c r="CP1271" s="18"/>
      <c r="CQ1271" s="18"/>
      <c r="CR1271" s="18"/>
      <c r="CS1271" s="18"/>
      <c r="CT1271" s="18"/>
      <c r="CU1271" s="18"/>
    </row>
    <row r="1272" spans="1:99">
      <c r="A1272" s="19"/>
      <c r="B1272" s="19"/>
      <c r="C1272" s="19"/>
      <c r="D1272" s="19"/>
      <c r="E1272" s="19"/>
      <c r="F1272" s="19"/>
      <c r="G1272" s="19"/>
      <c r="H1272" s="19"/>
      <c r="I1272" s="19"/>
      <c r="J1272" s="19"/>
      <c r="K1272" s="18"/>
      <c r="L1272" s="18"/>
      <c r="M1272" s="18"/>
      <c r="N1272" s="18"/>
      <c r="O1272" s="18"/>
      <c r="P1272" s="18"/>
      <c r="Q1272" s="18"/>
      <c r="R1272" s="18"/>
      <c r="S1272" s="18"/>
      <c r="T1272" s="18"/>
      <c r="U1272" s="18"/>
      <c r="V1272" s="18"/>
      <c r="W1272" s="18"/>
      <c r="X1272" s="18"/>
      <c r="Y1272" s="18"/>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c r="BC1272" s="18"/>
      <c r="BD1272" s="18"/>
      <c r="BE1272" s="18"/>
      <c r="BF1272" s="18"/>
      <c r="BG1272" s="18"/>
      <c r="BH1272" s="18"/>
      <c r="BI1272" s="18"/>
      <c r="BJ1272" s="18"/>
      <c r="BK1272" s="18"/>
      <c r="BL1272" s="18"/>
      <c r="BM1272" s="18"/>
      <c r="BN1272" s="18"/>
      <c r="BO1272" s="18"/>
      <c r="BP1272" s="18"/>
      <c r="BQ1272" s="18"/>
      <c r="BR1272" s="18"/>
      <c r="BS1272" s="18"/>
      <c r="BT1272" s="18"/>
      <c r="BU1272" s="18"/>
      <c r="BV1272" s="18"/>
      <c r="BW1272" s="18"/>
      <c r="BX1272" s="18"/>
      <c r="BY1272" s="18"/>
      <c r="BZ1272" s="18"/>
      <c r="CA1272" s="18"/>
      <c r="CB1272" s="18"/>
      <c r="CC1272" s="18"/>
      <c r="CD1272" s="18"/>
      <c r="CE1272" s="18"/>
      <c r="CF1272" s="18"/>
      <c r="CG1272" s="18"/>
      <c r="CH1272" s="18"/>
      <c r="CI1272" s="18"/>
      <c r="CJ1272" s="18"/>
      <c r="CK1272" s="18"/>
      <c r="CL1272" s="18"/>
      <c r="CM1272" s="18"/>
      <c r="CN1272" s="18"/>
      <c r="CO1272" s="18"/>
      <c r="CP1272" s="18"/>
      <c r="CQ1272" s="18"/>
      <c r="CR1272" s="18"/>
      <c r="CS1272" s="18"/>
      <c r="CT1272" s="18"/>
      <c r="CU1272" s="18"/>
    </row>
    <row r="1273" spans="1:99">
      <c r="A1273" s="19"/>
      <c r="B1273" s="19"/>
      <c r="C1273" s="19"/>
      <c r="D1273" s="19"/>
      <c r="E1273" s="19"/>
      <c r="F1273" s="19"/>
      <c r="G1273" s="19"/>
      <c r="H1273" s="19"/>
      <c r="I1273" s="19"/>
      <c r="J1273" s="19"/>
      <c r="K1273" s="18"/>
      <c r="L1273" s="18"/>
      <c r="M1273" s="18"/>
      <c r="N1273" s="18"/>
      <c r="O1273" s="18"/>
      <c r="P1273" s="18"/>
      <c r="Q1273" s="18"/>
      <c r="R1273" s="18"/>
      <c r="S1273" s="18"/>
      <c r="T1273" s="18"/>
      <c r="U1273" s="18"/>
      <c r="V1273" s="18"/>
      <c r="W1273" s="18"/>
      <c r="X1273" s="18"/>
      <c r="Y1273" s="18"/>
      <c r="Z1273" s="18"/>
      <c r="AA1273" s="18"/>
      <c r="AB1273" s="18"/>
      <c r="AC1273" s="18"/>
      <c r="AD1273" s="18"/>
      <c r="AE1273" s="18"/>
      <c r="AF1273" s="18"/>
      <c r="AG1273" s="18"/>
      <c r="AH1273" s="18"/>
      <c r="AI1273" s="18"/>
      <c r="AJ1273" s="18"/>
      <c r="AK1273" s="18"/>
      <c r="AL1273" s="18"/>
      <c r="AM1273" s="18"/>
      <c r="AN1273" s="18"/>
      <c r="AO1273" s="18"/>
      <c r="AP1273" s="18"/>
      <c r="AQ1273" s="18"/>
      <c r="AR1273" s="18"/>
      <c r="AS1273" s="18"/>
      <c r="AT1273" s="18"/>
      <c r="AU1273" s="18"/>
      <c r="AV1273" s="18"/>
      <c r="AW1273" s="18"/>
      <c r="AX1273" s="18"/>
      <c r="AY1273" s="18"/>
      <c r="AZ1273" s="18"/>
      <c r="BA1273" s="18"/>
      <c r="BB1273" s="18"/>
      <c r="BC1273" s="18"/>
      <c r="BD1273" s="18"/>
      <c r="BE1273" s="18"/>
      <c r="BF1273" s="18"/>
      <c r="BG1273" s="18"/>
      <c r="BH1273" s="18"/>
      <c r="BI1273" s="18"/>
      <c r="BJ1273" s="18"/>
      <c r="BK1273" s="18"/>
      <c r="BL1273" s="18"/>
      <c r="BM1273" s="18"/>
      <c r="BN1273" s="18"/>
      <c r="BO1273" s="18"/>
      <c r="BP1273" s="18"/>
      <c r="BQ1273" s="18"/>
      <c r="BR1273" s="18"/>
      <c r="BS1273" s="18"/>
      <c r="BT1273" s="18"/>
      <c r="BU1273" s="18"/>
      <c r="BV1273" s="18"/>
      <c r="BW1273" s="18"/>
      <c r="BX1273" s="18"/>
      <c r="BY1273" s="18"/>
      <c r="BZ1273" s="18"/>
      <c r="CA1273" s="18"/>
      <c r="CB1273" s="18"/>
      <c r="CC1273" s="18"/>
      <c r="CD1273" s="18"/>
      <c r="CE1273" s="18"/>
      <c r="CF1273" s="18"/>
      <c r="CG1273" s="18"/>
      <c r="CH1273" s="18"/>
      <c r="CI1273" s="18"/>
      <c r="CJ1273" s="18"/>
      <c r="CK1273" s="18"/>
      <c r="CL1273" s="18"/>
      <c r="CM1273" s="18"/>
      <c r="CN1273" s="18"/>
      <c r="CO1273" s="18"/>
      <c r="CP1273" s="18"/>
      <c r="CQ1273" s="18"/>
      <c r="CR1273" s="18"/>
      <c r="CS1273" s="18"/>
      <c r="CT1273" s="18"/>
      <c r="CU1273" s="18"/>
    </row>
    <row r="1274" spans="1:99">
      <c r="A1274" s="19"/>
      <c r="B1274" s="19"/>
      <c r="C1274" s="19"/>
      <c r="D1274" s="19"/>
      <c r="E1274" s="19"/>
      <c r="F1274" s="19"/>
      <c r="G1274" s="19"/>
      <c r="H1274" s="19"/>
      <c r="I1274" s="19"/>
      <c r="J1274" s="19"/>
      <c r="K1274" s="18"/>
      <c r="L1274" s="18"/>
      <c r="M1274" s="18"/>
      <c r="N1274" s="18"/>
      <c r="O1274" s="18"/>
      <c r="P1274" s="18"/>
      <c r="Q1274" s="18"/>
      <c r="R1274" s="18"/>
      <c r="S1274" s="18"/>
      <c r="T1274" s="18"/>
      <c r="U1274" s="18"/>
      <c r="V1274" s="18"/>
      <c r="W1274" s="18"/>
      <c r="X1274" s="18"/>
      <c r="Y1274" s="18"/>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c r="BC1274" s="18"/>
      <c r="BD1274" s="18"/>
      <c r="BE1274" s="18"/>
      <c r="BF1274" s="18"/>
      <c r="BG1274" s="18"/>
      <c r="BH1274" s="18"/>
      <c r="BI1274" s="18"/>
      <c r="BJ1274" s="18"/>
      <c r="BK1274" s="18"/>
      <c r="BL1274" s="18"/>
      <c r="BM1274" s="18"/>
      <c r="BN1274" s="18"/>
      <c r="BO1274" s="18"/>
      <c r="BP1274" s="18"/>
      <c r="BQ1274" s="18"/>
      <c r="BR1274" s="18"/>
      <c r="BS1274" s="18"/>
      <c r="BT1274" s="18"/>
      <c r="BU1274" s="18"/>
      <c r="BV1274" s="18"/>
      <c r="BW1274" s="18"/>
      <c r="BX1274" s="18"/>
      <c r="BY1274" s="18"/>
      <c r="BZ1274" s="18"/>
      <c r="CA1274" s="18"/>
      <c r="CB1274" s="18"/>
      <c r="CC1274" s="18"/>
      <c r="CD1274" s="18"/>
      <c r="CE1274" s="18"/>
      <c r="CF1274" s="18"/>
      <c r="CG1274" s="18"/>
      <c r="CH1274" s="18"/>
      <c r="CI1274" s="18"/>
      <c r="CJ1274" s="18"/>
      <c r="CK1274" s="18"/>
      <c r="CL1274" s="18"/>
      <c r="CM1274" s="18"/>
      <c r="CN1274" s="18"/>
      <c r="CO1274" s="18"/>
      <c r="CP1274" s="18"/>
      <c r="CQ1274" s="18"/>
      <c r="CR1274" s="18"/>
      <c r="CS1274" s="18"/>
      <c r="CT1274" s="18"/>
      <c r="CU1274" s="18"/>
    </row>
    <row r="1275" spans="1:99">
      <c r="A1275" s="19"/>
      <c r="B1275" s="19"/>
      <c r="C1275" s="19"/>
      <c r="D1275" s="19"/>
      <c r="E1275" s="19"/>
      <c r="F1275" s="19"/>
      <c r="G1275" s="19"/>
      <c r="H1275" s="19"/>
      <c r="I1275" s="19"/>
      <c r="J1275" s="19"/>
      <c r="K1275" s="18"/>
      <c r="L1275" s="18"/>
      <c r="M1275" s="18"/>
      <c r="N1275" s="18"/>
      <c r="O1275" s="18"/>
      <c r="P1275" s="18"/>
      <c r="Q1275" s="18"/>
      <c r="R1275" s="18"/>
      <c r="S1275" s="18"/>
      <c r="T1275" s="18"/>
      <c r="U1275" s="18"/>
      <c r="V1275" s="18"/>
      <c r="W1275" s="18"/>
      <c r="X1275" s="18"/>
      <c r="Y1275" s="18"/>
      <c r="Z1275" s="18"/>
      <c r="AA1275" s="18"/>
      <c r="AB1275" s="18"/>
      <c r="AC1275" s="18"/>
      <c r="AD1275" s="18"/>
      <c r="AE1275" s="18"/>
      <c r="AF1275" s="18"/>
      <c r="AG1275" s="18"/>
      <c r="AH1275" s="18"/>
      <c r="AI1275" s="18"/>
      <c r="AJ1275" s="18"/>
      <c r="AK1275" s="18"/>
      <c r="AL1275" s="18"/>
      <c r="AM1275" s="18"/>
      <c r="AN1275" s="18"/>
      <c r="AO1275" s="18"/>
      <c r="AP1275" s="18"/>
      <c r="AQ1275" s="18"/>
      <c r="AR1275" s="18"/>
      <c r="AS1275" s="18"/>
      <c r="AT1275" s="18"/>
      <c r="AU1275" s="18"/>
      <c r="AV1275" s="18"/>
      <c r="AW1275" s="18"/>
      <c r="AX1275" s="18"/>
      <c r="AY1275" s="18"/>
      <c r="AZ1275" s="18"/>
      <c r="BA1275" s="18"/>
      <c r="BB1275" s="18"/>
      <c r="BC1275" s="18"/>
      <c r="BD1275" s="18"/>
      <c r="BE1275" s="18"/>
      <c r="BF1275" s="18"/>
      <c r="BG1275" s="18"/>
      <c r="BH1275" s="18"/>
      <c r="BI1275" s="18"/>
      <c r="BJ1275" s="18"/>
      <c r="BK1275" s="18"/>
      <c r="BL1275" s="18"/>
      <c r="BM1275" s="18"/>
      <c r="BN1275" s="18"/>
      <c r="BO1275" s="18"/>
      <c r="BP1275" s="18"/>
      <c r="BQ1275" s="18"/>
      <c r="BR1275" s="18"/>
      <c r="BS1275" s="18"/>
      <c r="BT1275" s="18"/>
      <c r="BU1275" s="18"/>
      <c r="BV1275" s="18"/>
      <c r="BW1275" s="18"/>
      <c r="BX1275" s="18"/>
      <c r="BY1275" s="18"/>
      <c r="BZ1275" s="18"/>
      <c r="CA1275" s="18"/>
      <c r="CB1275" s="18"/>
      <c r="CC1275" s="18"/>
      <c r="CD1275" s="18"/>
      <c r="CE1275" s="18"/>
      <c r="CF1275" s="18"/>
      <c r="CG1275" s="18"/>
      <c r="CH1275" s="18"/>
      <c r="CI1275" s="18"/>
      <c r="CJ1275" s="18"/>
      <c r="CK1275" s="18"/>
      <c r="CL1275" s="18"/>
      <c r="CM1275" s="18"/>
      <c r="CN1275" s="18"/>
      <c r="CO1275" s="18"/>
      <c r="CP1275" s="18"/>
      <c r="CQ1275" s="18"/>
      <c r="CR1275" s="18"/>
      <c r="CS1275" s="18"/>
      <c r="CT1275" s="18"/>
      <c r="CU1275" s="18"/>
    </row>
    <row r="1276" spans="1:99">
      <c r="A1276" s="19"/>
      <c r="B1276" s="19"/>
      <c r="C1276" s="19"/>
      <c r="D1276" s="19"/>
      <c r="E1276" s="19"/>
      <c r="F1276" s="19"/>
      <c r="G1276" s="19"/>
      <c r="H1276" s="19"/>
      <c r="I1276" s="19"/>
      <c r="J1276" s="19"/>
      <c r="K1276" s="18"/>
      <c r="L1276" s="18"/>
      <c r="M1276" s="18"/>
      <c r="N1276" s="18"/>
      <c r="O1276" s="18"/>
      <c r="P1276" s="18"/>
      <c r="Q1276" s="18"/>
      <c r="R1276" s="18"/>
      <c r="S1276" s="18"/>
      <c r="T1276" s="18"/>
      <c r="U1276" s="18"/>
      <c r="V1276" s="18"/>
      <c r="W1276" s="18"/>
      <c r="X1276" s="18"/>
      <c r="Y1276" s="18"/>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c r="BC1276" s="18"/>
      <c r="BD1276" s="18"/>
      <c r="BE1276" s="18"/>
      <c r="BF1276" s="18"/>
      <c r="BG1276" s="18"/>
      <c r="BH1276" s="18"/>
      <c r="BI1276" s="18"/>
      <c r="BJ1276" s="18"/>
      <c r="BK1276" s="18"/>
      <c r="BL1276" s="18"/>
      <c r="BM1276" s="18"/>
      <c r="BN1276" s="18"/>
      <c r="BO1276" s="18"/>
      <c r="BP1276" s="18"/>
      <c r="BQ1276" s="18"/>
      <c r="BR1276" s="18"/>
      <c r="BS1276" s="18"/>
      <c r="BT1276" s="18"/>
      <c r="BU1276" s="18"/>
      <c r="BV1276" s="18"/>
      <c r="BW1276" s="18"/>
      <c r="BX1276" s="18"/>
      <c r="BY1276" s="18"/>
      <c r="BZ1276" s="18"/>
      <c r="CA1276" s="18"/>
      <c r="CB1276" s="18"/>
      <c r="CC1276" s="18"/>
      <c r="CD1276" s="18"/>
      <c r="CE1276" s="18"/>
      <c r="CF1276" s="18"/>
      <c r="CG1276" s="18"/>
      <c r="CH1276" s="18"/>
      <c r="CI1276" s="18"/>
      <c r="CJ1276" s="18"/>
      <c r="CK1276" s="18"/>
      <c r="CL1276" s="18"/>
      <c r="CM1276" s="18"/>
      <c r="CN1276" s="18"/>
      <c r="CO1276" s="18"/>
      <c r="CP1276" s="18"/>
      <c r="CQ1276" s="18"/>
      <c r="CR1276" s="18"/>
      <c r="CS1276" s="18"/>
      <c r="CT1276" s="18"/>
      <c r="CU1276" s="18"/>
    </row>
    <row r="1277" spans="1:99">
      <c r="A1277" s="19"/>
      <c r="B1277" s="19"/>
      <c r="C1277" s="19"/>
      <c r="D1277" s="19"/>
      <c r="E1277" s="19"/>
      <c r="F1277" s="19"/>
      <c r="G1277" s="19"/>
      <c r="H1277" s="19"/>
      <c r="I1277" s="19"/>
      <c r="J1277" s="19"/>
      <c r="K1277" s="18"/>
      <c r="L1277" s="18"/>
      <c r="M1277" s="18"/>
      <c r="N1277" s="18"/>
      <c r="O1277" s="18"/>
      <c r="P1277" s="18"/>
      <c r="Q1277" s="18"/>
      <c r="R1277" s="18"/>
      <c r="S1277" s="18"/>
      <c r="T1277" s="18"/>
      <c r="U1277" s="18"/>
      <c r="V1277" s="18"/>
      <c r="W1277" s="18"/>
      <c r="X1277" s="18"/>
      <c r="Y1277" s="18"/>
      <c r="Z1277" s="18"/>
      <c r="AA1277" s="18"/>
      <c r="AB1277" s="18"/>
      <c r="AC1277" s="18"/>
      <c r="AD1277" s="18"/>
      <c r="AE1277" s="18"/>
      <c r="AF1277" s="18"/>
      <c r="AG1277" s="18"/>
      <c r="AH1277" s="18"/>
      <c r="AI1277" s="18"/>
      <c r="AJ1277" s="18"/>
      <c r="AK1277" s="18"/>
      <c r="AL1277" s="18"/>
      <c r="AM1277" s="18"/>
      <c r="AN1277" s="18"/>
      <c r="AO1277" s="18"/>
      <c r="AP1277" s="18"/>
      <c r="AQ1277" s="18"/>
      <c r="AR1277" s="18"/>
      <c r="AS1277" s="18"/>
      <c r="AT1277" s="18"/>
      <c r="AU1277" s="18"/>
      <c r="AV1277" s="18"/>
      <c r="AW1277" s="18"/>
      <c r="AX1277" s="18"/>
      <c r="AY1277" s="18"/>
      <c r="AZ1277" s="18"/>
      <c r="BA1277" s="18"/>
      <c r="BB1277" s="18"/>
      <c r="BC1277" s="18"/>
      <c r="BD1277" s="18"/>
      <c r="BE1277" s="18"/>
      <c r="BF1277" s="18"/>
      <c r="BG1277" s="18"/>
      <c r="BH1277" s="18"/>
      <c r="BI1277" s="18"/>
      <c r="BJ1277" s="18"/>
      <c r="BK1277" s="18"/>
      <c r="BL1277" s="18"/>
      <c r="BM1277" s="18"/>
      <c r="BN1277" s="18"/>
      <c r="BO1277" s="18"/>
      <c r="BP1277" s="18"/>
      <c r="BQ1277" s="18"/>
      <c r="BR1277" s="18"/>
      <c r="BS1277" s="18"/>
      <c r="BT1277" s="18"/>
      <c r="BU1277" s="18"/>
      <c r="BV1277" s="18"/>
      <c r="BW1277" s="18"/>
      <c r="BX1277" s="18"/>
      <c r="BY1277" s="18"/>
      <c r="BZ1277" s="18"/>
      <c r="CA1277" s="18"/>
      <c r="CB1277" s="18"/>
      <c r="CC1277" s="18"/>
      <c r="CD1277" s="18"/>
      <c r="CE1277" s="18"/>
      <c r="CF1277" s="18"/>
      <c r="CG1277" s="18"/>
      <c r="CH1277" s="18"/>
      <c r="CI1277" s="18"/>
      <c r="CJ1277" s="18"/>
      <c r="CK1277" s="18"/>
      <c r="CL1277" s="18"/>
      <c r="CM1277" s="18"/>
      <c r="CN1277" s="18"/>
      <c r="CO1277" s="18"/>
      <c r="CP1277" s="18"/>
      <c r="CQ1277" s="18"/>
      <c r="CR1277" s="18"/>
      <c r="CS1277" s="18"/>
      <c r="CT1277" s="18"/>
      <c r="CU1277" s="18"/>
    </row>
    <row r="1278" spans="1:99">
      <c r="A1278" s="19"/>
      <c r="B1278" s="19"/>
      <c r="C1278" s="19"/>
      <c r="D1278" s="19"/>
      <c r="E1278" s="19"/>
      <c r="F1278" s="19"/>
      <c r="G1278" s="19"/>
      <c r="H1278" s="19"/>
      <c r="I1278" s="19"/>
      <c r="J1278" s="19"/>
      <c r="K1278" s="18"/>
      <c r="L1278" s="18"/>
      <c r="M1278" s="18"/>
      <c r="N1278" s="18"/>
      <c r="O1278" s="18"/>
      <c r="P1278" s="18"/>
      <c r="Q1278" s="18"/>
      <c r="R1278" s="18"/>
      <c r="S1278" s="18"/>
      <c r="T1278" s="18"/>
      <c r="U1278" s="18"/>
      <c r="V1278" s="18"/>
      <c r="W1278" s="18"/>
      <c r="X1278" s="18"/>
      <c r="Y1278" s="18"/>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c r="BC1278" s="18"/>
      <c r="BD1278" s="18"/>
      <c r="BE1278" s="18"/>
      <c r="BF1278" s="18"/>
      <c r="BG1278" s="18"/>
      <c r="BH1278" s="18"/>
      <c r="BI1278" s="18"/>
      <c r="BJ1278" s="18"/>
      <c r="BK1278" s="18"/>
      <c r="BL1278" s="18"/>
      <c r="BM1278" s="18"/>
      <c r="BN1278" s="18"/>
      <c r="BO1278" s="18"/>
      <c r="BP1278" s="18"/>
      <c r="BQ1278" s="18"/>
      <c r="BR1278" s="18"/>
      <c r="BS1278" s="18"/>
      <c r="BT1278" s="18"/>
      <c r="BU1278" s="18"/>
      <c r="BV1278" s="18"/>
      <c r="BW1278" s="18"/>
      <c r="BX1278" s="18"/>
      <c r="BY1278" s="18"/>
      <c r="BZ1278" s="18"/>
      <c r="CA1278" s="18"/>
      <c r="CB1278" s="18"/>
      <c r="CC1278" s="18"/>
      <c r="CD1278" s="18"/>
      <c r="CE1278" s="18"/>
      <c r="CF1278" s="18"/>
      <c r="CG1278" s="18"/>
      <c r="CH1278" s="18"/>
      <c r="CI1278" s="18"/>
      <c r="CJ1278" s="18"/>
      <c r="CK1278" s="18"/>
      <c r="CL1278" s="18"/>
      <c r="CM1278" s="18"/>
      <c r="CN1278" s="18"/>
      <c r="CO1278" s="18"/>
      <c r="CP1278" s="18"/>
      <c r="CQ1278" s="18"/>
      <c r="CR1278" s="18"/>
      <c r="CS1278" s="18"/>
      <c r="CT1278" s="18"/>
      <c r="CU1278" s="18"/>
    </row>
    <row r="1279" spans="1:99">
      <c r="A1279" s="19"/>
      <c r="B1279" s="19"/>
      <c r="C1279" s="19"/>
      <c r="D1279" s="19"/>
      <c r="E1279" s="19"/>
      <c r="F1279" s="19"/>
      <c r="G1279" s="19"/>
      <c r="H1279" s="19"/>
      <c r="I1279" s="19"/>
      <c r="J1279" s="19"/>
      <c r="K1279" s="18"/>
      <c r="L1279" s="18"/>
      <c r="M1279" s="18"/>
      <c r="N1279" s="18"/>
      <c r="O1279" s="18"/>
      <c r="P1279" s="18"/>
      <c r="Q1279" s="18"/>
      <c r="R1279" s="18"/>
      <c r="S1279" s="18"/>
      <c r="T1279" s="18"/>
      <c r="U1279" s="18"/>
      <c r="V1279" s="18"/>
      <c r="W1279" s="18"/>
      <c r="X1279" s="18"/>
      <c r="Y1279" s="18"/>
      <c r="Z1279" s="18"/>
      <c r="AA1279" s="18"/>
      <c r="AB1279" s="18"/>
      <c r="AC1279" s="18"/>
      <c r="AD1279" s="18"/>
      <c r="AE1279" s="18"/>
      <c r="AF1279" s="18"/>
      <c r="AG1279" s="18"/>
      <c r="AH1279" s="18"/>
      <c r="AI1279" s="18"/>
      <c r="AJ1279" s="18"/>
      <c r="AK1279" s="18"/>
      <c r="AL1279" s="18"/>
      <c r="AM1279" s="18"/>
      <c r="AN1279" s="18"/>
      <c r="AO1279" s="18"/>
      <c r="AP1279" s="18"/>
      <c r="AQ1279" s="18"/>
      <c r="AR1279" s="18"/>
      <c r="AS1279" s="18"/>
      <c r="AT1279" s="18"/>
      <c r="AU1279" s="18"/>
      <c r="AV1279" s="18"/>
      <c r="AW1279" s="18"/>
      <c r="AX1279" s="18"/>
      <c r="AY1279" s="18"/>
      <c r="AZ1279" s="18"/>
      <c r="BA1279" s="18"/>
      <c r="BB1279" s="18"/>
      <c r="BC1279" s="18"/>
      <c r="BD1279" s="18"/>
      <c r="BE1279" s="18"/>
      <c r="BF1279" s="18"/>
      <c r="BG1279" s="18"/>
      <c r="BH1279" s="18"/>
      <c r="BI1279" s="18"/>
      <c r="BJ1279" s="18"/>
      <c r="BK1279" s="18"/>
      <c r="BL1279" s="18"/>
      <c r="BM1279" s="18"/>
      <c r="BN1279" s="18"/>
      <c r="BO1279" s="18"/>
      <c r="BP1279" s="18"/>
      <c r="BQ1279" s="18"/>
      <c r="BR1279" s="18"/>
      <c r="BS1279" s="18"/>
      <c r="BT1279" s="18"/>
      <c r="BU1279" s="18"/>
      <c r="BV1279" s="18"/>
      <c r="BW1279" s="18"/>
      <c r="BX1279" s="18"/>
      <c r="BY1279" s="18"/>
      <c r="BZ1279" s="18"/>
      <c r="CA1279" s="18"/>
      <c r="CB1279" s="18"/>
      <c r="CC1279" s="18"/>
      <c r="CD1279" s="18"/>
      <c r="CE1279" s="18"/>
      <c r="CF1279" s="18"/>
      <c r="CG1279" s="18"/>
      <c r="CH1279" s="18"/>
      <c r="CI1279" s="18"/>
      <c r="CJ1279" s="18"/>
      <c r="CK1279" s="18"/>
      <c r="CL1279" s="18"/>
      <c r="CM1279" s="18"/>
      <c r="CN1279" s="18"/>
      <c r="CO1279" s="18"/>
      <c r="CP1279" s="18"/>
      <c r="CQ1279" s="18"/>
      <c r="CR1279" s="18"/>
      <c r="CS1279" s="18"/>
      <c r="CT1279" s="18"/>
      <c r="CU1279" s="18"/>
    </row>
    <row r="1280" spans="1:99">
      <c r="A1280" s="19"/>
      <c r="B1280" s="19"/>
      <c r="C1280" s="19"/>
      <c r="D1280" s="19"/>
      <c r="E1280" s="19"/>
      <c r="F1280" s="19"/>
      <c r="G1280" s="19"/>
      <c r="H1280" s="19"/>
      <c r="I1280" s="19"/>
      <c r="J1280" s="19"/>
      <c r="K1280" s="18"/>
      <c r="L1280" s="18"/>
      <c r="M1280" s="18"/>
      <c r="N1280" s="18"/>
      <c r="O1280" s="18"/>
      <c r="P1280" s="18"/>
      <c r="Q1280" s="18"/>
      <c r="R1280" s="18"/>
      <c r="S1280" s="18"/>
      <c r="T1280" s="18"/>
      <c r="U1280" s="18"/>
      <c r="V1280" s="18"/>
      <c r="W1280" s="18"/>
      <c r="X1280" s="18"/>
      <c r="Y1280" s="18"/>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c r="BC1280" s="18"/>
      <c r="BD1280" s="18"/>
      <c r="BE1280" s="18"/>
      <c r="BF1280" s="18"/>
      <c r="BG1280" s="18"/>
      <c r="BH1280" s="18"/>
      <c r="BI1280" s="18"/>
      <c r="BJ1280" s="18"/>
      <c r="BK1280" s="18"/>
      <c r="BL1280" s="18"/>
      <c r="BM1280" s="18"/>
      <c r="BN1280" s="18"/>
      <c r="BO1280" s="18"/>
      <c r="BP1280" s="18"/>
      <c r="BQ1280" s="18"/>
      <c r="BR1280" s="18"/>
      <c r="BS1280" s="18"/>
      <c r="BT1280" s="18"/>
      <c r="BU1280" s="18"/>
      <c r="BV1280" s="18"/>
      <c r="BW1280" s="18"/>
      <c r="BX1280" s="18"/>
      <c r="BY1280" s="18"/>
      <c r="BZ1280" s="18"/>
      <c r="CA1280" s="18"/>
      <c r="CB1280" s="18"/>
      <c r="CC1280" s="18"/>
      <c r="CD1280" s="18"/>
      <c r="CE1280" s="18"/>
      <c r="CF1280" s="18"/>
      <c r="CG1280" s="18"/>
      <c r="CH1280" s="18"/>
      <c r="CI1280" s="18"/>
      <c r="CJ1280" s="18"/>
      <c r="CK1280" s="18"/>
      <c r="CL1280" s="18"/>
      <c r="CM1280" s="18"/>
      <c r="CN1280" s="18"/>
      <c r="CO1280" s="18"/>
      <c r="CP1280" s="18"/>
      <c r="CQ1280" s="18"/>
      <c r="CR1280" s="18"/>
      <c r="CS1280" s="18"/>
      <c r="CT1280" s="18"/>
      <c r="CU1280" s="18"/>
    </row>
    <row r="1281" spans="1:99">
      <c r="A1281" s="19"/>
      <c r="B1281" s="19"/>
      <c r="C1281" s="19"/>
      <c r="D1281" s="19"/>
      <c r="E1281" s="19"/>
      <c r="F1281" s="19"/>
      <c r="G1281" s="19"/>
      <c r="H1281" s="19"/>
      <c r="I1281" s="19"/>
      <c r="J1281" s="19"/>
      <c r="K1281" s="18"/>
      <c r="L1281" s="18"/>
      <c r="M1281" s="18"/>
      <c r="N1281" s="18"/>
      <c r="O1281" s="18"/>
      <c r="P1281" s="18"/>
      <c r="Q1281" s="18"/>
      <c r="R1281" s="18"/>
      <c r="S1281" s="18"/>
      <c r="T1281" s="18"/>
      <c r="U1281" s="18"/>
      <c r="V1281" s="18"/>
      <c r="W1281" s="18"/>
      <c r="X1281" s="18"/>
      <c r="Y1281" s="18"/>
      <c r="Z1281" s="18"/>
      <c r="AA1281" s="18"/>
      <c r="AB1281" s="18"/>
      <c r="AC1281" s="18"/>
      <c r="AD1281" s="18"/>
      <c r="AE1281" s="18"/>
      <c r="AF1281" s="18"/>
      <c r="AG1281" s="18"/>
      <c r="AH1281" s="18"/>
      <c r="AI1281" s="18"/>
      <c r="AJ1281" s="18"/>
      <c r="AK1281" s="18"/>
      <c r="AL1281" s="18"/>
      <c r="AM1281" s="18"/>
      <c r="AN1281" s="18"/>
      <c r="AO1281" s="18"/>
      <c r="AP1281" s="18"/>
      <c r="AQ1281" s="18"/>
      <c r="AR1281" s="18"/>
      <c r="AS1281" s="18"/>
      <c r="AT1281" s="18"/>
      <c r="AU1281" s="18"/>
      <c r="AV1281" s="18"/>
      <c r="AW1281" s="18"/>
      <c r="AX1281" s="18"/>
      <c r="AY1281" s="18"/>
      <c r="AZ1281" s="18"/>
      <c r="BA1281" s="18"/>
      <c r="BB1281" s="18"/>
      <c r="BC1281" s="18"/>
      <c r="BD1281" s="18"/>
      <c r="BE1281" s="18"/>
      <c r="BF1281" s="18"/>
      <c r="BG1281" s="18"/>
      <c r="BH1281" s="18"/>
      <c r="BI1281" s="18"/>
      <c r="BJ1281" s="18"/>
      <c r="BK1281" s="18"/>
      <c r="BL1281" s="18"/>
      <c r="BM1281" s="18"/>
      <c r="BN1281" s="18"/>
      <c r="BO1281" s="18"/>
      <c r="BP1281" s="18"/>
      <c r="BQ1281" s="18"/>
      <c r="BR1281" s="18"/>
      <c r="BS1281" s="18"/>
      <c r="BT1281" s="18"/>
      <c r="BU1281" s="18"/>
      <c r="BV1281" s="18"/>
      <c r="BW1281" s="18"/>
      <c r="BX1281" s="18"/>
      <c r="BY1281" s="18"/>
      <c r="BZ1281" s="18"/>
      <c r="CA1281" s="18"/>
      <c r="CB1281" s="18"/>
      <c r="CC1281" s="18"/>
      <c r="CD1281" s="18"/>
      <c r="CE1281" s="18"/>
      <c r="CF1281" s="18"/>
      <c r="CG1281" s="18"/>
      <c r="CH1281" s="18"/>
      <c r="CI1281" s="18"/>
      <c r="CJ1281" s="18"/>
      <c r="CK1281" s="18"/>
      <c r="CL1281" s="18"/>
      <c r="CM1281" s="18"/>
      <c r="CN1281" s="18"/>
      <c r="CO1281" s="18"/>
      <c r="CP1281" s="18"/>
      <c r="CQ1281" s="18"/>
      <c r="CR1281" s="18"/>
      <c r="CS1281" s="18"/>
      <c r="CT1281" s="18"/>
      <c r="CU1281" s="18"/>
    </row>
    <row r="1282" spans="1:99">
      <c r="A1282" s="19"/>
      <c r="B1282" s="19"/>
      <c r="C1282" s="19"/>
      <c r="D1282" s="19"/>
      <c r="E1282" s="19"/>
      <c r="F1282" s="19"/>
      <c r="G1282" s="19"/>
      <c r="H1282" s="19"/>
      <c r="I1282" s="19"/>
      <c r="J1282" s="19"/>
      <c r="K1282" s="18"/>
      <c r="L1282" s="18"/>
      <c r="M1282" s="18"/>
      <c r="N1282" s="18"/>
      <c r="O1282" s="18"/>
      <c r="P1282" s="18"/>
      <c r="Q1282" s="18"/>
      <c r="R1282" s="18"/>
      <c r="S1282" s="18"/>
      <c r="T1282" s="18"/>
      <c r="U1282" s="18"/>
      <c r="V1282" s="18"/>
      <c r="W1282" s="18"/>
      <c r="X1282" s="18"/>
      <c r="Y1282" s="18"/>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c r="BC1282" s="18"/>
      <c r="BD1282" s="18"/>
      <c r="BE1282" s="18"/>
      <c r="BF1282" s="18"/>
      <c r="BG1282" s="18"/>
      <c r="BH1282" s="18"/>
      <c r="BI1282" s="18"/>
      <c r="BJ1282" s="18"/>
      <c r="BK1282" s="18"/>
      <c r="BL1282" s="18"/>
      <c r="BM1282" s="18"/>
      <c r="BN1282" s="18"/>
      <c r="BO1282" s="18"/>
      <c r="BP1282" s="18"/>
      <c r="BQ1282" s="18"/>
      <c r="BR1282" s="18"/>
      <c r="BS1282" s="18"/>
      <c r="BT1282" s="18"/>
      <c r="BU1282" s="18"/>
      <c r="BV1282" s="18"/>
      <c r="BW1282" s="18"/>
      <c r="BX1282" s="18"/>
      <c r="BY1282" s="18"/>
      <c r="BZ1282" s="18"/>
      <c r="CA1282" s="18"/>
      <c r="CB1282" s="18"/>
      <c r="CC1282" s="18"/>
      <c r="CD1282" s="18"/>
      <c r="CE1282" s="18"/>
      <c r="CF1282" s="18"/>
      <c r="CG1282" s="18"/>
      <c r="CH1282" s="18"/>
      <c r="CI1282" s="18"/>
      <c r="CJ1282" s="18"/>
      <c r="CK1282" s="18"/>
      <c r="CL1282" s="18"/>
      <c r="CM1282" s="18"/>
      <c r="CN1282" s="18"/>
      <c r="CO1282" s="18"/>
      <c r="CP1282" s="18"/>
      <c r="CQ1282" s="18"/>
      <c r="CR1282" s="18"/>
      <c r="CS1282" s="18"/>
      <c r="CT1282" s="18"/>
      <c r="CU1282" s="18"/>
    </row>
    <row r="1283" spans="1:99">
      <c r="A1283" s="19"/>
      <c r="B1283" s="19"/>
      <c r="C1283" s="19"/>
      <c r="D1283" s="19"/>
      <c r="E1283" s="19"/>
      <c r="F1283" s="19"/>
      <c r="G1283" s="19"/>
      <c r="H1283" s="19"/>
      <c r="I1283" s="19"/>
      <c r="J1283" s="19"/>
      <c r="K1283" s="18"/>
      <c r="L1283" s="18"/>
      <c r="M1283" s="18"/>
      <c r="N1283" s="18"/>
      <c r="O1283" s="18"/>
      <c r="P1283" s="18"/>
      <c r="Q1283" s="18"/>
      <c r="R1283" s="18"/>
      <c r="S1283" s="18"/>
      <c r="T1283" s="18"/>
      <c r="U1283" s="18"/>
      <c r="V1283" s="18"/>
      <c r="W1283" s="18"/>
      <c r="X1283" s="18"/>
      <c r="Y1283" s="18"/>
      <c r="Z1283" s="18"/>
      <c r="AA1283" s="18"/>
      <c r="AB1283" s="18"/>
      <c r="AC1283" s="18"/>
      <c r="AD1283" s="18"/>
      <c r="AE1283" s="18"/>
      <c r="AF1283" s="18"/>
      <c r="AG1283" s="18"/>
      <c r="AH1283" s="18"/>
      <c r="AI1283" s="18"/>
      <c r="AJ1283" s="18"/>
      <c r="AK1283" s="18"/>
      <c r="AL1283" s="18"/>
      <c r="AM1283" s="18"/>
      <c r="AN1283" s="18"/>
      <c r="AO1283" s="18"/>
      <c r="AP1283" s="18"/>
      <c r="AQ1283" s="18"/>
      <c r="AR1283" s="18"/>
      <c r="AS1283" s="18"/>
      <c r="AT1283" s="18"/>
      <c r="AU1283" s="18"/>
      <c r="AV1283" s="18"/>
      <c r="AW1283" s="18"/>
      <c r="AX1283" s="18"/>
      <c r="AY1283" s="18"/>
      <c r="AZ1283" s="18"/>
      <c r="BA1283" s="18"/>
      <c r="BB1283" s="18"/>
      <c r="BC1283" s="18"/>
      <c r="BD1283" s="18"/>
      <c r="BE1283" s="18"/>
      <c r="BF1283" s="18"/>
      <c r="BG1283" s="18"/>
      <c r="BH1283" s="18"/>
      <c r="BI1283" s="18"/>
      <c r="BJ1283" s="18"/>
      <c r="BK1283" s="18"/>
      <c r="BL1283" s="18"/>
      <c r="BM1283" s="18"/>
      <c r="BN1283" s="18"/>
      <c r="BO1283" s="18"/>
      <c r="BP1283" s="18"/>
      <c r="BQ1283" s="18"/>
      <c r="BR1283" s="18"/>
      <c r="BS1283" s="18"/>
      <c r="BT1283" s="18"/>
      <c r="BU1283" s="18"/>
      <c r="BV1283" s="18"/>
      <c r="BW1283" s="18"/>
      <c r="BX1283" s="18"/>
      <c r="BY1283" s="18"/>
      <c r="BZ1283" s="18"/>
      <c r="CA1283" s="18"/>
      <c r="CB1283" s="18"/>
      <c r="CC1283" s="18"/>
      <c r="CD1283" s="18"/>
      <c r="CE1283" s="18"/>
      <c r="CF1283" s="18"/>
      <c r="CG1283" s="18"/>
      <c r="CH1283" s="18"/>
      <c r="CI1283" s="18"/>
      <c r="CJ1283" s="18"/>
      <c r="CK1283" s="18"/>
      <c r="CL1283" s="18"/>
      <c r="CM1283" s="18"/>
      <c r="CN1283" s="18"/>
      <c r="CO1283" s="18"/>
      <c r="CP1283" s="18"/>
      <c r="CQ1283" s="18"/>
      <c r="CR1283" s="18"/>
      <c r="CS1283" s="18"/>
      <c r="CT1283" s="18"/>
      <c r="CU1283" s="18"/>
    </row>
    <row r="1284" spans="1:99">
      <c r="A1284" s="19"/>
      <c r="B1284" s="19"/>
      <c r="C1284" s="19"/>
      <c r="D1284" s="19"/>
      <c r="E1284" s="19"/>
      <c r="F1284" s="19"/>
      <c r="G1284" s="19"/>
      <c r="H1284" s="19"/>
      <c r="I1284" s="19"/>
      <c r="J1284" s="19"/>
      <c r="K1284" s="18"/>
      <c r="L1284" s="18"/>
      <c r="M1284" s="18"/>
      <c r="N1284" s="18"/>
      <c r="O1284" s="18"/>
      <c r="P1284" s="18"/>
      <c r="Q1284" s="18"/>
      <c r="R1284" s="18"/>
      <c r="S1284" s="18"/>
      <c r="T1284" s="18"/>
      <c r="U1284" s="18"/>
      <c r="V1284" s="18"/>
      <c r="W1284" s="18"/>
      <c r="X1284" s="18"/>
      <c r="Y1284" s="18"/>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c r="BC1284" s="18"/>
      <c r="BD1284" s="18"/>
      <c r="BE1284" s="18"/>
      <c r="BF1284" s="18"/>
      <c r="BG1284" s="18"/>
      <c r="BH1284" s="18"/>
      <c r="BI1284" s="18"/>
      <c r="BJ1284" s="18"/>
      <c r="BK1284" s="18"/>
      <c r="BL1284" s="18"/>
      <c r="BM1284" s="18"/>
      <c r="BN1284" s="18"/>
      <c r="BO1284" s="18"/>
      <c r="BP1284" s="18"/>
      <c r="BQ1284" s="18"/>
      <c r="BR1284" s="18"/>
      <c r="BS1284" s="18"/>
      <c r="BT1284" s="18"/>
      <c r="BU1284" s="18"/>
      <c r="BV1284" s="18"/>
      <c r="BW1284" s="18"/>
      <c r="BX1284" s="18"/>
      <c r="BY1284" s="18"/>
      <c r="BZ1284" s="18"/>
      <c r="CA1284" s="18"/>
      <c r="CB1284" s="18"/>
      <c r="CC1284" s="18"/>
      <c r="CD1284" s="18"/>
      <c r="CE1284" s="18"/>
      <c r="CF1284" s="18"/>
      <c r="CG1284" s="18"/>
      <c r="CH1284" s="18"/>
      <c r="CI1284" s="18"/>
      <c r="CJ1284" s="18"/>
      <c r="CK1284" s="18"/>
      <c r="CL1284" s="18"/>
      <c r="CM1284" s="18"/>
      <c r="CN1284" s="18"/>
      <c r="CO1284" s="18"/>
      <c r="CP1284" s="18"/>
      <c r="CQ1284" s="18"/>
      <c r="CR1284" s="18"/>
      <c r="CS1284" s="18"/>
      <c r="CT1284" s="18"/>
      <c r="CU1284" s="18"/>
    </row>
    <row r="1285" spans="1:99">
      <c r="A1285" s="19"/>
      <c r="B1285" s="19"/>
      <c r="C1285" s="19"/>
      <c r="D1285" s="19"/>
      <c r="E1285" s="19"/>
      <c r="F1285" s="19"/>
      <c r="G1285" s="19"/>
      <c r="H1285" s="19"/>
      <c r="I1285" s="19"/>
      <c r="J1285" s="19"/>
      <c r="K1285" s="18"/>
      <c r="L1285" s="18"/>
      <c r="M1285" s="18"/>
      <c r="N1285" s="18"/>
      <c r="O1285" s="18"/>
      <c r="P1285" s="18"/>
      <c r="Q1285" s="18"/>
      <c r="R1285" s="18"/>
      <c r="S1285" s="18"/>
      <c r="T1285" s="18"/>
      <c r="U1285" s="18"/>
      <c r="V1285" s="18"/>
      <c r="W1285" s="18"/>
      <c r="X1285" s="18"/>
      <c r="Y1285" s="18"/>
      <c r="Z1285" s="18"/>
      <c r="AA1285" s="18"/>
      <c r="AB1285" s="18"/>
      <c r="AC1285" s="18"/>
      <c r="AD1285" s="18"/>
      <c r="AE1285" s="18"/>
      <c r="AF1285" s="18"/>
      <c r="AG1285" s="18"/>
      <c r="AH1285" s="18"/>
      <c r="AI1285" s="18"/>
      <c r="AJ1285" s="18"/>
      <c r="AK1285" s="18"/>
      <c r="AL1285" s="18"/>
      <c r="AM1285" s="18"/>
      <c r="AN1285" s="18"/>
      <c r="AO1285" s="18"/>
      <c r="AP1285" s="18"/>
      <c r="AQ1285" s="18"/>
      <c r="AR1285" s="18"/>
      <c r="AS1285" s="18"/>
      <c r="AT1285" s="18"/>
      <c r="AU1285" s="18"/>
      <c r="AV1285" s="18"/>
      <c r="AW1285" s="18"/>
      <c r="AX1285" s="18"/>
      <c r="AY1285" s="18"/>
      <c r="AZ1285" s="18"/>
      <c r="BA1285" s="18"/>
      <c r="BB1285" s="18"/>
      <c r="BC1285" s="18"/>
      <c r="BD1285" s="18"/>
      <c r="BE1285" s="18"/>
      <c r="BF1285" s="18"/>
      <c r="BG1285" s="18"/>
      <c r="BH1285" s="18"/>
      <c r="BI1285" s="18"/>
      <c r="BJ1285" s="18"/>
      <c r="BK1285" s="18"/>
      <c r="BL1285" s="18"/>
      <c r="BM1285" s="18"/>
      <c r="BN1285" s="18"/>
      <c r="BO1285" s="18"/>
      <c r="BP1285" s="18"/>
      <c r="BQ1285" s="18"/>
      <c r="BR1285" s="18"/>
      <c r="BS1285" s="18"/>
      <c r="BT1285" s="18"/>
      <c r="BU1285" s="18"/>
      <c r="BV1285" s="18"/>
      <c r="BW1285" s="18"/>
      <c r="BX1285" s="18"/>
      <c r="BY1285" s="18"/>
      <c r="BZ1285" s="18"/>
      <c r="CA1285" s="18"/>
      <c r="CB1285" s="18"/>
      <c r="CC1285" s="18"/>
      <c r="CD1285" s="18"/>
      <c r="CE1285" s="18"/>
      <c r="CF1285" s="18"/>
      <c r="CG1285" s="18"/>
      <c r="CH1285" s="18"/>
      <c r="CI1285" s="18"/>
      <c r="CJ1285" s="18"/>
      <c r="CK1285" s="18"/>
      <c r="CL1285" s="18"/>
      <c r="CM1285" s="18"/>
      <c r="CN1285" s="18"/>
      <c r="CO1285" s="18"/>
      <c r="CP1285" s="18"/>
      <c r="CQ1285" s="18"/>
      <c r="CR1285" s="18"/>
      <c r="CS1285" s="18"/>
      <c r="CT1285" s="18"/>
      <c r="CU1285" s="18"/>
    </row>
    <row r="1286" spans="1:99">
      <c r="A1286" s="19"/>
      <c r="B1286" s="19"/>
      <c r="C1286" s="19"/>
      <c r="D1286" s="19"/>
      <c r="E1286" s="19"/>
      <c r="F1286" s="19"/>
      <c r="G1286" s="19"/>
      <c r="H1286" s="19"/>
      <c r="I1286" s="19"/>
      <c r="J1286" s="19"/>
      <c r="K1286" s="18"/>
      <c r="L1286" s="18"/>
      <c r="M1286" s="18"/>
      <c r="N1286" s="18"/>
      <c r="O1286" s="18"/>
      <c r="P1286" s="18"/>
      <c r="Q1286" s="18"/>
      <c r="R1286" s="18"/>
      <c r="S1286" s="18"/>
      <c r="T1286" s="18"/>
      <c r="U1286" s="18"/>
      <c r="V1286" s="18"/>
      <c r="W1286" s="18"/>
      <c r="X1286" s="18"/>
      <c r="Y1286" s="18"/>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c r="BC1286" s="18"/>
      <c r="BD1286" s="18"/>
      <c r="BE1286" s="18"/>
      <c r="BF1286" s="18"/>
      <c r="BG1286" s="18"/>
      <c r="BH1286" s="18"/>
      <c r="BI1286" s="18"/>
      <c r="BJ1286" s="18"/>
      <c r="BK1286" s="18"/>
      <c r="BL1286" s="18"/>
      <c r="BM1286" s="18"/>
      <c r="BN1286" s="18"/>
      <c r="BO1286" s="18"/>
      <c r="BP1286" s="18"/>
      <c r="BQ1286" s="18"/>
      <c r="BR1286" s="18"/>
      <c r="BS1286" s="18"/>
      <c r="BT1286" s="18"/>
      <c r="BU1286" s="18"/>
      <c r="BV1286" s="18"/>
      <c r="BW1286" s="18"/>
      <c r="BX1286" s="18"/>
      <c r="BY1286" s="18"/>
      <c r="BZ1286" s="18"/>
      <c r="CA1286" s="18"/>
      <c r="CB1286" s="18"/>
      <c r="CC1286" s="18"/>
      <c r="CD1286" s="18"/>
      <c r="CE1286" s="18"/>
      <c r="CF1286" s="18"/>
      <c r="CG1286" s="18"/>
      <c r="CH1286" s="18"/>
      <c r="CI1286" s="18"/>
      <c r="CJ1286" s="18"/>
      <c r="CK1286" s="18"/>
      <c r="CL1286" s="18"/>
      <c r="CM1286" s="18"/>
      <c r="CN1286" s="18"/>
      <c r="CO1286" s="18"/>
      <c r="CP1286" s="18"/>
      <c r="CQ1286" s="18"/>
      <c r="CR1286" s="18"/>
      <c r="CS1286" s="18"/>
      <c r="CT1286" s="18"/>
      <c r="CU1286" s="18"/>
    </row>
    <row r="1287" spans="1:99">
      <c r="A1287" s="19"/>
      <c r="B1287" s="19"/>
      <c r="C1287" s="19"/>
      <c r="D1287" s="19"/>
      <c r="E1287" s="19"/>
      <c r="F1287" s="19"/>
      <c r="G1287" s="19"/>
      <c r="H1287" s="19"/>
      <c r="I1287" s="19"/>
      <c r="J1287" s="19"/>
      <c r="K1287" s="18"/>
      <c r="L1287" s="18"/>
      <c r="M1287" s="18"/>
      <c r="N1287" s="18"/>
      <c r="O1287" s="18"/>
      <c r="P1287" s="18"/>
      <c r="Q1287" s="18"/>
      <c r="R1287" s="18"/>
      <c r="S1287" s="18"/>
      <c r="T1287" s="18"/>
      <c r="U1287" s="18"/>
      <c r="V1287" s="18"/>
      <c r="W1287" s="18"/>
      <c r="X1287" s="18"/>
      <c r="Y1287" s="18"/>
      <c r="Z1287" s="18"/>
      <c r="AA1287" s="18"/>
      <c r="AB1287" s="18"/>
      <c r="AC1287" s="18"/>
      <c r="AD1287" s="18"/>
      <c r="AE1287" s="18"/>
      <c r="AF1287" s="18"/>
      <c r="AG1287" s="18"/>
      <c r="AH1287" s="18"/>
      <c r="AI1287" s="18"/>
      <c r="AJ1287" s="18"/>
      <c r="AK1287" s="18"/>
      <c r="AL1287" s="18"/>
      <c r="AM1287" s="18"/>
      <c r="AN1287" s="18"/>
      <c r="AO1287" s="18"/>
      <c r="AP1287" s="18"/>
      <c r="AQ1287" s="18"/>
      <c r="AR1287" s="18"/>
      <c r="AS1287" s="18"/>
      <c r="AT1287" s="18"/>
      <c r="AU1287" s="18"/>
      <c r="AV1287" s="18"/>
      <c r="AW1287" s="18"/>
      <c r="AX1287" s="18"/>
      <c r="AY1287" s="18"/>
      <c r="AZ1287" s="18"/>
      <c r="BA1287" s="18"/>
      <c r="BB1287" s="18"/>
      <c r="BC1287" s="18"/>
      <c r="BD1287" s="18"/>
      <c r="BE1287" s="18"/>
      <c r="BF1287" s="18"/>
      <c r="BG1287" s="18"/>
      <c r="BH1287" s="18"/>
      <c r="BI1287" s="18"/>
      <c r="BJ1287" s="18"/>
      <c r="BK1287" s="18"/>
      <c r="BL1287" s="18"/>
      <c r="BM1287" s="18"/>
      <c r="BN1287" s="18"/>
      <c r="BO1287" s="18"/>
      <c r="BP1287" s="18"/>
      <c r="BQ1287" s="18"/>
      <c r="BR1287" s="18"/>
      <c r="BS1287" s="18"/>
      <c r="BT1287" s="18"/>
      <c r="BU1287" s="18"/>
      <c r="BV1287" s="18"/>
      <c r="BW1287" s="18"/>
      <c r="BX1287" s="18"/>
      <c r="BY1287" s="18"/>
      <c r="BZ1287" s="18"/>
      <c r="CA1287" s="18"/>
      <c r="CB1287" s="18"/>
      <c r="CC1287" s="18"/>
      <c r="CD1287" s="18"/>
      <c r="CE1287" s="18"/>
      <c r="CF1287" s="18"/>
      <c r="CG1287" s="18"/>
      <c r="CH1287" s="18"/>
      <c r="CI1287" s="18"/>
      <c r="CJ1287" s="18"/>
      <c r="CK1287" s="18"/>
      <c r="CL1287" s="18"/>
      <c r="CM1287" s="18"/>
      <c r="CN1287" s="18"/>
      <c r="CO1287" s="18"/>
      <c r="CP1287" s="18"/>
      <c r="CQ1287" s="18"/>
      <c r="CR1287" s="18"/>
      <c r="CS1287" s="18"/>
      <c r="CT1287" s="18"/>
      <c r="CU1287" s="18"/>
    </row>
    <row r="1288" spans="1:99">
      <c r="A1288" s="19"/>
      <c r="B1288" s="19"/>
      <c r="C1288" s="19"/>
      <c r="D1288" s="19"/>
      <c r="E1288" s="19"/>
      <c r="F1288" s="19"/>
      <c r="G1288" s="19"/>
      <c r="H1288" s="19"/>
      <c r="I1288" s="19"/>
      <c r="J1288" s="19"/>
      <c r="K1288" s="18"/>
      <c r="L1288" s="18"/>
      <c r="M1288" s="18"/>
      <c r="N1288" s="18"/>
      <c r="O1288" s="18"/>
      <c r="P1288" s="18"/>
      <c r="Q1288" s="18"/>
      <c r="R1288" s="18"/>
      <c r="S1288" s="18"/>
      <c r="T1288" s="18"/>
      <c r="U1288" s="18"/>
      <c r="V1288" s="18"/>
      <c r="W1288" s="18"/>
      <c r="X1288" s="18"/>
      <c r="Y1288" s="18"/>
      <c r="Z1288" s="18"/>
      <c r="AA1288" s="18"/>
      <c r="AB1288" s="18"/>
      <c r="AC1288" s="18"/>
      <c r="AD1288" s="18"/>
      <c r="AE1288" s="18"/>
      <c r="AF1288" s="18"/>
      <c r="AG1288" s="18"/>
      <c r="AH1288" s="18"/>
      <c r="AI1288" s="18"/>
      <c r="AJ1288" s="18"/>
      <c r="AK1288" s="18"/>
      <c r="AL1288" s="18"/>
      <c r="AM1288" s="18"/>
      <c r="AN1288" s="18"/>
      <c r="AO1288" s="18"/>
      <c r="AP1288" s="18"/>
      <c r="AQ1288" s="18"/>
      <c r="AR1288" s="18"/>
      <c r="AS1288" s="18"/>
      <c r="AT1288" s="18"/>
      <c r="AU1288" s="18"/>
      <c r="AV1288" s="18"/>
      <c r="AW1288" s="18"/>
      <c r="AX1288" s="18"/>
      <c r="AY1288" s="18"/>
      <c r="AZ1288" s="18"/>
      <c r="BA1288" s="18"/>
      <c r="BB1288" s="18"/>
      <c r="BC1288" s="18"/>
      <c r="BD1288" s="18"/>
      <c r="BE1288" s="18"/>
      <c r="BF1288" s="18"/>
      <c r="BG1288" s="18"/>
      <c r="BH1288" s="18"/>
      <c r="BI1288" s="18"/>
      <c r="BJ1288" s="18"/>
      <c r="BK1288" s="18"/>
      <c r="BL1288" s="18"/>
      <c r="BM1288" s="18"/>
      <c r="BN1288" s="18"/>
      <c r="BO1288" s="18"/>
      <c r="BP1288" s="18"/>
      <c r="BQ1288" s="18"/>
      <c r="BR1288" s="18"/>
      <c r="BS1288" s="18"/>
      <c r="BT1288" s="18"/>
      <c r="BU1288" s="18"/>
      <c r="BV1288" s="18"/>
      <c r="BW1288" s="18"/>
      <c r="BX1288" s="18"/>
      <c r="BY1288" s="18"/>
      <c r="BZ1288" s="18"/>
      <c r="CA1288" s="18"/>
      <c r="CB1288" s="18"/>
      <c r="CC1288" s="18"/>
      <c r="CD1288" s="18"/>
      <c r="CE1288" s="18"/>
      <c r="CF1288" s="18"/>
      <c r="CG1288" s="18"/>
      <c r="CH1288" s="18"/>
      <c r="CI1288" s="18"/>
      <c r="CJ1288" s="18"/>
      <c r="CK1288" s="18"/>
      <c r="CL1288" s="18"/>
      <c r="CM1288" s="18"/>
      <c r="CN1288" s="18"/>
      <c r="CO1288" s="18"/>
      <c r="CP1288" s="18"/>
      <c r="CQ1288" s="18"/>
      <c r="CR1288" s="18"/>
      <c r="CS1288" s="18"/>
      <c r="CT1288" s="18"/>
      <c r="CU1288" s="18"/>
    </row>
    <row r="1289" spans="1:99">
      <c r="A1289" s="19"/>
      <c r="B1289" s="19"/>
      <c r="C1289" s="19"/>
      <c r="D1289" s="19"/>
      <c r="E1289" s="19"/>
      <c r="F1289" s="19"/>
      <c r="G1289" s="19"/>
      <c r="H1289" s="19"/>
      <c r="I1289" s="19"/>
      <c r="J1289" s="19"/>
      <c r="K1289" s="18"/>
      <c r="L1289" s="18"/>
      <c r="M1289" s="18"/>
      <c r="N1289" s="18"/>
      <c r="O1289" s="18"/>
      <c r="P1289" s="18"/>
      <c r="Q1289" s="18"/>
      <c r="R1289" s="18"/>
      <c r="S1289" s="18"/>
      <c r="T1289" s="18"/>
      <c r="U1289" s="18"/>
      <c r="V1289" s="18"/>
      <c r="W1289" s="18"/>
      <c r="X1289" s="18"/>
      <c r="Y1289" s="18"/>
      <c r="Z1289" s="18"/>
      <c r="AA1289" s="18"/>
      <c r="AB1289" s="18"/>
      <c r="AC1289" s="18"/>
      <c r="AD1289" s="18"/>
      <c r="AE1289" s="18"/>
      <c r="AF1289" s="18"/>
      <c r="AG1289" s="18"/>
      <c r="AH1289" s="18"/>
      <c r="AI1289" s="18"/>
      <c r="AJ1289" s="18"/>
      <c r="AK1289" s="18"/>
      <c r="AL1289" s="18"/>
      <c r="AM1289" s="18"/>
      <c r="AN1289" s="18"/>
      <c r="AO1289" s="18"/>
      <c r="AP1289" s="18"/>
      <c r="AQ1289" s="18"/>
      <c r="AR1289" s="18"/>
      <c r="AS1289" s="18"/>
      <c r="AT1289" s="18"/>
      <c r="AU1289" s="18"/>
      <c r="AV1289" s="18"/>
      <c r="AW1289" s="18"/>
      <c r="AX1289" s="18"/>
      <c r="AY1289" s="18"/>
      <c r="AZ1289" s="18"/>
      <c r="BA1289" s="18"/>
      <c r="BB1289" s="18"/>
      <c r="BC1289" s="18"/>
      <c r="BD1289" s="18"/>
      <c r="BE1289" s="18"/>
      <c r="BF1289" s="18"/>
      <c r="BG1289" s="18"/>
      <c r="BH1289" s="18"/>
      <c r="BI1289" s="18"/>
      <c r="BJ1289" s="18"/>
      <c r="BK1289" s="18"/>
      <c r="BL1289" s="18"/>
      <c r="BM1289" s="18"/>
      <c r="BN1289" s="18"/>
      <c r="BO1289" s="18"/>
      <c r="BP1289" s="18"/>
      <c r="BQ1289" s="18"/>
      <c r="BR1289" s="18"/>
      <c r="BS1289" s="18"/>
      <c r="BT1289" s="18"/>
      <c r="BU1289" s="18"/>
      <c r="BV1289" s="18"/>
      <c r="BW1289" s="18"/>
      <c r="BX1289" s="18"/>
      <c r="BY1289" s="18"/>
      <c r="BZ1289" s="18"/>
      <c r="CA1289" s="18"/>
      <c r="CB1289" s="18"/>
      <c r="CC1289" s="18"/>
      <c r="CD1289" s="18"/>
      <c r="CE1289" s="18"/>
      <c r="CF1289" s="18"/>
      <c r="CG1289" s="18"/>
      <c r="CH1289" s="18"/>
      <c r="CI1289" s="18"/>
      <c r="CJ1289" s="18"/>
      <c r="CK1289" s="18"/>
      <c r="CL1289" s="18"/>
      <c r="CM1289" s="18"/>
      <c r="CN1289" s="18"/>
      <c r="CO1289" s="18"/>
      <c r="CP1289" s="18"/>
      <c r="CQ1289" s="18"/>
      <c r="CR1289" s="18"/>
      <c r="CS1289" s="18"/>
      <c r="CT1289" s="18"/>
      <c r="CU1289" s="18"/>
    </row>
    <row r="1290" spans="1:99">
      <c r="A1290" s="19"/>
      <c r="B1290" s="19"/>
      <c r="C1290" s="19"/>
      <c r="D1290" s="19"/>
      <c r="E1290" s="19"/>
      <c r="F1290" s="19"/>
      <c r="G1290" s="19"/>
      <c r="H1290" s="19"/>
      <c r="I1290" s="19"/>
      <c r="J1290" s="19"/>
      <c r="K1290" s="18"/>
      <c r="L1290" s="18"/>
      <c r="M1290" s="18"/>
      <c r="N1290" s="18"/>
      <c r="O1290" s="18"/>
      <c r="P1290" s="18"/>
      <c r="Q1290" s="18"/>
      <c r="R1290" s="18"/>
      <c r="S1290" s="18"/>
      <c r="T1290" s="18"/>
      <c r="U1290" s="18"/>
      <c r="V1290" s="18"/>
      <c r="W1290" s="18"/>
      <c r="X1290" s="18"/>
      <c r="Y1290" s="18"/>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c r="BC1290" s="18"/>
      <c r="BD1290" s="18"/>
      <c r="BE1290" s="18"/>
      <c r="BF1290" s="18"/>
      <c r="BG1290" s="18"/>
      <c r="BH1290" s="18"/>
      <c r="BI1290" s="18"/>
      <c r="BJ1290" s="18"/>
      <c r="BK1290" s="18"/>
      <c r="BL1290" s="18"/>
      <c r="BM1290" s="18"/>
      <c r="BN1290" s="18"/>
      <c r="BO1290" s="18"/>
      <c r="BP1290" s="18"/>
      <c r="BQ1290" s="18"/>
      <c r="BR1290" s="18"/>
      <c r="BS1290" s="18"/>
      <c r="BT1290" s="18"/>
      <c r="BU1290" s="18"/>
      <c r="BV1290" s="18"/>
      <c r="BW1290" s="18"/>
      <c r="BX1290" s="18"/>
      <c r="BY1290" s="18"/>
      <c r="BZ1290" s="18"/>
      <c r="CA1290" s="18"/>
      <c r="CB1290" s="18"/>
      <c r="CC1290" s="18"/>
      <c r="CD1290" s="18"/>
      <c r="CE1290" s="18"/>
      <c r="CF1290" s="18"/>
      <c r="CG1290" s="18"/>
      <c r="CH1290" s="18"/>
      <c r="CI1290" s="18"/>
      <c r="CJ1290" s="18"/>
      <c r="CK1290" s="18"/>
      <c r="CL1290" s="18"/>
      <c r="CM1290" s="18"/>
      <c r="CN1290" s="18"/>
      <c r="CO1290" s="18"/>
      <c r="CP1290" s="18"/>
      <c r="CQ1290" s="18"/>
      <c r="CR1290" s="18"/>
      <c r="CS1290" s="18"/>
      <c r="CT1290" s="18"/>
      <c r="CU1290" s="18"/>
    </row>
    <row r="1291" spans="1:99">
      <c r="A1291" s="19"/>
      <c r="B1291" s="19"/>
      <c r="C1291" s="19"/>
      <c r="D1291" s="19"/>
      <c r="E1291" s="19"/>
      <c r="F1291" s="19"/>
      <c r="G1291" s="19"/>
      <c r="H1291" s="19"/>
      <c r="I1291" s="19"/>
      <c r="J1291" s="19"/>
      <c r="K1291" s="18"/>
      <c r="L1291" s="18"/>
      <c r="M1291" s="18"/>
      <c r="N1291" s="18"/>
      <c r="O1291" s="18"/>
      <c r="P1291" s="18"/>
      <c r="Q1291" s="18"/>
      <c r="R1291" s="18"/>
      <c r="S1291" s="18"/>
      <c r="T1291" s="18"/>
      <c r="U1291" s="18"/>
      <c r="V1291" s="18"/>
      <c r="W1291" s="18"/>
      <c r="X1291" s="18"/>
      <c r="Y1291" s="18"/>
      <c r="Z1291" s="18"/>
      <c r="AA1291" s="18"/>
      <c r="AB1291" s="18"/>
      <c r="AC1291" s="18"/>
      <c r="AD1291" s="18"/>
      <c r="AE1291" s="18"/>
      <c r="AF1291" s="18"/>
      <c r="AG1291" s="18"/>
      <c r="AH1291" s="18"/>
      <c r="AI1291" s="18"/>
      <c r="AJ1291" s="18"/>
      <c r="AK1291" s="18"/>
      <c r="AL1291" s="18"/>
      <c r="AM1291" s="18"/>
      <c r="AN1291" s="18"/>
      <c r="AO1291" s="18"/>
      <c r="AP1291" s="18"/>
      <c r="AQ1291" s="18"/>
      <c r="AR1291" s="18"/>
      <c r="AS1291" s="18"/>
      <c r="AT1291" s="18"/>
      <c r="AU1291" s="18"/>
      <c r="AV1291" s="18"/>
      <c r="AW1291" s="18"/>
      <c r="AX1291" s="18"/>
      <c r="AY1291" s="18"/>
      <c r="AZ1291" s="18"/>
      <c r="BA1291" s="18"/>
      <c r="BB1291" s="18"/>
      <c r="BC1291" s="18"/>
      <c r="BD1291" s="18"/>
      <c r="BE1291" s="18"/>
      <c r="BF1291" s="18"/>
      <c r="BG1291" s="18"/>
      <c r="BH1291" s="18"/>
      <c r="BI1291" s="18"/>
      <c r="BJ1291" s="18"/>
      <c r="BK1291" s="18"/>
      <c r="BL1291" s="18"/>
      <c r="BM1291" s="18"/>
      <c r="BN1291" s="18"/>
      <c r="BO1291" s="18"/>
      <c r="BP1291" s="18"/>
      <c r="BQ1291" s="18"/>
      <c r="BR1291" s="18"/>
      <c r="BS1291" s="18"/>
      <c r="BT1291" s="18"/>
      <c r="BU1291" s="18"/>
      <c r="BV1291" s="18"/>
      <c r="BW1291" s="18"/>
      <c r="BX1291" s="18"/>
      <c r="BY1291" s="18"/>
      <c r="BZ1291" s="18"/>
      <c r="CA1291" s="18"/>
      <c r="CB1291" s="18"/>
      <c r="CC1291" s="18"/>
      <c r="CD1291" s="18"/>
      <c r="CE1291" s="18"/>
      <c r="CF1291" s="18"/>
      <c r="CG1291" s="18"/>
      <c r="CH1291" s="18"/>
      <c r="CI1291" s="18"/>
      <c r="CJ1291" s="18"/>
      <c r="CK1291" s="18"/>
      <c r="CL1291" s="18"/>
      <c r="CM1291" s="18"/>
      <c r="CN1291" s="18"/>
      <c r="CO1291" s="18"/>
      <c r="CP1291" s="18"/>
      <c r="CQ1291" s="18"/>
      <c r="CR1291" s="18"/>
      <c r="CS1291" s="18"/>
      <c r="CT1291" s="18"/>
      <c r="CU1291" s="18"/>
    </row>
    <row r="1292" spans="1:99">
      <c r="A1292" s="19"/>
      <c r="B1292" s="19"/>
      <c r="C1292" s="19"/>
      <c r="D1292" s="19"/>
      <c r="E1292" s="19"/>
      <c r="F1292" s="19"/>
      <c r="G1292" s="19"/>
      <c r="H1292" s="19"/>
      <c r="I1292" s="19"/>
      <c r="J1292" s="19"/>
      <c r="K1292" s="18"/>
      <c r="L1292" s="18"/>
      <c r="M1292" s="18"/>
      <c r="N1292" s="18"/>
      <c r="O1292" s="18"/>
      <c r="P1292" s="18"/>
      <c r="Q1292" s="18"/>
      <c r="R1292" s="18"/>
      <c r="S1292" s="18"/>
      <c r="T1292" s="18"/>
      <c r="U1292" s="18"/>
      <c r="V1292" s="18"/>
      <c r="W1292" s="18"/>
      <c r="X1292" s="18"/>
      <c r="Y1292" s="18"/>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c r="BC1292" s="18"/>
      <c r="BD1292" s="18"/>
      <c r="BE1292" s="18"/>
      <c r="BF1292" s="18"/>
      <c r="BG1292" s="18"/>
      <c r="BH1292" s="18"/>
      <c r="BI1292" s="18"/>
      <c r="BJ1292" s="18"/>
      <c r="BK1292" s="18"/>
      <c r="BL1292" s="18"/>
      <c r="BM1292" s="18"/>
      <c r="BN1292" s="18"/>
      <c r="BO1292" s="18"/>
      <c r="BP1292" s="18"/>
      <c r="BQ1292" s="18"/>
      <c r="BR1292" s="18"/>
      <c r="BS1292" s="18"/>
      <c r="BT1292" s="18"/>
      <c r="BU1292" s="18"/>
      <c r="BV1292" s="18"/>
      <c r="BW1292" s="18"/>
      <c r="BX1292" s="18"/>
      <c r="BY1292" s="18"/>
      <c r="BZ1292" s="18"/>
      <c r="CA1292" s="18"/>
      <c r="CB1292" s="18"/>
      <c r="CC1292" s="18"/>
      <c r="CD1292" s="18"/>
      <c r="CE1292" s="18"/>
      <c r="CF1292" s="18"/>
      <c r="CG1292" s="18"/>
      <c r="CH1292" s="18"/>
      <c r="CI1292" s="18"/>
      <c r="CJ1292" s="18"/>
      <c r="CK1292" s="18"/>
      <c r="CL1292" s="18"/>
      <c r="CM1292" s="18"/>
      <c r="CN1292" s="18"/>
      <c r="CO1292" s="18"/>
      <c r="CP1292" s="18"/>
      <c r="CQ1292" s="18"/>
      <c r="CR1292" s="18"/>
      <c r="CS1292" s="18"/>
      <c r="CT1292" s="18"/>
      <c r="CU1292" s="18"/>
    </row>
    <row r="1293" spans="1:99">
      <c r="A1293" s="19"/>
      <c r="B1293" s="19"/>
      <c r="C1293" s="19"/>
      <c r="D1293" s="19"/>
      <c r="E1293" s="19"/>
      <c r="F1293" s="19"/>
      <c r="G1293" s="19"/>
      <c r="H1293" s="19"/>
      <c r="I1293" s="19"/>
      <c r="J1293" s="19"/>
      <c r="K1293" s="18"/>
      <c r="L1293" s="18"/>
      <c r="M1293" s="18"/>
      <c r="N1293" s="18"/>
      <c r="O1293" s="18"/>
      <c r="P1293" s="18"/>
      <c r="Q1293" s="18"/>
      <c r="R1293" s="18"/>
      <c r="S1293" s="18"/>
      <c r="T1293" s="18"/>
      <c r="U1293" s="18"/>
      <c r="V1293" s="18"/>
      <c r="W1293" s="18"/>
      <c r="X1293" s="18"/>
      <c r="Y1293" s="18"/>
      <c r="Z1293" s="18"/>
      <c r="AA1293" s="18"/>
      <c r="AB1293" s="18"/>
      <c r="AC1293" s="18"/>
      <c r="AD1293" s="18"/>
      <c r="AE1293" s="18"/>
      <c r="AF1293" s="18"/>
      <c r="AG1293" s="18"/>
      <c r="AH1293" s="18"/>
      <c r="AI1293" s="18"/>
      <c r="AJ1293" s="18"/>
      <c r="AK1293" s="18"/>
      <c r="AL1293" s="18"/>
      <c r="AM1293" s="18"/>
      <c r="AN1293" s="18"/>
      <c r="AO1293" s="18"/>
      <c r="AP1293" s="18"/>
      <c r="AQ1293" s="18"/>
      <c r="AR1293" s="18"/>
      <c r="AS1293" s="18"/>
      <c r="AT1293" s="18"/>
      <c r="AU1293" s="18"/>
      <c r="AV1293" s="18"/>
      <c r="AW1293" s="18"/>
      <c r="AX1293" s="18"/>
      <c r="AY1293" s="18"/>
      <c r="AZ1293" s="18"/>
      <c r="BA1293" s="18"/>
      <c r="BB1293" s="18"/>
      <c r="BC1293" s="18"/>
      <c r="BD1293" s="18"/>
      <c r="BE1293" s="18"/>
      <c r="BF1293" s="18"/>
      <c r="BG1293" s="18"/>
      <c r="BH1293" s="18"/>
      <c r="BI1293" s="18"/>
      <c r="BJ1293" s="18"/>
      <c r="BK1293" s="18"/>
      <c r="BL1293" s="18"/>
      <c r="BM1293" s="18"/>
      <c r="BN1293" s="18"/>
      <c r="BO1293" s="18"/>
      <c r="BP1293" s="18"/>
      <c r="BQ1293" s="18"/>
      <c r="BR1293" s="18"/>
      <c r="BS1293" s="18"/>
      <c r="BT1293" s="18"/>
      <c r="BU1293" s="18"/>
      <c r="BV1293" s="18"/>
      <c r="BW1293" s="18"/>
      <c r="BX1293" s="18"/>
      <c r="BY1293" s="18"/>
      <c r="BZ1293" s="18"/>
      <c r="CA1293" s="18"/>
      <c r="CB1293" s="18"/>
      <c r="CC1293" s="18"/>
      <c r="CD1293" s="18"/>
      <c r="CE1293" s="18"/>
      <c r="CF1293" s="18"/>
      <c r="CG1293" s="18"/>
      <c r="CH1293" s="18"/>
      <c r="CI1293" s="18"/>
      <c r="CJ1293" s="18"/>
      <c r="CK1293" s="18"/>
      <c r="CL1293" s="18"/>
      <c r="CM1293" s="18"/>
      <c r="CN1293" s="18"/>
      <c r="CO1293" s="18"/>
      <c r="CP1293" s="18"/>
      <c r="CQ1293" s="18"/>
      <c r="CR1293" s="18"/>
      <c r="CS1293" s="18"/>
      <c r="CT1293" s="18"/>
      <c r="CU1293" s="18"/>
    </row>
    <row r="1294" spans="1:99">
      <c r="A1294" s="19"/>
      <c r="B1294" s="19"/>
      <c r="C1294" s="19"/>
      <c r="D1294" s="19"/>
      <c r="E1294" s="19"/>
      <c r="F1294" s="19"/>
      <c r="G1294" s="19"/>
      <c r="H1294" s="19"/>
      <c r="I1294" s="19"/>
      <c r="J1294" s="19"/>
      <c r="K1294" s="18"/>
      <c r="L1294" s="18"/>
      <c r="M1294" s="18"/>
      <c r="N1294" s="18"/>
      <c r="O1294" s="18"/>
      <c r="P1294" s="18"/>
      <c r="Q1294" s="18"/>
      <c r="R1294" s="18"/>
      <c r="S1294" s="18"/>
      <c r="T1294" s="18"/>
      <c r="U1294" s="18"/>
      <c r="V1294" s="18"/>
      <c r="W1294" s="18"/>
      <c r="X1294" s="18"/>
      <c r="Y1294" s="18"/>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c r="BC1294" s="18"/>
      <c r="BD1294" s="18"/>
      <c r="BE1294" s="18"/>
      <c r="BF1294" s="18"/>
      <c r="BG1294" s="18"/>
      <c r="BH1294" s="18"/>
      <c r="BI1294" s="18"/>
      <c r="BJ1294" s="18"/>
      <c r="BK1294" s="18"/>
      <c r="BL1294" s="18"/>
      <c r="BM1294" s="18"/>
      <c r="BN1294" s="18"/>
      <c r="BO1294" s="18"/>
      <c r="BP1294" s="18"/>
      <c r="BQ1294" s="18"/>
      <c r="BR1294" s="18"/>
      <c r="BS1294" s="18"/>
      <c r="BT1294" s="18"/>
      <c r="BU1294" s="18"/>
      <c r="BV1294" s="18"/>
      <c r="BW1294" s="18"/>
      <c r="BX1294" s="18"/>
      <c r="BY1294" s="18"/>
      <c r="BZ1294" s="18"/>
      <c r="CA1294" s="18"/>
      <c r="CB1294" s="18"/>
      <c r="CC1294" s="18"/>
      <c r="CD1294" s="18"/>
      <c r="CE1294" s="18"/>
      <c r="CF1294" s="18"/>
      <c r="CG1294" s="18"/>
      <c r="CH1294" s="18"/>
      <c r="CI1294" s="18"/>
      <c r="CJ1294" s="18"/>
      <c r="CK1294" s="18"/>
      <c r="CL1294" s="18"/>
      <c r="CM1294" s="18"/>
      <c r="CN1294" s="18"/>
      <c r="CO1294" s="18"/>
      <c r="CP1294" s="18"/>
      <c r="CQ1294" s="18"/>
      <c r="CR1294" s="18"/>
      <c r="CS1294" s="18"/>
      <c r="CT1294" s="18"/>
      <c r="CU1294" s="18"/>
    </row>
    <row r="1295" spans="1:99">
      <c r="A1295" s="19"/>
      <c r="B1295" s="19"/>
      <c r="C1295" s="19"/>
      <c r="D1295" s="19"/>
      <c r="E1295" s="19"/>
      <c r="F1295" s="19"/>
      <c r="G1295" s="19"/>
      <c r="H1295" s="19"/>
      <c r="I1295" s="19"/>
      <c r="J1295" s="19"/>
      <c r="K1295" s="18"/>
      <c r="L1295" s="18"/>
      <c r="M1295" s="18"/>
      <c r="N1295" s="18"/>
      <c r="O1295" s="18"/>
      <c r="P1295" s="18"/>
      <c r="Q1295" s="18"/>
      <c r="R1295" s="18"/>
      <c r="S1295" s="18"/>
      <c r="T1295" s="18"/>
      <c r="U1295" s="18"/>
      <c r="V1295" s="18"/>
      <c r="W1295" s="18"/>
      <c r="X1295" s="18"/>
      <c r="Y1295" s="18"/>
      <c r="Z1295" s="18"/>
      <c r="AA1295" s="18"/>
      <c r="AB1295" s="18"/>
      <c r="AC1295" s="18"/>
      <c r="AD1295" s="18"/>
      <c r="AE1295" s="18"/>
      <c r="AF1295" s="18"/>
      <c r="AG1295" s="18"/>
      <c r="AH1295" s="18"/>
      <c r="AI1295" s="18"/>
      <c r="AJ1295" s="18"/>
      <c r="AK1295" s="18"/>
      <c r="AL1295" s="18"/>
      <c r="AM1295" s="18"/>
      <c r="AN1295" s="18"/>
      <c r="AO1295" s="18"/>
      <c r="AP1295" s="18"/>
      <c r="AQ1295" s="18"/>
      <c r="AR1295" s="18"/>
      <c r="AS1295" s="18"/>
      <c r="AT1295" s="18"/>
      <c r="AU1295" s="18"/>
      <c r="AV1295" s="18"/>
      <c r="AW1295" s="18"/>
      <c r="AX1295" s="18"/>
      <c r="AY1295" s="18"/>
      <c r="AZ1295" s="18"/>
      <c r="BA1295" s="18"/>
      <c r="BB1295" s="18"/>
      <c r="BC1295" s="18"/>
      <c r="BD1295" s="18"/>
      <c r="BE1295" s="18"/>
      <c r="BF1295" s="18"/>
      <c r="BG1295" s="18"/>
      <c r="BH1295" s="18"/>
      <c r="BI1295" s="18"/>
      <c r="BJ1295" s="18"/>
      <c r="BK1295" s="18"/>
      <c r="BL1295" s="18"/>
      <c r="BM1295" s="18"/>
      <c r="BN1295" s="18"/>
      <c r="BO1295" s="18"/>
      <c r="BP1295" s="18"/>
      <c r="BQ1295" s="18"/>
      <c r="BR1295" s="18"/>
      <c r="BS1295" s="18"/>
      <c r="BT1295" s="18"/>
      <c r="BU1295" s="18"/>
      <c r="BV1295" s="18"/>
      <c r="BW1295" s="18"/>
      <c r="BX1295" s="18"/>
      <c r="BY1295" s="18"/>
      <c r="BZ1295" s="18"/>
      <c r="CA1295" s="18"/>
      <c r="CB1295" s="18"/>
      <c r="CC1295" s="18"/>
      <c r="CD1295" s="18"/>
      <c r="CE1295" s="18"/>
      <c r="CF1295" s="18"/>
      <c r="CG1295" s="18"/>
      <c r="CH1295" s="18"/>
      <c r="CI1295" s="18"/>
      <c r="CJ1295" s="18"/>
      <c r="CK1295" s="18"/>
      <c r="CL1295" s="18"/>
      <c r="CM1295" s="18"/>
      <c r="CN1295" s="18"/>
      <c r="CO1295" s="18"/>
      <c r="CP1295" s="18"/>
      <c r="CQ1295" s="18"/>
      <c r="CR1295" s="18"/>
      <c r="CS1295" s="18"/>
      <c r="CT1295" s="18"/>
      <c r="CU1295" s="18"/>
    </row>
    <row r="1296" spans="1:99">
      <c r="A1296" s="19"/>
      <c r="B1296" s="19"/>
      <c r="C1296" s="19"/>
      <c r="D1296" s="19"/>
      <c r="E1296" s="19"/>
      <c r="F1296" s="19"/>
      <c r="G1296" s="19"/>
      <c r="H1296" s="19"/>
      <c r="I1296" s="19"/>
      <c r="J1296" s="19"/>
      <c r="K1296" s="18"/>
      <c r="L1296" s="18"/>
      <c r="M1296" s="18"/>
      <c r="N1296" s="18"/>
      <c r="O1296" s="18"/>
      <c r="P1296" s="18"/>
      <c r="Q1296" s="18"/>
      <c r="R1296" s="18"/>
      <c r="S1296" s="18"/>
      <c r="T1296" s="18"/>
      <c r="U1296" s="18"/>
      <c r="V1296" s="18"/>
      <c r="W1296" s="18"/>
      <c r="X1296" s="18"/>
      <c r="Y1296" s="18"/>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c r="BC1296" s="18"/>
      <c r="BD1296" s="18"/>
      <c r="BE1296" s="18"/>
      <c r="BF1296" s="18"/>
      <c r="BG1296" s="18"/>
      <c r="BH1296" s="18"/>
      <c r="BI1296" s="18"/>
      <c r="BJ1296" s="18"/>
      <c r="BK1296" s="18"/>
      <c r="BL1296" s="18"/>
      <c r="BM1296" s="18"/>
      <c r="BN1296" s="18"/>
      <c r="BO1296" s="18"/>
      <c r="BP1296" s="18"/>
      <c r="BQ1296" s="18"/>
      <c r="BR1296" s="18"/>
      <c r="BS1296" s="18"/>
      <c r="BT1296" s="18"/>
      <c r="BU1296" s="18"/>
      <c r="BV1296" s="18"/>
      <c r="BW1296" s="18"/>
      <c r="BX1296" s="18"/>
      <c r="BY1296" s="18"/>
      <c r="BZ1296" s="18"/>
      <c r="CA1296" s="18"/>
      <c r="CB1296" s="18"/>
      <c r="CC1296" s="18"/>
      <c r="CD1296" s="18"/>
      <c r="CE1296" s="18"/>
      <c r="CF1296" s="18"/>
      <c r="CG1296" s="18"/>
      <c r="CH1296" s="18"/>
      <c r="CI1296" s="18"/>
      <c r="CJ1296" s="18"/>
      <c r="CK1296" s="18"/>
      <c r="CL1296" s="18"/>
      <c r="CM1296" s="18"/>
      <c r="CN1296" s="18"/>
      <c r="CO1296" s="18"/>
      <c r="CP1296" s="18"/>
      <c r="CQ1296" s="18"/>
      <c r="CR1296" s="18"/>
      <c r="CS1296" s="18"/>
      <c r="CT1296" s="18"/>
      <c r="CU1296" s="18"/>
    </row>
    <row r="1297" spans="1:99">
      <c r="A1297" s="19"/>
      <c r="B1297" s="19"/>
      <c r="C1297" s="19"/>
      <c r="D1297" s="19"/>
      <c r="E1297" s="19"/>
      <c r="F1297" s="19"/>
      <c r="G1297" s="19"/>
      <c r="H1297" s="19"/>
      <c r="I1297" s="19"/>
      <c r="J1297" s="19"/>
      <c r="K1297" s="18"/>
      <c r="L1297" s="18"/>
      <c r="M1297" s="18"/>
      <c r="N1297" s="18"/>
      <c r="O1297" s="18"/>
      <c r="P1297" s="18"/>
      <c r="Q1297" s="18"/>
      <c r="R1297" s="18"/>
      <c r="S1297" s="18"/>
      <c r="T1297" s="18"/>
      <c r="U1297" s="18"/>
      <c r="V1297" s="18"/>
      <c r="W1297" s="18"/>
      <c r="X1297" s="18"/>
      <c r="Y1297" s="18"/>
      <c r="Z1297" s="18"/>
      <c r="AA1297" s="18"/>
      <c r="AB1297" s="18"/>
      <c r="AC1297" s="18"/>
      <c r="AD1297" s="18"/>
      <c r="AE1297" s="18"/>
      <c r="AF1297" s="18"/>
      <c r="AG1297" s="18"/>
      <c r="AH1297" s="18"/>
      <c r="AI1297" s="18"/>
      <c r="AJ1297" s="18"/>
      <c r="AK1297" s="18"/>
      <c r="AL1297" s="18"/>
      <c r="AM1297" s="18"/>
      <c r="AN1297" s="18"/>
      <c r="AO1297" s="18"/>
      <c r="AP1297" s="18"/>
      <c r="AQ1297" s="18"/>
      <c r="AR1297" s="18"/>
      <c r="AS1297" s="18"/>
      <c r="AT1297" s="18"/>
      <c r="AU1297" s="18"/>
      <c r="AV1297" s="18"/>
      <c r="AW1297" s="18"/>
      <c r="AX1297" s="18"/>
      <c r="AY1297" s="18"/>
      <c r="AZ1297" s="18"/>
      <c r="BA1297" s="18"/>
      <c r="BB1297" s="18"/>
      <c r="BC1297" s="18"/>
      <c r="BD1297" s="18"/>
      <c r="BE1297" s="18"/>
      <c r="BF1297" s="18"/>
      <c r="BG1297" s="18"/>
      <c r="BH1297" s="18"/>
      <c r="BI1297" s="18"/>
      <c r="BJ1297" s="18"/>
      <c r="BK1297" s="18"/>
      <c r="BL1297" s="18"/>
      <c r="BM1297" s="18"/>
      <c r="BN1297" s="18"/>
      <c r="BO1297" s="18"/>
      <c r="BP1297" s="18"/>
      <c r="BQ1297" s="18"/>
      <c r="BR1297" s="18"/>
      <c r="BS1297" s="18"/>
      <c r="BT1297" s="18"/>
      <c r="BU1297" s="18"/>
      <c r="BV1297" s="18"/>
      <c r="BW1297" s="18"/>
      <c r="BX1297" s="18"/>
      <c r="BY1297" s="18"/>
      <c r="BZ1297" s="18"/>
      <c r="CA1297" s="18"/>
      <c r="CB1297" s="18"/>
      <c r="CC1297" s="18"/>
      <c r="CD1297" s="18"/>
      <c r="CE1297" s="18"/>
      <c r="CF1297" s="18"/>
      <c r="CG1297" s="18"/>
      <c r="CH1297" s="18"/>
      <c r="CI1297" s="18"/>
      <c r="CJ1297" s="18"/>
      <c r="CK1297" s="18"/>
      <c r="CL1297" s="18"/>
      <c r="CM1297" s="18"/>
      <c r="CN1297" s="18"/>
      <c r="CO1297" s="18"/>
      <c r="CP1297" s="18"/>
      <c r="CQ1297" s="18"/>
      <c r="CR1297" s="18"/>
      <c r="CS1297" s="18"/>
      <c r="CT1297" s="18"/>
      <c r="CU1297" s="18"/>
    </row>
    <row r="1298" spans="1:99">
      <c r="A1298" s="19"/>
      <c r="B1298" s="19"/>
      <c r="C1298" s="19"/>
      <c r="D1298" s="19"/>
      <c r="E1298" s="19"/>
      <c r="F1298" s="19"/>
      <c r="G1298" s="19"/>
      <c r="H1298" s="19"/>
      <c r="I1298" s="19"/>
      <c r="J1298" s="19"/>
      <c r="K1298" s="18"/>
      <c r="L1298" s="18"/>
      <c r="M1298" s="18"/>
      <c r="N1298" s="18"/>
      <c r="O1298" s="18"/>
      <c r="P1298" s="18"/>
      <c r="Q1298" s="18"/>
      <c r="R1298" s="18"/>
      <c r="S1298" s="18"/>
      <c r="T1298" s="18"/>
      <c r="U1298" s="18"/>
      <c r="V1298" s="18"/>
      <c r="W1298" s="18"/>
      <c r="X1298" s="18"/>
      <c r="Y1298" s="18"/>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c r="BC1298" s="18"/>
      <c r="BD1298" s="18"/>
      <c r="BE1298" s="18"/>
      <c r="BF1298" s="18"/>
      <c r="BG1298" s="18"/>
      <c r="BH1298" s="18"/>
      <c r="BI1298" s="18"/>
      <c r="BJ1298" s="18"/>
      <c r="BK1298" s="18"/>
      <c r="BL1298" s="18"/>
      <c r="BM1298" s="18"/>
      <c r="BN1298" s="18"/>
      <c r="BO1298" s="18"/>
      <c r="BP1298" s="18"/>
      <c r="BQ1298" s="18"/>
      <c r="BR1298" s="18"/>
      <c r="BS1298" s="18"/>
      <c r="BT1298" s="18"/>
      <c r="BU1298" s="18"/>
      <c r="BV1298" s="18"/>
      <c r="BW1298" s="18"/>
      <c r="BX1298" s="18"/>
      <c r="BY1298" s="18"/>
      <c r="BZ1298" s="18"/>
      <c r="CA1298" s="18"/>
      <c r="CB1298" s="18"/>
      <c r="CC1298" s="18"/>
      <c r="CD1298" s="18"/>
      <c r="CE1298" s="18"/>
      <c r="CF1298" s="18"/>
      <c r="CG1298" s="18"/>
      <c r="CH1298" s="18"/>
      <c r="CI1298" s="18"/>
      <c r="CJ1298" s="18"/>
      <c r="CK1298" s="18"/>
      <c r="CL1298" s="18"/>
      <c r="CM1298" s="18"/>
      <c r="CN1298" s="18"/>
      <c r="CO1298" s="18"/>
      <c r="CP1298" s="18"/>
      <c r="CQ1298" s="18"/>
      <c r="CR1298" s="18"/>
      <c r="CS1298" s="18"/>
      <c r="CT1298" s="18"/>
      <c r="CU1298" s="18"/>
    </row>
    <row r="1299" spans="1:99">
      <c r="A1299" s="19"/>
      <c r="B1299" s="19"/>
      <c r="C1299" s="19"/>
      <c r="D1299" s="19"/>
      <c r="E1299" s="19"/>
      <c r="F1299" s="19"/>
      <c r="G1299" s="19"/>
      <c r="H1299" s="19"/>
      <c r="I1299" s="19"/>
      <c r="J1299" s="19"/>
      <c r="K1299" s="18"/>
      <c r="L1299" s="18"/>
      <c r="M1299" s="18"/>
      <c r="N1299" s="18"/>
      <c r="O1299" s="18"/>
      <c r="P1299" s="18"/>
      <c r="Q1299" s="18"/>
      <c r="R1299" s="18"/>
      <c r="S1299" s="18"/>
      <c r="T1299" s="18"/>
      <c r="U1299" s="18"/>
      <c r="V1299" s="18"/>
      <c r="W1299" s="18"/>
      <c r="X1299" s="18"/>
      <c r="Y1299" s="18"/>
      <c r="Z1299" s="18"/>
      <c r="AA1299" s="18"/>
      <c r="AB1299" s="18"/>
      <c r="AC1299" s="18"/>
      <c r="AD1299" s="18"/>
      <c r="AE1299" s="18"/>
      <c r="AF1299" s="18"/>
      <c r="AG1299" s="18"/>
      <c r="AH1299" s="18"/>
      <c r="AI1299" s="18"/>
      <c r="AJ1299" s="18"/>
      <c r="AK1299" s="18"/>
      <c r="AL1299" s="18"/>
      <c r="AM1299" s="18"/>
      <c r="AN1299" s="18"/>
      <c r="AO1299" s="18"/>
      <c r="AP1299" s="18"/>
      <c r="AQ1299" s="18"/>
      <c r="AR1299" s="18"/>
      <c r="AS1299" s="18"/>
      <c r="AT1299" s="18"/>
      <c r="AU1299" s="18"/>
      <c r="AV1299" s="18"/>
      <c r="AW1299" s="18"/>
      <c r="AX1299" s="18"/>
      <c r="AY1299" s="18"/>
      <c r="AZ1299" s="18"/>
      <c r="BA1299" s="18"/>
      <c r="BB1299" s="18"/>
      <c r="BC1299" s="18"/>
      <c r="BD1299" s="18"/>
      <c r="BE1299" s="18"/>
      <c r="BF1299" s="18"/>
      <c r="BG1299" s="18"/>
      <c r="BH1299" s="18"/>
      <c r="BI1299" s="18"/>
      <c r="BJ1299" s="18"/>
      <c r="BK1299" s="18"/>
      <c r="BL1299" s="18"/>
      <c r="BM1299" s="18"/>
      <c r="BN1299" s="18"/>
      <c r="BO1299" s="18"/>
      <c r="BP1299" s="18"/>
      <c r="BQ1299" s="18"/>
      <c r="BR1299" s="18"/>
      <c r="BS1299" s="18"/>
      <c r="BT1299" s="18"/>
      <c r="BU1299" s="18"/>
      <c r="BV1299" s="18"/>
      <c r="BW1299" s="18"/>
      <c r="BX1299" s="18"/>
      <c r="BY1299" s="18"/>
      <c r="BZ1299" s="18"/>
      <c r="CA1299" s="18"/>
      <c r="CB1299" s="18"/>
      <c r="CC1299" s="18"/>
      <c r="CD1299" s="18"/>
      <c r="CE1299" s="18"/>
      <c r="CF1299" s="18"/>
      <c r="CG1299" s="18"/>
      <c r="CH1299" s="18"/>
      <c r="CI1299" s="18"/>
      <c r="CJ1299" s="18"/>
      <c r="CK1299" s="18"/>
      <c r="CL1299" s="18"/>
      <c r="CM1299" s="18"/>
      <c r="CN1299" s="18"/>
      <c r="CO1299" s="18"/>
      <c r="CP1299" s="18"/>
      <c r="CQ1299" s="18"/>
      <c r="CR1299" s="18"/>
      <c r="CS1299" s="18"/>
      <c r="CT1299" s="18"/>
      <c r="CU1299" s="18"/>
    </row>
    <row r="1300" spans="1:99">
      <c r="A1300" s="19"/>
      <c r="B1300" s="19"/>
      <c r="C1300" s="19"/>
      <c r="D1300" s="19"/>
      <c r="E1300" s="19"/>
      <c r="F1300" s="19"/>
      <c r="G1300" s="19"/>
      <c r="H1300" s="19"/>
      <c r="I1300" s="19"/>
      <c r="J1300" s="19"/>
      <c r="K1300" s="18"/>
      <c r="L1300" s="18"/>
      <c r="M1300" s="18"/>
      <c r="N1300" s="18"/>
      <c r="O1300" s="18"/>
      <c r="P1300" s="18"/>
      <c r="Q1300" s="18"/>
      <c r="R1300" s="18"/>
      <c r="S1300" s="18"/>
      <c r="T1300" s="18"/>
      <c r="U1300" s="18"/>
      <c r="V1300" s="18"/>
      <c r="W1300" s="18"/>
      <c r="X1300" s="18"/>
      <c r="Y1300" s="18"/>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c r="BC1300" s="18"/>
      <c r="BD1300" s="18"/>
      <c r="BE1300" s="18"/>
      <c r="BF1300" s="18"/>
      <c r="BG1300" s="18"/>
      <c r="BH1300" s="18"/>
      <c r="BI1300" s="18"/>
      <c r="BJ1300" s="18"/>
      <c r="BK1300" s="18"/>
      <c r="BL1300" s="18"/>
      <c r="BM1300" s="18"/>
      <c r="BN1300" s="18"/>
      <c r="BO1300" s="18"/>
      <c r="BP1300" s="18"/>
      <c r="BQ1300" s="18"/>
      <c r="BR1300" s="18"/>
      <c r="BS1300" s="18"/>
      <c r="BT1300" s="18"/>
      <c r="BU1300" s="18"/>
      <c r="BV1300" s="18"/>
      <c r="BW1300" s="18"/>
      <c r="BX1300" s="18"/>
      <c r="BY1300" s="18"/>
      <c r="BZ1300" s="18"/>
      <c r="CA1300" s="18"/>
      <c r="CB1300" s="18"/>
      <c r="CC1300" s="18"/>
      <c r="CD1300" s="18"/>
      <c r="CE1300" s="18"/>
      <c r="CF1300" s="18"/>
      <c r="CG1300" s="18"/>
      <c r="CH1300" s="18"/>
      <c r="CI1300" s="18"/>
      <c r="CJ1300" s="18"/>
      <c r="CK1300" s="18"/>
      <c r="CL1300" s="18"/>
      <c r="CM1300" s="18"/>
      <c r="CN1300" s="18"/>
      <c r="CO1300" s="18"/>
      <c r="CP1300" s="18"/>
      <c r="CQ1300" s="18"/>
      <c r="CR1300" s="18"/>
      <c r="CS1300" s="18"/>
      <c r="CT1300" s="18"/>
      <c r="CU1300" s="18"/>
    </row>
    <row r="1301" spans="1:99">
      <c r="A1301" s="19"/>
      <c r="B1301" s="19"/>
      <c r="C1301" s="19"/>
      <c r="D1301" s="19"/>
      <c r="E1301" s="19"/>
      <c r="F1301" s="19"/>
      <c r="G1301" s="19"/>
      <c r="H1301" s="19"/>
      <c r="I1301" s="19"/>
      <c r="J1301" s="19"/>
      <c r="K1301" s="18"/>
      <c r="L1301" s="18"/>
      <c r="M1301" s="18"/>
      <c r="N1301" s="18"/>
      <c r="O1301" s="18"/>
      <c r="P1301" s="18"/>
      <c r="Q1301" s="18"/>
      <c r="R1301" s="18"/>
      <c r="S1301" s="18"/>
      <c r="T1301" s="18"/>
      <c r="U1301" s="18"/>
      <c r="V1301" s="18"/>
      <c r="W1301" s="18"/>
      <c r="X1301" s="18"/>
      <c r="Y1301" s="18"/>
      <c r="Z1301" s="18"/>
      <c r="AA1301" s="18"/>
      <c r="AB1301" s="18"/>
      <c r="AC1301" s="18"/>
      <c r="AD1301" s="18"/>
      <c r="AE1301" s="18"/>
      <c r="AF1301" s="18"/>
      <c r="AG1301" s="18"/>
      <c r="AH1301" s="18"/>
      <c r="AI1301" s="18"/>
      <c r="AJ1301" s="18"/>
      <c r="AK1301" s="18"/>
      <c r="AL1301" s="18"/>
      <c r="AM1301" s="18"/>
      <c r="AN1301" s="18"/>
      <c r="AO1301" s="18"/>
      <c r="AP1301" s="18"/>
      <c r="AQ1301" s="18"/>
      <c r="AR1301" s="18"/>
      <c r="AS1301" s="18"/>
      <c r="AT1301" s="18"/>
      <c r="AU1301" s="18"/>
      <c r="AV1301" s="18"/>
      <c r="AW1301" s="18"/>
      <c r="AX1301" s="18"/>
      <c r="AY1301" s="18"/>
      <c r="AZ1301" s="18"/>
      <c r="BA1301" s="18"/>
      <c r="BB1301" s="18"/>
      <c r="BC1301" s="18"/>
      <c r="BD1301" s="18"/>
      <c r="BE1301" s="18"/>
      <c r="BF1301" s="18"/>
      <c r="BG1301" s="18"/>
      <c r="BH1301" s="18"/>
      <c r="BI1301" s="18"/>
      <c r="BJ1301" s="18"/>
      <c r="BK1301" s="18"/>
      <c r="BL1301" s="18"/>
      <c r="BM1301" s="18"/>
      <c r="BN1301" s="18"/>
      <c r="BO1301" s="18"/>
      <c r="BP1301" s="18"/>
      <c r="BQ1301" s="18"/>
      <c r="BR1301" s="18"/>
      <c r="BS1301" s="18"/>
      <c r="BT1301" s="18"/>
      <c r="BU1301" s="18"/>
      <c r="BV1301" s="18"/>
      <c r="BW1301" s="18"/>
      <c r="BX1301" s="18"/>
      <c r="BY1301" s="18"/>
      <c r="BZ1301" s="18"/>
      <c r="CA1301" s="18"/>
      <c r="CB1301" s="18"/>
      <c r="CC1301" s="18"/>
      <c r="CD1301" s="18"/>
      <c r="CE1301" s="18"/>
      <c r="CF1301" s="18"/>
      <c r="CG1301" s="18"/>
      <c r="CH1301" s="18"/>
      <c r="CI1301" s="18"/>
      <c r="CJ1301" s="18"/>
      <c r="CK1301" s="18"/>
      <c r="CL1301" s="18"/>
      <c r="CM1301" s="18"/>
      <c r="CN1301" s="18"/>
      <c r="CO1301" s="18"/>
      <c r="CP1301" s="18"/>
      <c r="CQ1301" s="18"/>
      <c r="CR1301" s="18"/>
      <c r="CS1301" s="18"/>
      <c r="CT1301" s="18"/>
      <c r="CU1301" s="18"/>
    </row>
    <row r="1302" spans="1:99">
      <c r="A1302" s="19"/>
      <c r="B1302" s="19"/>
      <c r="C1302" s="19"/>
      <c r="D1302" s="19"/>
      <c r="E1302" s="19"/>
      <c r="F1302" s="19"/>
      <c r="G1302" s="19"/>
      <c r="H1302" s="19"/>
      <c r="I1302" s="19"/>
      <c r="J1302" s="19"/>
      <c r="K1302" s="18"/>
      <c r="L1302" s="18"/>
      <c r="M1302" s="18"/>
      <c r="N1302" s="18"/>
      <c r="O1302" s="18"/>
      <c r="P1302" s="18"/>
      <c r="Q1302" s="18"/>
      <c r="R1302" s="18"/>
      <c r="S1302" s="18"/>
      <c r="T1302" s="18"/>
      <c r="U1302" s="18"/>
      <c r="V1302" s="18"/>
      <c r="W1302" s="18"/>
      <c r="X1302" s="18"/>
      <c r="Y1302" s="18"/>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c r="BC1302" s="18"/>
      <c r="BD1302" s="18"/>
      <c r="BE1302" s="18"/>
      <c r="BF1302" s="18"/>
      <c r="BG1302" s="18"/>
      <c r="BH1302" s="18"/>
      <c r="BI1302" s="18"/>
      <c r="BJ1302" s="18"/>
      <c r="BK1302" s="18"/>
      <c r="BL1302" s="18"/>
      <c r="BM1302" s="18"/>
      <c r="BN1302" s="18"/>
      <c r="BO1302" s="18"/>
      <c r="BP1302" s="18"/>
      <c r="BQ1302" s="18"/>
      <c r="BR1302" s="18"/>
      <c r="BS1302" s="18"/>
      <c r="BT1302" s="18"/>
      <c r="BU1302" s="18"/>
      <c r="BV1302" s="18"/>
      <c r="BW1302" s="18"/>
      <c r="BX1302" s="18"/>
      <c r="BY1302" s="18"/>
      <c r="BZ1302" s="18"/>
      <c r="CA1302" s="18"/>
      <c r="CB1302" s="18"/>
      <c r="CC1302" s="18"/>
      <c r="CD1302" s="18"/>
      <c r="CE1302" s="18"/>
      <c r="CF1302" s="18"/>
      <c r="CG1302" s="18"/>
      <c r="CH1302" s="18"/>
      <c r="CI1302" s="18"/>
      <c r="CJ1302" s="18"/>
      <c r="CK1302" s="18"/>
      <c r="CL1302" s="18"/>
      <c r="CM1302" s="18"/>
      <c r="CN1302" s="18"/>
      <c r="CO1302" s="18"/>
      <c r="CP1302" s="18"/>
      <c r="CQ1302" s="18"/>
      <c r="CR1302" s="18"/>
      <c r="CS1302" s="18"/>
      <c r="CT1302" s="18"/>
      <c r="CU1302" s="18"/>
    </row>
    <row r="1303" spans="1:99">
      <c r="A1303" s="19"/>
      <c r="B1303" s="19"/>
      <c r="C1303" s="19"/>
      <c r="D1303" s="19"/>
      <c r="E1303" s="19"/>
      <c r="F1303" s="19"/>
      <c r="G1303" s="19"/>
      <c r="H1303" s="19"/>
      <c r="I1303" s="19"/>
      <c r="J1303" s="19"/>
      <c r="K1303" s="18"/>
      <c r="L1303" s="18"/>
      <c r="M1303" s="18"/>
      <c r="N1303" s="18"/>
      <c r="O1303" s="18"/>
      <c r="P1303" s="18"/>
      <c r="Q1303" s="18"/>
      <c r="R1303" s="18"/>
      <c r="S1303" s="18"/>
      <c r="T1303" s="18"/>
      <c r="U1303" s="18"/>
      <c r="V1303" s="18"/>
      <c r="W1303" s="18"/>
      <c r="X1303" s="18"/>
      <c r="Y1303" s="18"/>
      <c r="Z1303" s="18"/>
      <c r="AA1303" s="18"/>
      <c r="AB1303" s="18"/>
      <c r="AC1303" s="18"/>
      <c r="AD1303" s="18"/>
      <c r="AE1303" s="18"/>
      <c r="AF1303" s="18"/>
      <c r="AG1303" s="18"/>
      <c r="AH1303" s="18"/>
      <c r="AI1303" s="18"/>
      <c r="AJ1303" s="18"/>
      <c r="AK1303" s="18"/>
      <c r="AL1303" s="18"/>
      <c r="AM1303" s="18"/>
      <c r="AN1303" s="18"/>
      <c r="AO1303" s="18"/>
      <c r="AP1303" s="18"/>
      <c r="AQ1303" s="18"/>
      <c r="AR1303" s="18"/>
      <c r="AS1303" s="18"/>
      <c r="AT1303" s="18"/>
      <c r="AU1303" s="18"/>
      <c r="AV1303" s="18"/>
      <c r="AW1303" s="18"/>
      <c r="AX1303" s="18"/>
      <c r="AY1303" s="18"/>
      <c r="AZ1303" s="18"/>
      <c r="BA1303" s="18"/>
      <c r="BB1303" s="18"/>
      <c r="BC1303" s="18"/>
      <c r="BD1303" s="18"/>
      <c r="BE1303" s="18"/>
      <c r="BF1303" s="18"/>
      <c r="BG1303" s="18"/>
      <c r="BH1303" s="18"/>
      <c r="BI1303" s="18"/>
      <c r="BJ1303" s="18"/>
      <c r="BK1303" s="18"/>
      <c r="BL1303" s="18"/>
      <c r="BM1303" s="18"/>
      <c r="BN1303" s="18"/>
      <c r="BO1303" s="18"/>
      <c r="BP1303" s="18"/>
      <c r="BQ1303" s="18"/>
      <c r="BR1303" s="18"/>
      <c r="BS1303" s="18"/>
      <c r="BT1303" s="18"/>
      <c r="BU1303" s="18"/>
      <c r="BV1303" s="18"/>
      <c r="BW1303" s="18"/>
      <c r="BX1303" s="18"/>
      <c r="BY1303" s="18"/>
      <c r="BZ1303" s="18"/>
      <c r="CA1303" s="18"/>
      <c r="CB1303" s="18"/>
      <c r="CC1303" s="18"/>
      <c r="CD1303" s="18"/>
      <c r="CE1303" s="18"/>
      <c r="CF1303" s="18"/>
      <c r="CG1303" s="18"/>
      <c r="CH1303" s="18"/>
      <c r="CI1303" s="18"/>
      <c r="CJ1303" s="18"/>
      <c r="CK1303" s="18"/>
      <c r="CL1303" s="18"/>
      <c r="CM1303" s="18"/>
      <c r="CN1303" s="18"/>
      <c r="CO1303" s="18"/>
      <c r="CP1303" s="18"/>
      <c r="CQ1303" s="18"/>
      <c r="CR1303" s="18"/>
      <c r="CS1303" s="18"/>
      <c r="CT1303" s="18"/>
      <c r="CU1303" s="18"/>
    </row>
    <row r="1304" spans="1:99">
      <c r="A1304" s="19"/>
      <c r="B1304" s="19"/>
      <c r="C1304" s="19"/>
      <c r="D1304" s="19"/>
      <c r="E1304" s="19"/>
      <c r="F1304" s="19"/>
      <c r="G1304" s="19"/>
      <c r="H1304" s="19"/>
      <c r="I1304" s="19"/>
      <c r="J1304" s="19"/>
      <c r="K1304" s="18"/>
      <c r="L1304" s="18"/>
      <c r="M1304" s="18"/>
      <c r="N1304" s="18"/>
      <c r="O1304" s="18"/>
      <c r="P1304" s="18"/>
      <c r="Q1304" s="18"/>
      <c r="R1304" s="18"/>
      <c r="S1304" s="18"/>
      <c r="T1304" s="18"/>
      <c r="U1304" s="18"/>
      <c r="V1304" s="18"/>
      <c r="W1304" s="18"/>
      <c r="X1304" s="18"/>
      <c r="Y1304" s="18"/>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c r="BC1304" s="18"/>
      <c r="BD1304" s="18"/>
      <c r="BE1304" s="18"/>
      <c r="BF1304" s="18"/>
      <c r="BG1304" s="18"/>
      <c r="BH1304" s="18"/>
      <c r="BI1304" s="18"/>
      <c r="BJ1304" s="18"/>
      <c r="BK1304" s="18"/>
      <c r="BL1304" s="18"/>
      <c r="BM1304" s="18"/>
      <c r="BN1304" s="18"/>
      <c r="BO1304" s="18"/>
      <c r="BP1304" s="18"/>
      <c r="BQ1304" s="18"/>
      <c r="BR1304" s="18"/>
      <c r="BS1304" s="18"/>
      <c r="BT1304" s="18"/>
      <c r="BU1304" s="18"/>
      <c r="BV1304" s="18"/>
      <c r="BW1304" s="18"/>
      <c r="BX1304" s="18"/>
      <c r="BY1304" s="18"/>
      <c r="BZ1304" s="18"/>
      <c r="CA1304" s="18"/>
      <c r="CB1304" s="18"/>
      <c r="CC1304" s="18"/>
      <c r="CD1304" s="18"/>
      <c r="CE1304" s="18"/>
      <c r="CF1304" s="18"/>
      <c r="CG1304" s="18"/>
      <c r="CH1304" s="18"/>
      <c r="CI1304" s="18"/>
      <c r="CJ1304" s="18"/>
      <c r="CK1304" s="18"/>
      <c r="CL1304" s="18"/>
      <c r="CM1304" s="18"/>
      <c r="CN1304" s="18"/>
      <c r="CO1304" s="18"/>
      <c r="CP1304" s="18"/>
      <c r="CQ1304" s="18"/>
      <c r="CR1304" s="18"/>
      <c r="CS1304" s="18"/>
      <c r="CT1304" s="18"/>
      <c r="CU1304" s="18"/>
    </row>
    <row r="1305" spans="1:99">
      <c r="A1305" s="19"/>
      <c r="B1305" s="19"/>
      <c r="C1305" s="19"/>
      <c r="D1305" s="19"/>
      <c r="E1305" s="19"/>
      <c r="F1305" s="19"/>
      <c r="G1305" s="19"/>
      <c r="H1305" s="19"/>
      <c r="I1305" s="19"/>
      <c r="J1305" s="19"/>
      <c r="K1305" s="18"/>
      <c r="L1305" s="18"/>
      <c r="M1305" s="18"/>
      <c r="N1305" s="18"/>
      <c r="O1305" s="18"/>
      <c r="P1305" s="18"/>
      <c r="Q1305" s="18"/>
      <c r="R1305" s="18"/>
      <c r="S1305" s="18"/>
      <c r="T1305" s="18"/>
      <c r="U1305" s="18"/>
      <c r="V1305" s="18"/>
      <c r="W1305" s="18"/>
      <c r="X1305" s="18"/>
      <c r="Y1305" s="18"/>
      <c r="Z1305" s="18"/>
      <c r="AA1305" s="18"/>
      <c r="AB1305" s="18"/>
      <c r="AC1305" s="18"/>
      <c r="AD1305" s="18"/>
      <c r="AE1305" s="18"/>
      <c r="AF1305" s="18"/>
      <c r="AG1305" s="18"/>
      <c r="AH1305" s="18"/>
      <c r="AI1305" s="18"/>
      <c r="AJ1305" s="18"/>
      <c r="AK1305" s="18"/>
      <c r="AL1305" s="18"/>
      <c r="AM1305" s="18"/>
      <c r="AN1305" s="18"/>
      <c r="AO1305" s="18"/>
      <c r="AP1305" s="18"/>
      <c r="AQ1305" s="18"/>
      <c r="AR1305" s="18"/>
      <c r="AS1305" s="18"/>
      <c r="AT1305" s="18"/>
      <c r="AU1305" s="18"/>
      <c r="AV1305" s="18"/>
      <c r="AW1305" s="18"/>
      <c r="AX1305" s="18"/>
      <c r="AY1305" s="18"/>
      <c r="AZ1305" s="18"/>
      <c r="BA1305" s="18"/>
      <c r="BB1305" s="18"/>
      <c r="BC1305" s="18"/>
      <c r="BD1305" s="18"/>
      <c r="BE1305" s="18"/>
      <c r="BF1305" s="18"/>
      <c r="BG1305" s="18"/>
      <c r="BH1305" s="18"/>
      <c r="BI1305" s="18"/>
      <c r="BJ1305" s="18"/>
      <c r="BK1305" s="18"/>
      <c r="BL1305" s="18"/>
      <c r="BM1305" s="18"/>
      <c r="BN1305" s="18"/>
      <c r="BO1305" s="18"/>
      <c r="BP1305" s="18"/>
      <c r="BQ1305" s="18"/>
      <c r="BR1305" s="18"/>
      <c r="BS1305" s="18"/>
      <c r="BT1305" s="18"/>
      <c r="BU1305" s="18"/>
      <c r="BV1305" s="18"/>
      <c r="BW1305" s="18"/>
      <c r="BX1305" s="18"/>
      <c r="BY1305" s="18"/>
      <c r="BZ1305" s="18"/>
      <c r="CA1305" s="18"/>
      <c r="CB1305" s="18"/>
      <c r="CC1305" s="18"/>
      <c r="CD1305" s="18"/>
      <c r="CE1305" s="18"/>
      <c r="CF1305" s="18"/>
      <c r="CG1305" s="18"/>
      <c r="CH1305" s="18"/>
      <c r="CI1305" s="18"/>
      <c r="CJ1305" s="18"/>
      <c r="CK1305" s="18"/>
      <c r="CL1305" s="18"/>
      <c r="CM1305" s="18"/>
      <c r="CN1305" s="18"/>
      <c r="CO1305" s="18"/>
      <c r="CP1305" s="18"/>
      <c r="CQ1305" s="18"/>
      <c r="CR1305" s="18"/>
      <c r="CS1305" s="18"/>
      <c r="CT1305" s="18"/>
      <c r="CU1305" s="18"/>
    </row>
    <row r="1306" spans="1:99">
      <c r="A1306" s="19"/>
      <c r="B1306" s="19"/>
      <c r="C1306" s="19"/>
      <c r="D1306" s="19"/>
      <c r="E1306" s="19"/>
      <c r="F1306" s="19"/>
      <c r="G1306" s="19"/>
      <c r="H1306" s="19"/>
      <c r="I1306" s="19"/>
      <c r="J1306" s="19"/>
      <c r="K1306" s="18"/>
      <c r="L1306" s="18"/>
      <c r="M1306" s="18"/>
      <c r="N1306" s="18"/>
      <c r="O1306" s="18"/>
      <c r="P1306" s="18"/>
      <c r="Q1306" s="18"/>
      <c r="R1306" s="18"/>
      <c r="S1306" s="18"/>
      <c r="T1306" s="18"/>
      <c r="U1306" s="18"/>
      <c r="V1306" s="18"/>
      <c r="W1306" s="18"/>
      <c r="X1306" s="18"/>
      <c r="Y1306" s="18"/>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c r="BC1306" s="18"/>
      <c r="BD1306" s="18"/>
      <c r="BE1306" s="18"/>
      <c r="BF1306" s="18"/>
      <c r="BG1306" s="18"/>
      <c r="BH1306" s="18"/>
      <c r="BI1306" s="18"/>
      <c r="BJ1306" s="18"/>
      <c r="BK1306" s="18"/>
      <c r="BL1306" s="18"/>
      <c r="BM1306" s="18"/>
      <c r="BN1306" s="18"/>
      <c r="BO1306" s="18"/>
      <c r="BP1306" s="18"/>
      <c r="BQ1306" s="18"/>
      <c r="BR1306" s="18"/>
      <c r="BS1306" s="18"/>
      <c r="BT1306" s="18"/>
      <c r="BU1306" s="18"/>
      <c r="BV1306" s="18"/>
      <c r="BW1306" s="18"/>
      <c r="BX1306" s="18"/>
      <c r="BY1306" s="18"/>
      <c r="BZ1306" s="18"/>
      <c r="CA1306" s="18"/>
      <c r="CB1306" s="18"/>
      <c r="CC1306" s="18"/>
      <c r="CD1306" s="18"/>
      <c r="CE1306" s="18"/>
      <c r="CF1306" s="18"/>
      <c r="CG1306" s="18"/>
      <c r="CH1306" s="18"/>
      <c r="CI1306" s="18"/>
      <c r="CJ1306" s="18"/>
      <c r="CK1306" s="18"/>
      <c r="CL1306" s="18"/>
      <c r="CM1306" s="18"/>
      <c r="CN1306" s="18"/>
      <c r="CO1306" s="18"/>
      <c r="CP1306" s="18"/>
      <c r="CQ1306" s="18"/>
      <c r="CR1306" s="18"/>
      <c r="CS1306" s="18"/>
      <c r="CT1306" s="18"/>
      <c r="CU1306" s="18"/>
    </row>
    <row r="1307" spans="1:99">
      <c r="A1307" s="19"/>
      <c r="B1307" s="19"/>
      <c r="C1307" s="19"/>
      <c r="D1307" s="19"/>
      <c r="E1307" s="19"/>
      <c r="F1307" s="19"/>
      <c r="G1307" s="19"/>
      <c r="H1307" s="19"/>
      <c r="I1307" s="19"/>
      <c r="J1307" s="19"/>
      <c r="K1307" s="18"/>
      <c r="L1307" s="18"/>
      <c r="M1307" s="18"/>
      <c r="N1307" s="18"/>
      <c r="O1307" s="18"/>
      <c r="P1307" s="18"/>
      <c r="Q1307" s="18"/>
      <c r="R1307" s="18"/>
      <c r="S1307" s="18"/>
      <c r="T1307" s="18"/>
      <c r="U1307" s="18"/>
      <c r="V1307" s="18"/>
      <c r="W1307" s="18"/>
      <c r="X1307" s="18"/>
      <c r="Y1307" s="18"/>
      <c r="Z1307" s="18"/>
      <c r="AA1307" s="18"/>
      <c r="AB1307" s="18"/>
      <c r="AC1307" s="18"/>
      <c r="AD1307" s="18"/>
      <c r="AE1307" s="18"/>
      <c r="AF1307" s="18"/>
      <c r="AG1307" s="18"/>
      <c r="AH1307" s="18"/>
      <c r="AI1307" s="18"/>
      <c r="AJ1307" s="18"/>
      <c r="AK1307" s="18"/>
      <c r="AL1307" s="18"/>
      <c r="AM1307" s="18"/>
      <c r="AN1307" s="18"/>
      <c r="AO1307" s="18"/>
      <c r="AP1307" s="18"/>
      <c r="AQ1307" s="18"/>
      <c r="AR1307" s="18"/>
      <c r="AS1307" s="18"/>
      <c r="AT1307" s="18"/>
      <c r="AU1307" s="18"/>
      <c r="AV1307" s="18"/>
      <c r="AW1307" s="18"/>
      <c r="AX1307" s="18"/>
      <c r="AY1307" s="18"/>
      <c r="AZ1307" s="18"/>
      <c r="BA1307" s="18"/>
      <c r="BB1307" s="18"/>
      <c r="BC1307" s="18"/>
      <c r="BD1307" s="18"/>
      <c r="BE1307" s="18"/>
      <c r="BF1307" s="18"/>
      <c r="BG1307" s="18"/>
      <c r="BH1307" s="18"/>
      <c r="BI1307" s="18"/>
      <c r="BJ1307" s="18"/>
      <c r="BK1307" s="18"/>
      <c r="BL1307" s="18"/>
      <c r="BM1307" s="18"/>
      <c r="BN1307" s="18"/>
      <c r="BO1307" s="18"/>
      <c r="BP1307" s="18"/>
      <c r="BQ1307" s="18"/>
      <c r="BR1307" s="18"/>
      <c r="BS1307" s="18"/>
      <c r="BT1307" s="18"/>
      <c r="BU1307" s="18"/>
      <c r="BV1307" s="18"/>
      <c r="BW1307" s="18"/>
      <c r="BX1307" s="18"/>
      <c r="BY1307" s="18"/>
      <c r="BZ1307" s="18"/>
      <c r="CA1307" s="18"/>
      <c r="CB1307" s="18"/>
      <c r="CC1307" s="18"/>
      <c r="CD1307" s="18"/>
      <c r="CE1307" s="18"/>
      <c r="CF1307" s="18"/>
      <c r="CG1307" s="18"/>
      <c r="CH1307" s="18"/>
      <c r="CI1307" s="18"/>
      <c r="CJ1307" s="18"/>
      <c r="CK1307" s="18"/>
      <c r="CL1307" s="18"/>
      <c r="CM1307" s="18"/>
      <c r="CN1307" s="18"/>
      <c r="CO1307" s="18"/>
      <c r="CP1307" s="18"/>
      <c r="CQ1307" s="18"/>
      <c r="CR1307" s="18"/>
      <c r="CS1307" s="18"/>
      <c r="CT1307" s="18"/>
      <c r="CU1307" s="18"/>
    </row>
    <row r="1308" spans="1:99">
      <c r="A1308" s="19"/>
      <c r="B1308" s="19"/>
      <c r="C1308" s="19"/>
      <c r="D1308" s="19"/>
      <c r="E1308" s="19"/>
      <c r="F1308" s="19"/>
      <c r="G1308" s="19"/>
      <c r="H1308" s="19"/>
      <c r="I1308" s="19"/>
      <c r="J1308" s="19"/>
      <c r="K1308" s="18"/>
      <c r="L1308" s="18"/>
      <c r="M1308" s="18"/>
      <c r="N1308" s="18"/>
      <c r="O1308" s="18"/>
      <c r="P1308" s="18"/>
      <c r="Q1308" s="18"/>
      <c r="R1308" s="18"/>
      <c r="S1308" s="18"/>
      <c r="T1308" s="18"/>
      <c r="U1308" s="18"/>
      <c r="V1308" s="18"/>
      <c r="W1308" s="18"/>
      <c r="X1308" s="18"/>
      <c r="Y1308" s="18"/>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c r="BC1308" s="18"/>
      <c r="BD1308" s="18"/>
      <c r="BE1308" s="18"/>
      <c r="BF1308" s="18"/>
      <c r="BG1308" s="18"/>
      <c r="BH1308" s="18"/>
      <c r="BI1308" s="18"/>
      <c r="BJ1308" s="18"/>
      <c r="BK1308" s="18"/>
      <c r="BL1308" s="18"/>
      <c r="BM1308" s="18"/>
      <c r="BN1308" s="18"/>
      <c r="BO1308" s="18"/>
      <c r="BP1308" s="18"/>
      <c r="BQ1308" s="18"/>
      <c r="BR1308" s="18"/>
      <c r="BS1308" s="18"/>
      <c r="BT1308" s="18"/>
      <c r="BU1308" s="18"/>
      <c r="BV1308" s="18"/>
      <c r="BW1308" s="18"/>
      <c r="BX1308" s="18"/>
      <c r="BY1308" s="18"/>
      <c r="BZ1308" s="18"/>
      <c r="CA1308" s="18"/>
      <c r="CB1308" s="18"/>
      <c r="CC1308" s="18"/>
      <c r="CD1308" s="18"/>
      <c r="CE1308" s="18"/>
      <c r="CF1308" s="18"/>
      <c r="CG1308" s="18"/>
      <c r="CH1308" s="18"/>
      <c r="CI1308" s="18"/>
      <c r="CJ1308" s="18"/>
      <c r="CK1308" s="18"/>
      <c r="CL1308" s="18"/>
      <c r="CM1308" s="18"/>
      <c r="CN1308" s="18"/>
      <c r="CO1308" s="18"/>
      <c r="CP1308" s="18"/>
      <c r="CQ1308" s="18"/>
      <c r="CR1308" s="18"/>
      <c r="CS1308" s="18"/>
      <c r="CT1308" s="18"/>
      <c r="CU1308" s="18"/>
    </row>
    <row r="1309" spans="1:99">
      <c r="A1309" s="19"/>
      <c r="B1309" s="19"/>
      <c r="C1309" s="19"/>
      <c r="D1309" s="19"/>
      <c r="E1309" s="19"/>
      <c r="F1309" s="19"/>
      <c r="G1309" s="19"/>
      <c r="H1309" s="19"/>
      <c r="I1309" s="19"/>
      <c r="J1309" s="19"/>
      <c r="K1309" s="18"/>
      <c r="L1309" s="18"/>
      <c r="M1309" s="18"/>
      <c r="N1309" s="18"/>
      <c r="O1309" s="18"/>
      <c r="P1309" s="18"/>
      <c r="Q1309" s="18"/>
      <c r="R1309" s="18"/>
      <c r="S1309" s="18"/>
      <c r="T1309" s="18"/>
      <c r="U1309" s="18"/>
      <c r="V1309" s="18"/>
      <c r="W1309" s="18"/>
      <c r="X1309" s="18"/>
      <c r="Y1309" s="18"/>
      <c r="Z1309" s="18"/>
      <c r="AA1309" s="18"/>
      <c r="AB1309" s="18"/>
      <c r="AC1309" s="18"/>
      <c r="AD1309" s="18"/>
      <c r="AE1309" s="18"/>
      <c r="AF1309" s="18"/>
      <c r="AG1309" s="18"/>
      <c r="AH1309" s="18"/>
      <c r="AI1309" s="18"/>
      <c r="AJ1309" s="18"/>
      <c r="AK1309" s="18"/>
      <c r="AL1309" s="18"/>
      <c r="AM1309" s="18"/>
      <c r="AN1309" s="18"/>
      <c r="AO1309" s="18"/>
      <c r="AP1309" s="18"/>
      <c r="AQ1309" s="18"/>
      <c r="AR1309" s="18"/>
      <c r="AS1309" s="18"/>
      <c r="AT1309" s="18"/>
      <c r="AU1309" s="18"/>
      <c r="AV1309" s="18"/>
      <c r="AW1309" s="18"/>
      <c r="AX1309" s="18"/>
      <c r="AY1309" s="18"/>
      <c r="AZ1309" s="18"/>
      <c r="BA1309" s="18"/>
      <c r="BB1309" s="18"/>
      <c r="BC1309" s="18"/>
      <c r="BD1309" s="18"/>
      <c r="BE1309" s="18"/>
      <c r="BF1309" s="18"/>
      <c r="BG1309" s="18"/>
      <c r="BH1309" s="18"/>
      <c r="BI1309" s="18"/>
      <c r="BJ1309" s="18"/>
      <c r="BK1309" s="18"/>
      <c r="BL1309" s="18"/>
      <c r="BM1309" s="18"/>
      <c r="BN1309" s="18"/>
      <c r="BO1309" s="18"/>
      <c r="BP1309" s="18"/>
      <c r="BQ1309" s="18"/>
      <c r="BR1309" s="18"/>
      <c r="BS1309" s="18"/>
      <c r="BT1309" s="18"/>
      <c r="BU1309" s="18"/>
      <c r="BV1309" s="18"/>
      <c r="BW1309" s="18"/>
      <c r="BX1309" s="18"/>
      <c r="BY1309" s="18"/>
      <c r="BZ1309" s="18"/>
      <c r="CA1309" s="18"/>
      <c r="CB1309" s="18"/>
      <c r="CC1309" s="18"/>
      <c r="CD1309" s="18"/>
      <c r="CE1309" s="18"/>
      <c r="CF1309" s="18"/>
      <c r="CG1309" s="18"/>
      <c r="CH1309" s="18"/>
      <c r="CI1309" s="18"/>
      <c r="CJ1309" s="18"/>
      <c r="CK1309" s="18"/>
      <c r="CL1309" s="18"/>
      <c r="CM1309" s="18"/>
      <c r="CN1309" s="18"/>
      <c r="CO1309" s="18"/>
      <c r="CP1309" s="18"/>
      <c r="CQ1309" s="18"/>
      <c r="CR1309" s="18"/>
      <c r="CS1309" s="18"/>
      <c r="CT1309" s="18"/>
      <c r="CU1309" s="18"/>
    </row>
    <row r="1310" spans="1:99">
      <c r="A1310" s="19"/>
      <c r="B1310" s="19"/>
      <c r="C1310" s="19"/>
      <c r="D1310" s="19"/>
      <c r="E1310" s="19"/>
      <c r="F1310" s="19"/>
      <c r="G1310" s="19"/>
      <c r="H1310" s="19"/>
      <c r="I1310" s="19"/>
      <c r="J1310" s="19"/>
      <c r="K1310" s="18"/>
      <c r="L1310" s="18"/>
      <c r="M1310" s="18"/>
      <c r="N1310" s="18"/>
      <c r="O1310" s="18"/>
      <c r="P1310" s="18"/>
      <c r="Q1310" s="18"/>
      <c r="R1310" s="18"/>
      <c r="S1310" s="18"/>
      <c r="T1310" s="18"/>
      <c r="U1310" s="18"/>
      <c r="V1310" s="18"/>
      <c r="W1310" s="18"/>
      <c r="X1310" s="18"/>
      <c r="Y1310" s="18"/>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c r="BC1310" s="18"/>
      <c r="BD1310" s="18"/>
      <c r="BE1310" s="18"/>
      <c r="BF1310" s="18"/>
      <c r="BG1310" s="18"/>
      <c r="BH1310" s="18"/>
      <c r="BI1310" s="18"/>
      <c r="BJ1310" s="18"/>
      <c r="BK1310" s="18"/>
      <c r="BL1310" s="18"/>
      <c r="BM1310" s="18"/>
      <c r="BN1310" s="18"/>
      <c r="BO1310" s="18"/>
      <c r="BP1310" s="18"/>
      <c r="BQ1310" s="18"/>
      <c r="BR1310" s="18"/>
      <c r="BS1310" s="18"/>
      <c r="BT1310" s="18"/>
      <c r="BU1310" s="18"/>
      <c r="BV1310" s="18"/>
      <c r="BW1310" s="18"/>
      <c r="BX1310" s="18"/>
      <c r="BY1310" s="18"/>
      <c r="BZ1310" s="18"/>
      <c r="CA1310" s="18"/>
      <c r="CB1310" s="18"/>
      <c r="CC1310" s="18"/>
      <c r="CD1310" s="18"/>
      <c r="CE1310" s="18"/>
      <c r="CF1310" s="18"/>
      <c r="CG1310" s="18"/>
      <c r="CH1310" s="18"/>
      <c r="CI1310" s="18"/>
      <c r="CJ1310" s="18"/>
      <c r="CK1310" s="18"/>
      <c r="CL1310" s="18"/>
      <c r="CM1310" s="18"/>
      <c r="CN1310" s="18"/>
      <c r="CO1310" s="18"/>
      <c r="CP1310" s="18"/>
      <c r="CQ1310" s="18"/>
      <c r="CR1310" s="18"/>
      <c r="CS1310" s="18"/>
      <c r="CT1310" s="18"/>
      <c r="CU1310" s="18"/>
    </row>
    <row r="1311" spans="1:99">
      <c r="A1311" s="19"/>
      <c r="B1311" s="19"/>
      <c r="C1311" s="19"/>
      <c r="D1311" s="19"/>
      <c r="E1311" s="19"/>
      <c r="F1311" s="19"/>
      <c r="G1311" s="19"/>
      <c r="H1311" s="19"/>
      <c r="I1311" s="19"/>
      <c r="J1311" s="19"/>
      <c r="K1311" s="18"/>
      <c r="L1311" s="18"/>
      <c r="M1311" s="18"/>
      <c r="N1311" s="18"/>
      <c r="O1311" s="18"/>
      <c r="P1311" s="18"/>
      <c r="Q1311" s="18"/>
      <c r="R1311" s="18"/>
      <c r="S1311" s="18"/>
      <c r="T1311" s="18"/>
      <c r="U1311" s="18"/>
      <c r="V1311" s="18"/>
      <c r="W1311" s="18"/>
      <c r="X1311" s="18"/>
      <c r="Y1311" s="18"/>
      <c r="Z1311" s="18"/>
      <c r="AA1311" s="18"/>
      <c r="AB1311" s="18"/>
      <c r="AC1311" s="18"/>
      <c r="AD1311" s="18"/>
      <c r="AE1311" s="18"/>
      <c r="AF1311" s="18"/>
      <c r="AG1311" s="18"/>
      <c r="AH1311" s="18"/>
      <c r="AI1311" s="18"/>
      <c r="AJ1311" s="18"/>
      <c r="AK1311" s="18"/>
      <c r="AL1311" s="18"/>
      <c r="AM1311" s="18"/>
      <c r="AN1311" s="18"/>
      <c r="AO1311" s="18"/>
      <c r="AP1311" s="18"/>
      <c r="AQ1311" s="18"/>
      <c r="AR1311" s="18"/>
      <c r="AS1311" s="18"/>
      <c r="AT1311" s="18"/>
      <c r="AU1311" s="18"/>
      <c r="AV1311" s="18"/>
      <c r="AW1311" s="18"/>
      <c r="AX1311" s="18"/>
      <c r="AY1311" s="18"/>
      <c r="AZ1311" s="18"/>
      <c r="BA1311" s="18"/>
      <c r="BB1311" s="18"/>
      <c r="BC1311" s="18"/>
      <c r="BD1311" s="18"/>
      <c r="BE1311" s="18"/>
      <c r="BF1311" s="18"/>
      <c r="BG1311" s="18"/>
      <c r="BH1311" s="18"/>
      <c r="BI1311" s="18"/>
      <c r="BJ1311" s="18"/>
      <c r="BK1311" s="18"/>
      <c r="BL1311" s="18"/>
      <c r="BM1311" s="18"/>
      <c r="BN1311" s="18"/>
      <c r="BO1311" s="18"/>
      <c r="BP1311" s="18"/>
      <c r="BQ1311" s="18"/>
      <c r="BR1311" s="18"/>
      <c r="BS1311" s="18"/>
      <c r="BT1311" s="18"/>
      <c r="BU1311" s="18"/>
      <c r="BV1311" s="18"/>
      <c r="BW1311" s="18"/>
      <c r="BX1311" s="18"/>
      <c r="BY1311" s="18"/>
      <c r="BZ1311" s="18"/>
      <c r="CA1311" s="18"/>
      <c r="CB1311" s="18"/>
      <c r="CC1311" s="18"/>
      <c r="CD1311" s="18"/>
      <c r="CE1311" s="18"/>
      <c r="CF1311" s="18"/>
      <c r="CG1311" s="18"/>
      <c r="CH1311" s="18"/>
      <c r="CI1311" s="18"/>
      <c r="CJ1311" s="18"/>
      <c r="CK1311" s="18"/>
      <c r="CL1311" s="18"/>
      <c r="CM1311" s="18"/>
      <c r="CN1311" s="18"/>
      <c r="CO1311" s="18"/>
      <c r="CP1311" s="18"/>
      <c r="CQ1311" s="18"/>
      <c r="CR1311" s="18"/>
      <c r="CS1311" s="18"/>
      <c r="CT1311" s="18"/>
      <c r="CU1311" s="18"/>
    </row>
    <row r="1312" spans="1:99">
      <c r="A1312" s="19"/>
      <c r="B1312" s="19"/>
      <c r="C1312" s="19"/>
      <c r="D1312" s="19"/>
      <c r="E1312" s="19"/>
      <c r="F1312" s="19"/>
      <c r="G1312" s="19"/>
      <c r="H1312" s="19"/>
      <c r="I1312" s="19"/>
      <c r="J1312" s="19"/>
      <c r="K1312" s="18"/>
      <c r="L1312" s="18"/>
      <c r="M1312" s="18"/>
      <c r="N1312" s="18"/>
      <c r="O1312" s="18"/>
      <c r="P1312" s="18"/>
      <c r="Q1312" s="18"/>
      <c r="R1312" s="18"/>
      <c r="S1312" s="18"/>
      <c r="T1312" s="18"/>
      <c r="U1312" s="18"/>
      <c r="V1312" s="18"/>
      <c r="W1312" s="18"/>
      <c r="X1312" s="18"/>
      <c r="Y1312" s="18"/>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c r="BC1312" s="18"/>
      <c r="BD1312" s="18"/>
      <c r="BE1312" s="18"/>
      <c r="BF1312" s="18"/>
      <c r="BG1312" s="18"/>
      <c r="BH1312" s="18"/>
      <c r="BI1312" s="18"/>
      <c r="BJ1312" s="18"/>
      <c r="BK1312" s="18"/>
      <c r="BL1312" s="18"/>
      <c r="BM1312" s="18"/>
      <c r="BN1312" s="18"/>
      <c r="BO1312" s="18"/>
      <c r="BP1312" s="18"/>
      <c r="BQ1312" s="18"/>
      <c r="BR1312" s="18"/>
      <c r="BS1312" s="18"/>
      <c r="BT1312" s="18"/>
      <c r="BU1312" s="18"/>
      <c r="BV1312" s="18"/>
      <c r="BW1312" s="18"/>
      <c r="BX1312" s="18"/>
      <c r="BY1312" s="18"/>
      <c r="BZ1312" s="18"/>
      <c r="CA1312" s="18"/>
      <c r="CB1312" s="18"/>
      <c r="CC1312" s="18"/>
      <c r="CD1312" s="18"/>
      <c r="CE1312" s="18"/>
      <c r="CF1312" s="18"/>
      <c r="CG1312" s="18"/>
      <c r="CH1312" s="18"/>
      <c r="CI1312" s="18"/>
      <c r="CJ1312" s="18"/>
      <c r="CK1312" s="18"/>
      <c r="CL1312" s="18"/>
      <c r="CM1312" s="18"/>
      <c r="CN1312" s="18"/>
      <c r="CO1312" s="18"/>
      <c r="CP1312" s="18"/>
      <c r="CQ1312" s="18"/>
      <c r="CR1312" s="18"/>
      <c r="CS1312" s="18"/>
      <c r="CT1312" s="18"/>
      <c r="CU1312" s="18"/>
    </row>
    <row r="1313" spans="1:99">
      <c r="A1313" s="19"/>
      <c r="B1313" s="19"/>
      <c r="C1313" s="19"/>
      <c r="D1313" s="19"/>
      <c r="E1313" s="19"/>
      <c r="F1313" s="19"/>
      <c r="G1313" s="19"/>
      <c r="H1313" s="19"/>
      <c r="I1313" s="19"/>
      <c r="J1313" s="19"/>
      <c r="K1313" s="18"/>
      <c r="L1313" s="18"/>
      <c r="M1313" s="18"/>
      <c r="N1313" s="18"/>
      <c r="O1313" s="18"/>
      <c r="P1313" s="18"/>
      <c r="Q1313" s="18"/>
      <c r="R1313" s="18"/>
      <c r="S1313" s="18"/>
      <c r="T1313" s="18"/>
      <c r="U1313" s="18"/>
      <c r="V1313" s="18"/>
      <c r="W1313" s="18"/>
      <c r="X1313" s="18"/>
      <c r="Y1313" s="18"/>
      <c r="Z1313" s="18"/>
      <c r="AA1313" s="18"/>
      <c r="AB1313" s="18"/>
      <c r="AC1313" s="18"/>
      <c r="AD1313" s="18"/>
      <c r="AE1313" s="18"/>
      <c r="AF1313" s="18"/>
      <c r="AG1313" s="18"/>
      <c r="AH1313" s="18"/>
      <c r="AI1313" s="18"/>
      <c r="AJ1313" s="18"/>
      <c r="AK1313" s="18"/>
      <c r="AL1313" s="18"/>
      <c r="AM1313" s="18"/>
      <c r="AN1313" s="18"/>
      <c r="AO1313" s="18"/>
      <c r="AP1313" s="18"/>
      <c r="AQ1313" s="18"/>
      <c r="AR1313" s="18"/>
      <c r="AS1313" s="18"/>
      <c r="AT1313" s="18"/>
      <c r="AU1313" s="18"/>
      <c r="AV1313" s="18"/>
      <c r="AW1313" s="18"/>
      <c r="AX1313" s="18"/>
      <c r="AY1313" s="18"/>
      <c r="AZ1313" s="18"/>
      <c r="BA1313" s="18"/>
      <c r="BB1313" s="18"/>
      <c r="BC1313" s="18"/>
      <c r="BD1313" s="18"/>
      <c r="BE1313" s="18"/>
      <c r="BF1313" s="18"/>
      <c r="BG1313" s="18"/>
      <c r="BH1313" s="18"/>
      <c r="BI1313" s="18"/>
      <c r="BJ1313" s="18"/>
      <c r="BK1313" s="18"/>
      <c r="BL1313" s="18"/>
      <c r="BM1313" s="18"/>
      <c r="BN1313" s="18"/>
      <c r="BO1313" s="18"/>
      <c r="BP1313" s="18"/>
      <c r="BQ1313" s="18"/>
      <c r="BR1313" s="18"/>
      <c r="BS1313" s="18"/>
      <c r="BT1313" s="18"/>
      <c r="BU1313" s="18"/>
      <c r="BV1313" s="18"/>
      <c r="BW1313" s="18"/>
      <c r="BX1313" s="18"/>
      <c r="BY1313" s="18"/>
      <c r="BZ1313" s="18"/>
      <c r="CA1313" s="18"/>
      <c r="CB1313" s="18"/>
      <c r="CC1313" s="18"/>
      <c r="CD1313" s="18"/>
      <c r="CE1313" s="18"/>
      <c r="CF1313" s="18"/>
      <c r="CG1313" s="18"/>
      <c r="CH1313" s="18"/>
      <c r="CI1313" s="18"/>
      <c r="CJ1313" s="18"/>
      <c r="CK1313" s="18"/>
      <c r="CL1313" s="18"/>
      <c r="CM1313" s="18"/>
      <c r="CN1313" s="18"/>
      <c r="CO1313" s="18"/>
      <c r="CP1313" s="18"/>
      <c r="CQ1313" s="18"/>
      <c r="CR1313" s="18"/>
      <c r="CS1313" s="18"/>
      <c r="CT1313" s="18"/>
      <c r="CU1313" s="18"/>
    </row>
    <row r="1314" spans="1:99">
      <c r="A1314" s="19"/>
      <c r="B1314" s="19"/>
      <c r="C1314" s="19"/>
      <c r="D1314" s="19"/>
      <c r="E1314" s="19"/>
      <c r="F1314" s="19"/>
      <c r="G1314" s="19"/>
      <c r="H1314" s="19"/>
      <c r="I1314" s="19"/>
      <c r="J1314" s="19"/>
      <c r="K1314" s="18"/>
      <c r="L1314" s="18"/>
      <c r="M1314" s="18"/>
      <c r="N1314" s="18"/>
      <c r="O1314" s="18"/>
      <c r="P1314" s="18"/>
      <c r="Q1314" s="18"/>
      <c r="R1314" s="18"/>
      <c r="S1314" s="18"/>
      <c r="T1314" s="18"/>
      <c r="U1314" s="18"/>
      <c r="V1314" s="18"/>
      <c r="W1314" s="18"/>
      <c r="X1314" s="18"/>
      <c r="Y1314" s="18"/>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c r="BC1314" s="18"/>
      <c r="BD1314" s="18"/>
      <c r="BE1314" s="18"/>
      <c r="BF1314" s="18"/>
      <c r="BG1314" s="18"/>
      <c r="BH1314" s="18"/>
      <c r="BI1314" s="18"/>
      <c r="BJ1314" s="18"/>
      <c r="BK1314" s="18"/>
      <c r="BL1314" s="18"/>
      <c r="BM1314" s="18"/>
      <c r="BN1314" s="18"/>
      <c r="BO1314" s="18"/>
      <c r="BP1314" s="18"/>
      <c r="BQ1314" s="18"/>
      <c r="BR1314" s="18"/>
      <c r="BS1314" s="18"/>
      <c r="BT1314" s="18"/>
      <c r="BU1314" s="18"/>
      <c r="BV1314" s="18"/>
      <c r="BW1314" s="18"/>
      <c r="BX1314" s="18"/>
      <c r="BY1314" s="18"/>
      <c r="BZ1314" s="18"/>
      <c r="CA1314" s="18"/>
      <c r="CB1314" s="18"/>
      <c r="CC1314" s="18"/>
      <c r="CD1314" s="18"/>
      <c r="CE1314" s="18"/>
      <c r="CF1314" s="18"/>
      <c r="CG1314" s="18"/>
      <c r="CH1314" s="18"/>
      <c r="CI1314" s="18"/>
      <c r="CJ1314" s="18"/>
      <c r="CK1314" s="18"/>
      <c r="CL1314" s="18"/>
      <c r="CM1314" s="18"/>
      <c r="CN1314" s="18"/>
      <c r="CO1314" s="18"/>
      <c r="CP1314" s="18"/>
      <c r="CQ1314" s="18"/>
      <c r="CR1314" s="18"/>
      <c r="CS1314" s="18"/>
      <c r="CT1314" s="18"/>
      <c r="CU1314" s="18"/>
    </row>
    <row r="1315" spans="1:99">
      <c r="A1315" s="19"/>
      <c r="B1315" s="19"/>
      <c r="C1315" s="19"/>
      <c r="D1315" s="19"/>
      <c r="E1315" s="19"/>
      <c r="F1315" s="19"/>
      <c r="G1315" s="19"/>
      <c r="H1315" s="19"/>
      <c r="I1315" s="19"/>
      <c r="J1315" s="19"/>
      <c r="K1315" s="18"/>
      <c r="L1315" s="18"/>
      <c r="M1315" s="18"/>
      <c r="N1315" s="18"/>
      <c r="O1315" s="18"/>
      <c r="P1315" s="18"/>
      <c r="Q1315" s="18"/>
      <c r="R1315" s="18"/>
      <c r="S1315" s="18"/>
      <c r="T1315" s="18"/>
      <c r="U1315" s="18"/>
      <c r="V1315" s="18"/>
      <c r="W1315" s="18"/>
      <c r="X1315" s="18"/>
      <c r="Y1315" s="18"/>
      <c r="Z1315" s="18"/>
      <c r="AA1315" s="18"/>
      <c r="AB1315" s="18"/>
      <c r="AC1315" s="18"/>
      <c r="AD1315" s="18"/>
      <c r="AE1315" s="18"/>
      <c r="AF1315" s="18"/>
      <c r="AG1315" s="18"/>
      <c r="AH1315" s="18"/>
      <c r="AI1315" s="18"/>
      <c r="AJ1315" s="18"/>
      <c r="AK1315" s="18"/>
      <c r="AL1315" s="18"/>
      <c r="AM1315" s="18"/>
      <c r="AN1315" s="18"/>
      <c r="AO1315" s="18"/>
      <c r="AP1315" s="18"/>
      <c r="AQ1315" s="18"/>
      <c r="AR1315" s="18"/>
      <c r="AS1315" s="18"/>
      <c r="AT1315" s="18"/>
      <c r="AU1315" s="18"/>
      <c r="AV1315" s="18"/>
      <c r="AW1315" s="18"/>
      <c r="AX1315" s="18"/>
      <c r="AY1315" s="18"/>
      <c r="AZ1315" s="18"/>
      <c r="BA1315" s="18"/>
      <c r="BB1315" s="18"/>
      <c r="BC1315" s="18"/>
      <c r="BD1315" s="18"/>
      <c r="BE1315" s="18"/>
      <c r="BF1315" s="18"/>
      <c r="BG1315" s="18"/>
      <c r="BH1315" s="18"/>
      <c r="BI1315" s="18"/>
      <c r="BJ1315" s="18"/>
      <c r="BK1315" s="18"/>
      <c r="BL1315" s="18"/>
      <c r="BM1315" s="18"/>
      <c r="BN1315" s="18"/>
      <c r="BO1315" s="18"/>
      <c r="BP1315" s="18"/>
      <c r="BQ1315" s="18"/>
      <c r="BR1315" s="18"/>
      <c r="BS1315" s="18"/>
      <c r="BT1315" s="18"/>
      <c r="BU1315" s="18"/>
      <c r="BV1315" s="18"/>
      <c r="BW1315" s="18"/>
      <c r="BX1315" s="18"/>
      <c r="BY1315" s="18"/>
      <c r="BZ1315" s="18"/>
      <c r="CA1315" s="18"/>
      <c r="CB1315" s="18"/>
      <c r="CC1315" s="18"/>
      <c r="CD1315" s="18"/>
      <c r="CE1315" s="18"/>
      <c r="CF1315" s="18"/>
      <c r="CG1315" s="18"/>
      <c r="CH1315" s="18"/>
      <c r="CI1315" s="18"/>
      <c r="CJ1315" s="18"/>
      <c r="CK1315" s="18"/>
      <c r="CL1315" s="18"/>
      <c r="CM1315" s="18"/>
      <c r="CN1315" s="18"/>
      <c r="CO1315" s="18"/>
      <c r="CP1315" s="18"/>
      <c r="CQ1315" s="18"/>
      <c r="CR1315" s="18"/>
      <c r="CS1315" s="18"/>
      <c r="CT1315" s="18"/>
      <c r="CU1315" s="18"/>
    </row>
    <row r="1316" spans="1:99">
      <c r="A1316" s="19"/>
      <c r="B1316" s="19"/>
      <c r="C1316" s="19"/>
      <c r="D1316" s="19"/>
      <c r="E1316" s="19"/>
      <c r="F1316" s="19"/>
      <c r="G1316" s="19"/>
      <c r="H1316" s="19"/>
      <c r="I1316" s="19"/>
      <c r="J1316" s="19"/>
      <c r="K1316" s="18"/>
      <c r="L1316" s="18"/>
      <c r="M1316" s="18"/>
      <c r="N1316" s="18"/>
      <c r="O1316" s="18"/>
      <c r="P1316" s="18"/>
      <c r="Q1316" s="18"/>
      <c r="R1316" s="18"/>
      <c r="S1316" s="18"/>
      <c r="T1316" s="18"/>
      <c r="U1316" s="18"/>
      <c r="V1316" s="18"/>
      <c r="W1316" s="18"/>
      <c r="X1316" s="18"/>
      <c r="Y1316" s="18"/>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c r="BC1316" s="18"/>
      <c r="BD1316" s="18"/>
      <c r="BE1316" s="18"/>
      <c r="BF1316" s="18"/>
      <c r="BG1316" s="18"/>
      <c r="BH1316" s="18"/>
      <c r="BI1316" s="18"/>
      <c r="BJ1316" s="18"/>
      <c r="BK1316" s="18"/>
      <c r="BL1316" s="18"/>
      <c r="BM1316" s="18"/>
      <c r="BN1316" s="18"/>
      <c r="BO1316" s="18"/>
      <c r="BP1316" s="18"/>
      <c r="BQ1316" s="18"/>
      <c r="BR1316" s="18"/>
      <c r="BS1316" s="18"/>
      <c r="BT1316" s="18"/>
      <c r="BU1316" s="18"/>
      <c r="BV1316" s="18"/>
      <c r="BW1316" s="18"/>
      <c r="BX1316" s="18"/>
      <c r="BY1316" s="18"/>
      <c r="BZ1316" s="18"/>
      <c r="CA1316" s="18"/>
      <c r="CB1316" s="18"/>
      <c r="CC1316" s="18"/>
      <c r="CD1316" s="18"/>
      <c r="CE1316" s="18"/>
      <c r="CF1316" s="18"/>
      <c r="CG1316" s="18"/>
      <c r="CH1316" s="18"/>
      <c r="CI1316" s="18"/>
      <c r="CJ1316" s="18"/>
      <c r="CK1316" s="18"/>
      <c r="CL1316" s="18"/>
      <c r="CM1316" s="18"/>
      <c r="CN1316" s="18"/>
      <c r="CO1316" s="18"/>
      <c r="CP1316" s="18"/>
      <c r="CQ1316" s="18"/>
      <c r="CR1316" s="18"/>
      <c r="CS1316" s="18"/>
      <c r="CT1316" s="18"/>
      <c r="CU1316" s="18"/>
    </row>
    <row r="1317" spans="1:99">
      <c r="A1317" s="19"/>
      <c r="B1317" s="19"/>
      <c r="C1317" s="19"/>
      <c r="D1317" s="19"/>
      <c r="E1317" s="19"/>
      <c r="F1317" s="19"/>
      <c r="G1317" s="19"/>
      <c r="H1317" s="19"/>
      <c r="I1317" s="19"/>
      <c r="J1317" s="19"/>
      <c r="K1317" s="18"/>
      <c r="L1317" s="18"/>
      <c r="M1317" s="18"/>
      <c r="N1317" s="18"/>
      <c r="O1317" s="18"/>
      <c r="P1317" s="18"/>
      <c r="Q1317" s="18"/>
      <c r="R1317" s="18"/>
      <c r="S1317" s="18"/>
      <c r="T1317" s="18"/>
      <c r="U1317" s="18"/>
      <c r="V1317" s="18"/>
      <c r="W1317" s="18"/>
      <c r="X1317" s="18"/>
      <c r="Y1317" s="18"/>
      <c r="Z1317" s="18"/>
      <c r="AA1317" s="18"/>
      <c r="AB1317" s="18"/>
      <c r="AC1317" s="18"/>
      <c r="AD1317" s="18"/>
      <c r="AE1317" s="18"/>
      <c r="AF1317" s="18"/>
      <c r="AG1317" s="18"/>
      <c r="AH1317" s="18"/>
      <c r="AI1317" s="18"/>
      <c r="AJ1317" s="18"/>
      <c r="AK1317" s="18"/>
      <c r="AL1317" s="18"/>
      <c r="AM1317" s="18"/>
      <c r="AN1317" s="18"/>
      <c r="AO1317" s="18"/>
      <c r="AP1317" s="18"/>
      <c r="AQ1317" s="18"/>
      <c r="AR1317" s="18"/>
      <c r="AS1317" s="18"/>
      <c r="AT1317" s="18"/>
      <c r="AU1317" s="18"/>
      <c r="AV1317" s="18"/>
      <c r="AW1317" s="18"/>
      <c r="AX1317" s="18"/>
      <c r="AY1317" s="18"/>
      <c r="AZ1317" s="18"/>
      <c r="BA1317" s="18"/>
      <c r="BB1317" s="18"/>
      <c r="BC1317" s="18"/>
      <c r="BD1317" s="18"/>
      <c r="BE1317" s="18"/>
      <c r="BF1317" s="18"/>
      <c r="BG1317" s="18"/>
      <c r="BH1317" s="18"/>
      <c r="BI1317" s="18"/>
      <c r="BJ1317" s="18"/>
      <c r="BK1317" s="18"/>
      <c r="BL1317" s="18"/>
      <c r="BM1317" s="18"/>
      <c r="BN1317" s="18"/>
      <c r="BO1317" s="18"/>
      <c r="BP1317" s="18"/>
      <c r="BQ1317" s="18"/>
      <c r="BR1317" s="18"/>
      <c r="BS1317" s="18"/>
      <c r="BT1317" s="18"/>
      <c r="BU1317" s="18"/>
      <c r="BV1317" s="18"/>
      <c r="BW1317" s="18"/>
      <c r="BX1317" s="18"/>
      <c r="BY1317" s="18"/>
      <c r="BZ1317" s="18"/>
      <c r="CA1317" s="18"/>
      <c r="CB1317" s="18"/>
      <c r="CC1317" s="18"/>
      <c r="CD1317" s="18"/>
      <c r="CE1317" s="18"/>
      <c r="CF1317" s="18"/>
      <c r="CG1317" s="18"/>
      <c r="CH1317" s="18"/>
      <c r="CI1317" s="18"/>
      <c r="CJ1317" s="18"/>
      <c r="CK1317" s="18"/>
      <c r="CL1317" s="18"/>
      <c r="CM1317" s="18"/>
      <c r="CN1317" s="18"/>
      <c r="CO1317" s="18"/>
      <c r="CP1317" s="18"/>
      <c r="CQ1317" s="18"/>
      <c r="CR1317" s="18"/>
      <c r="CS1317" s="18"/>
      <c r="CT1317" s="18"/>
      <c r="CU1317" s="18"/>
    </row>
    <row r="1318" spans="1:99">
      <c r="A1318" s="19"/>
      <c r="B1318" s="19"/>
      <c r="C1318" s="19"/>
      <c r="D1318" s="19"/>
      <c r="E1318" s="19"/>
      <c r="F1318" s="19"/>
      <c r="G1318" s="19"/>
      <c r="H1318" s="19"/>
      <c r="I1318" s="19"/>
      <c r="J1318" s="19"/>
      <c r="K1318" s="18"/>
      <c r="L1318" s="18"/>
      <c r="M1318" s="18"/>
      <c r="N1318" s="18"/>
      <c r="O1318" s="18"/>
      <c r="P1318" s="18"/>
      <c r="Q1318" s="18"/>
      <c r="R1318" s="18"/>
      <c r="S1318" s="18"/>
      <c r="T1318" s="18"/>
      <c r="U1318" s="18"/>
      <c r="V1318" s="18"/>
      <c r="W1318" s="18"/>
      <c r="X1318" s="18"/>
      <c r="Y1318" s="18"/>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c r="BC1318" s="18"/>
      <c r="BD1318" s="18"/>
      <c r="BE1318" s="18"/>
      <c r="BF1318" s="18"/>
      <c r="BG1318" s="18"/>
      <c r="BH1318" s="18"/>
      <c r="BI1318" s="18"/>
      <c r="BJ1318" s="18"/>
      <c r="BK1318" s="18"/>
      <c r="BL1318" s="18"/>
      <c r="BM1318" s="18"/>
      <c r="BN1318" s="18"/>
      <c r="BO1318" s="18"/>
      <c r="BP1318" s="18"/>
      <c r="BQ1318" s="18"/>
      <c r="BR1318" s="18"/>
      <c r="BS1318" s="18"/>
      <c r="BT1318" s="18"/>
      <c r="BU1318" s="18"/>
      <c r="BV1318" s="18"/>
      <c r="BW1318" s="18"/>
      <c r="BX1318" s="18"/>
      <c r="BY1318" s="18"/>
      <c r="BZ1318" s="18"/>
      <c r="CA1318" s="18"/>
      <c r="CB1318" s="18"/>
      <c r="CC1318" s="18"/>
      <c r="CD1318" s="18"/>
      <c r="CE1318" s="18"/>
      <c r="CF1318" s="18"/>
      <c r="CG1318" s="18"/>
      <c r="CH1318" s="18"/>
      <c r="CI1318" s="18"/>
      <c r="CJ1318" s="18"/>
      <c r="CK1318" s="18"/>
      <c r="CL1318" s="18"/>
      <c r="CM1318" s="18"/>
      <c r="CN1318" s="18"/>
      <c r="CO1318" s="18"/>
      <c r="CP1318" s="18"/>
      <c r="CQ1318" s="18"/>
      <c r="CR1318" s="18"/>
      <c r="CS1318" s="18"/>
      <c r="CT1318" s="18"/>
      <c r="CU1318" s="18"/>
    </row>
    <row r="1319" spans="1:99">
      <c r="A1319" s="19"/>
      <c r="B1319" s="19"/>
      <c r="C1319" s="19"/>
      <c r="D1319" s="19"/>
      <c r="E1319" s="19"/>
      <c r="F1319" s="19"/>
      <c r="G1319" s="19"/>
      <c r="H1319" s="19"/>
      <c r="I1319" s="19"/>
      <c r="J1319" s="19"/>
      <c r="K1319" s="18"/>
      <c r="L1319" s="18"/>
      <c r="M1319" s="18"/>
      <c r="N1319" s="18"/>
      <c r="O1319" s="18"/>
      <c r="P1319" s="18"/>
      <c r="Q1319" s="18"/>
      <c r="R1319" s="18"/>
      <c r="S1319" s="18"/>
      <c r="T1319" s="18"/>
      <c r="U1319" s="18"/>
      <c r="V1319" s="18"/>
      <c r="W1319" s="18"/>
      <c r="X1319" s="18"/>
      <c r="Y1319" s="18"/>
      <c r="Z1319" s="18"/>
      <c r="AA1319" s="18"/>
      <c r="AB1319" s="18"/>
      <c r="AC1319" s="18"/>
      <c r="AD1319" s="18"/>
      <c r="AE1319" s="18"/>
      <c r="AF1319" s="18"/>
      <c r="AG1319" s="18"/>
      <c r="AH1319" s="18"/>
      <c r="AI1319" s="18"/>
      <c r="AJ1319" s="18"/>
      <c r="AK1319" s="18"/>
      <c r="AL1319" s="18"/>
      <c r="AM1319" s="18"/>
      <c r="AN1319" s="18"/>
      <c r="AO1319" s="18"/>
      <c r="AP1319" s="18"/>
      <c r="AQ1319" s="18"/>
      <c r="AR1319" s="18"/>
      <c r="AS1319" s="18"/>
      <c r="AT1319" s="18"/>
      <c r="AU1319" s="18"/>
      <c r="AV1319" s="18"/>
      <c r="AW1319" s="18"/>
      <c r="AX1319" s="18"/>
      <c r="AY1319" s="18"/>
      <c r="AZ1319" s="18"/>
      <c r="BA1319" s="18"/>
      <c r="BB1319" s="18"/>
      <c r="BC1319" s="18"/>
      <c r="BD1319" s="18"/>
      <c r="BE1319" s="18"/>
      <c r="BF1319" s="18"/>
      <c r="BG1319" s="18"/>
      <c r="BH1319" s="18"/>
      <c r="BI1319" s="18"/>
      <c r="BJ1319" s="18"/>
      <c r="BK1319" s="18"/>
      <c r="BL1319" s="18"/>
      <c r="BM1319" s="18"/>
      <c r="BN1319" s="18"/>
      <c r="BO1319" s="18"/>
      <c r="BP1319" s="18"/>
      <c r="BQ1319" s="18"/>
      <c r="BR1319" s="18"/>
      <c r="BS1319" s="18"/>
      <c r="BT1319" s="18"/>
      <c r="BU1319" s="18"/>
      <c r="BV1319" s="18"/>
      <c r="BW1319" s="18"/>
      <c r="BX1319" s="18"/>
      <c r="BY1319" s="18"/>
      <c r="BZ1319" s="18"/>
      <c r="CA1319" s="18"/>
      <c r="CB1319" s="18"/>
      <c r="CC1319" s="18"/>
      <c r="CD1319" s="18"/>
      <c r="CE1319" s="18"/>
      <c r="CF1319" s="18"/>
      <c r="CG1319" s="18"/>
      <c r="CH1319" s="18"/>
      <c r="CI1319" s="18"/>
      <c r="CJ1319" s="18"/>
      <c r="CK1319" s="18"/>
      <c r="CL1319" s="18"/>
      <c r="CM1319" s="18"/>
      <c r="CN1319" s="18"/>
      <c r="CO1319" s="18"/>
      <c r="CP1319" s="18"/>
      <c r="CQ1319" s="18"/>
      <c r="CR1319" s="18"/>
      <c r="CS1319" s="18"/>
      <c r="CT1319" s="18"/>
      <c r="CU1319" s="18"/>
    </row>
    <row r="1320" spans="1:99">
      <c r="A1320" s="19"/>
      <c r="B1320" s="19"/>
      <c r="C1320" s="19"/>
      <c r="D1320" s="19"/>
      <c r="E1320" s="19"/>
      <c r="F1320" s="19"/>
      <c r="G1320" s="19"/>
      <c r="H1320" s="19"/>
      <c r="I1320" s="19"/>
      <c r="J1320" s="19"/>
      <c r="K1320" s="18"/>
      <c r="L1320" s="18"/>
      <c r="M1320" s="18"/>
      <c r="N1320" s="18"/>
      <c r="O1320" s="18"/>
      <c r="P1320" s="18"/>
      <c r="Q1320" s="18"/>
      <c r="R1320" s="18"/>
      <c r="S1320" s="18"/>
      <c r="T1320" s="18"/>
      <c r="U1320" s="18"/>
      <c r="V1320" s="18"/>
      <c r="W1320" s="18"/>
      <c r="X1320" s="18"/>
      <c r="Y1320" s="18"/>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c r="BC1320" s="18"/>
      <c r="BD1320" s="18"/>
      <c r="BE1320" s="18"/>
      <c r="BF1320" s="18"/>
      <c r="BG1320" s="18"/>
      <c r="BH1320" s="18"/>
      <c r="BI1320" s="18"/>
      <c r="BJ1320" s="18"/>
      <c r="BK1320" s="18"/>
      <c r="BL1320" s="18"/>
      <c r="BM1320" s="18"/>
      <c r="BN1320" s="18"/>
      <c r="BO1320" s="18"/>
      <c r="BP1320" s="18"/>
      <c r="BQ1320" s="18"/>
      <c r="BR1320" s="18"/>
      <c r="BS1320" s="18"/>
      <c r="BT1320" s="18"/>
      <c r="BU1320" s="18"/>
      <c r="BV1320" s="18"/>
      <c r="BW1320" s="18"/>
      <c r="BX1320" s="18"/>
      <c r="BY1320" s="18"/>
      <c r="BZ1320" s="18"/>
      <c r="CA1320" s="18"/>
      <c r="CB1320" s="18"/>
      <c r="CC1320" s="18"/>
      <c r="CD1320" s="18"/>
      <c r="CE1320" s="18"/>
      <c r="CF1320" s="18"/>
      <c r="CG1320" s="18"/>
      <c r="CH1320" s="18"/>
      <c r="CI1320" s="18"/>
      <c r="CJ1320" s="18"/>
      <c r="CK1320" s="18"/>
      <c r="CL1320" s="18"/>
      <c r="CM1320" s="18"/>
      <c r="CN1320" s="18"/>
      <c r="CO1320" s="18"/>
      <c r="CP1320" s="18"/>
      <c r="CQ1320" s="18"/>
      <c r="CR1320" s="18"/>
      <c r="CS1320" s="18"/>
      <c r="CT1320" s="18"/>
      <c r="CU1320" s="18"/>
    </row>
    <row r="1321" spans="1:99">
      <c r="A1321" s="19"/>
      <c r="B1321" s="19"/>
      <c r="C1321" s="19"/>
      <c r="D1321" s="19"/>
      <c r="E1321" s="19"/>
      <c r="F1321" s="19"/>
      <c r="G1321" s="19"/>
      <c r="H1321" s="19"/>
      <c r="I1321" s="19"/>
      <c r="J1321" s="19"/>
      <c r="K1321" s="18"/>
      <c r="L1321" s="18"/>
      <c r="M1321" s="18"/>
      <c r="N1321" s="18"/>
      <c r="O1321" s="18"/>
      <c r="P1321" s="18"/>
      <c r="Q1321" s="18"/>
      <c r="R1321" s="18"/>
      <c r="S1321" s="18"/>
      <c r="T1321" s="18"/>
      <c r="U1321" s="18"/>
      <c r="V1321" s="18"/>
      <c r="W1321" s="18"/>
      <c r="X1321" s="18"/>
      <c r="Y1321" s="18"/>
      <c r="Z1321" s="18"/>
      <c r="AA1321" s="18"/>
      <c r="AB1321" s="18"/>
      <c r="AC1321" s="18"/>
      <c r="AD1321" s="18"/>
      <c r="AE1321" s="18"/>
      <c r="AF1321" s="18"/>
      <c r="AG1321" s="18"/>
      <c r="AH1321" s="18"/>
      <c r="AI1321" s="18"/>
      <c r="AJ1321" s="18"/>
      <c r="AK1321" s="18"/>
      <c r="AL1321" s="18"/>
      <c r="AM1321" s="18"/>
      <c r="AN1321" s="18"/>
      <c r="AO1321" s="18"/>
      <c r="AP1321" s="18"/>
      <c r="AQ1321" s="18"/>
      <c r="AR1321" s="18"/>
      <c r="AS1321" s="18"/>
      <c r="AT1321" s="18"/>
      <c r="AU1321" s="18"/>
      <c r="AV1321" s="18"/>
      <c r="AW1321" s="18"/>
      <c r="AX1321" s="18"/>
      <c r="AY1321" s="18"/>
      <c r="AZ1321" s="18"/>
      <c r="BA1321" s="18"/>
      <c r="BB1321" s="18"/>
      <c r="BC1321" s="18"/>
      <c r="BD1321" s="18"/>
      <c r="BE1321" s="18"/>
      <c r="BF1321" s="18"/>
      <c r="BG1321" s="18"/>
      <c r="BH1321" s="18"/>
      <c r="BI1321" s="18"/>
      <c r="BJ1321" s="18"/>
      <c r="BK1321" s="18"/>
      <c r="BL1321" s="18"/>
      <c r="BM1321" s="18"/>
      <c r="BN1321" s="18"/>
      <c r="BO1321" s="18"/>
      <c r="BP1321" s="18"/>
      <c r="BQ1321" s="18"/>
      <c r="BR1321" s="18"/>
      <c r="BS1321" s="18"/>
      <c r="BT1321" s="18"/>
      <c r="BU1321" s="18"/>
      <c r="BV1321" s="18"/>
      <c r="BW1321" s="18"/>
      <c r="BX1321" s="18"/>
      <c r="BY1321" s="18"/>
      <c r="BZ1321" s="18"/>
      <c r="CA1321" s="18"/>
      <c r="CB1321" s="18"/>
      <c r="CC1321" s="18"/>
      <c r="CD1321" s="18"/>
      <c r="CE1321" s="18"/>
      <c r="CF1321" s="18"/>
      <c r="CG1321" s="18"/>
      <c r="CH1321" s="18"/>
      <c r="CI1321" s="18"/>
      <c r="CJ1321" s="18"/>
      <c r="CK1321" s="18"/>
      <c r="CL1321" s="18"/>
      <c r="CM1321" s="18"/>
      <c r="CN1321" s="18"/>
      <c r="CO1321" s="18"/>
      <c r="CP1321" s="18"/>
      <c r="CQ1321" s="18"/>
      <c r="CR1321" s="18"/>
      <c r="CS1321" s="18"/>
      <c r="CT1321" s="18"/>
      <c r="CU1321" s="18"/>
    </row>
    <row r="1322" spans="1:99">
      <c r="A1322" s="19"/>
      <c r="B1322" s="19"/>
      <c r="C1322" s="19"/>
      <c r="D1322" s="19"/>
      <c r="E1322" s="19"/>
      <c r="F1322" s="19"/>
      <c r="G1322" s="19"/>
      <c r="H1322" s="19"/>
      <c r="I1322" s="19"/>
      <c r="J1322" s="19"/>
      <c r="K1322" s="18"/>
      <c r="L1322" s="18"/>
      <c r="M1322" s="18"/>
      <c r="N1322" s="18"/>
      <c r="O1322" s="18"/>
      <c r="P1322" s="18"/>
      <c r="Q1322" s="18"/>
      <c r="R1322" s="18"/>
      <c r="S1322" s="18"/>
      <c r="T1322" s="18"/>
      <c r="U1322" s="18"/>
      <c r="V1322" s="18"/>
      <c r="W1322" s="18"/>
      <c r="X1322" s="18"/>
      <c r="Y1322" s="18"/>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c r="BC1322" s="18"/>
      <c r="BD1322" s="18"/>
      <c r="BE1322" s="18"/>
      <c r="BF1322" s="18"/>
      <c r="BG1322" s="18"/>
      <c r="BH1322" s="18"/>
      <c r="BI1322" s="18"/>
      <c r="BJ1322" s="18"/>
      <c r="BK1322" s="18"/>
      <c r="BL1322" s="18"/>
      <c r="BM1322" s="18"/>
      <c r="BN1322" s="18"/>
      <c r="BO1322" s="18"/>
      <c r="BP1322" s="18"/>
      <c r="BQ1322" s="18"/>
      <c r="BR1322" s="18"/>
      <c r="BS1322" s="18"/>
      <c r="BT1322" s="18"/>
      <c r="BU1322" s="18"/>
      <c r="BV1322" s="18"/>
      <c r="BW1322" s="18"/>
      <c r="BX1322" s="18"/>
      <c r="BY1322" s="18"/>
      <c r="BZ1322" s="18"/>
      <c r="CA1322" s="18"/>
      <c r="CB1322" s="18"/>
      <c r="CC1322" s="18"/>
      <c r="CD1322" s="18"/>
      <c r="CE1322" s="18"/>
      <c r="CF1322" s="18"/>
      <c r="CG1322" s="18"/>
      <c r="CH1322" s="18"/>
      <c r="CI1322" s="18"/>
      <c r="CJ1322" s="18"/>
      <c r="CK1322" s="18"/>
      <c r="CL1322" s="18"/>
      <c r="CM1322" s="18"/>
      <c r="CN1322" s="18"/>
      <c r="CO1322" s="18"/>
      <c r="CP1322" s="18"/>
      <c r="CQ1322" s="18"/>
      <c r="CR1322" s="18"/>
      <c r="CS1322" s="18"/>
      <c r="CT1322" s="18"/>
      <c r="CU1322" s="18"/>
    </row>
    <row r="1323" spans="1:99">
      <c r="A1323" s="19"/>
      <c r="B1323" s="19"/>
      <c r="C1323" s="19"/>
      <c r="D1323" s="19"/>
      <c r="E1323" s="19"/>
      <c r="F1323" s="19"/>
      <c r="G1323" s="19"/>
      <c r="H1323" s="19"/>
      <c r="I1323" s="19"/>
      <c r="J1323" s="19"/>
      <c r="K1323" s="18"/>
      <c r="L1323" s="18"/>
      <c r="M1323" s="18"/>
      <c r="N1323" s="18"/>
      <c r="O1323" s="18"/>
      <c r="P1323" s="18"/>
      <c r="Q1323" s="18"/>
      <c r="R1323" s="18"/>
      <c r="S1323" s="18"/>
      <c r="T1323" s="18"/>
      <c r="U1323" s="18"/>
      <c r="V1323" s="18"/>
      <c r="W1323" s="18"/>
      <c r="X1323" s="18"/>
      <c r="Y1323" s="18"/>
      <c r="Z1323" s="18"/>
      <c r="AA1323" s="18"/>
      <c r="AB1323" s="18"/>
      <c r="AC1323" s="18"/>
      <c r="AD1323" s="18"/>
      <c r="AE1323" s="18"/>
      <c r="AF1323" s="18"/>
      <c r="AG1323" s="18"/>
      <c r="AH1323" s="18"/>
      <c r="AI1323" s="18"/>
      <c r="AJ1323" s="18"/>
      <c r="AK1323" s="18"/>
      <c r="AL1323" s="18"/>
      <c r="AM1323" s="18"/>
      <c r="AN1323" s="18"/>
      <c r="AO1323" s="18"/>
      <c r="AP1323" s="18"/>
      <c r="AQ1323" s="18"/>
      <c r="AR1323" s="18"/>
      <c r="AS1323" s="18"/>
      <c r="AT1323" s="18"/>
      <c r="AU1323" s="18"/>
      <c r="AV1323" s="18"/>
      <c r="AW1323" s="18"/>
      <c r="AX1323" s="18"/>
      <c r="AY1323" s="18"/>
      <c r="AZ1323" s="18"/>
      <c r="BA1323" s="18"/>
      <c r="BB1323" s="18"/>
      <c r="BC1323" s="18"/>
      <c r="BD1323" s="18"/>
      <c r="BE1323" s="18"/>
      <c r="BF1323" s="18"/>
      <c r="BG1323" s="18"/>
      <c r="BH1323" s="18"/>
      <c r="BI1323" s="18"/>
      <c r="BJ1323" s="18"/>
      <c r="BK1323" s="18"/>
      <c r="BL1323" s="18"/>
      <c r="BM1323" s="18"/>
      <c r="BN1323" s="18"/>
      <c r="BO1323" s="18"/>
      <c r="BP1323" s="18"/>
      <c r="BQ1323" s="18"/>
      <c r="BR1323" s="18"/>
      <c r="BS1323" s="18"/>
      <c r="BT1323" s="18"/>
      <c r="BU1323" s="18"/>
      <c r="BV1323" s="18"/>
      <c r="BW1323" s="18"/>
      <c r="BX1323" s="18"/>
      <c r="BY1323" s="18"/>
      <c r="BZ1323" s="18"/>
      <c r="CA1323" s="18"/>
      <c r="CB1323" s="18"/>
      <c r="CC1323" s="18"/>
      <c r="CD1323" s="18"/>
      <c r="CE1323" s="18"/>
      <c r="CF1323" s="18"/>
      <c r="CG1323" s="18"/>
      <c r="CH1323" s="18"/>
      <c r="CI1323" s="18"/>
      <c r="CJ1323" s="18"/>
      <c r="CK1323" s="18"/>
      <c r="CL1323" s="18"/>
      <c r="CM1323" s="18"/>
      <c r="CN1323" s="18"/>
      <c r="CO1323" s="18"/>
      <c r="CP1323" s="18"/>
      <c r="CQ1323" s="18"/>
      <c r="CR1323" s="18"/>
      <c r="CS1323" s="18"/>
      <c r="CT1323" s="18"/>
      <c r="CU1323" s="18"/>
    </row>
    <row r="1324" spans="1:99">
      <c r="A1324" s="19"/>
      <c r="B1324" s="19"/>
      <c r="C1324" s="19"/>
      <c r="D1324" s="19"/>
      <c r="E1324" s="19"/>
      <c r="F1324" s="19"/>
      <c r="G1324" s="19"/>
      <c r="H1324" s="19"/>
      <c r="I1324" s="19"/>
      <c r="J1324" s="19"/>
      <c r="K1324" s="18"/>
      <c r="L1324" s="18"/>
      <c r="M1324" s="18"/>
      <c r="N1324" s="18"/>
      <c r="O1324" s="18"/>
      <c r="P1324" s="18"/>
      <c r="Q1324" s="18"/>
      <c r="R1324" s="18"/>
      <c r="S1324" s="18"/>
      <c r="T1324" s="18"/>
      <c r="U1324" s="18"/>
      <c r="V1324" s="18"/>
      <c r="W1324" s="18"/>
      <c r="X1324" s="18"/>
      <c r="Y1324" s="18"/>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c r="BC1324" s="18"/>
      <c r="BD1324" s="18"/>
      <c r="BE1324" s="18"/>
      <c r="BF1324" s="18"/>
      <c r="BG1324" s="18"/>
      <c r="BH1324" s="18"/>
      <c r="BI1324" s="18"/>
      <c r="BJ1324" s="18"/>
      <c r="BK1324" s="18"/>
      <c r="BL1324" s="18"/>
      <c r="BM1324" s="18"/>
      <c r="BN1324" s="18"/>
      <c r="BO1324" s="18"/>
      <c r="BP1324" s="18"/>
      <c r="BQ1324" s="18"/>
      <c r="BR1324" s="18"/>
      <c r="BS1324" s="18"/>
      <c r="BT1324" s="18"/>
      <c r="BU1324" s="18"/>
      <c r="BV1324" s="18"/>
      <c r="BW1324" s="18"/>
      <c r="BX1324" s="18"/>
      <c r="BY1324" s="18"/>
      <c r="BZ1324" s="18"/>
      <c r="CA1324" s="18"/>
      <c r="CB1324" s="18"/>
      <c r="CC1324" s="18"/>
      <c r="CD1324" s="18"/>
      <c r="CE1324" s="18"/>
      <c r="CF1324" s="18"/>
      <c r="CG1324" s="18"/>
      <c r="CH1324" s="18"/>
      <c r="CI1324" s="18"/>
      <c r="CJ1324" s="18"/>
      <c r="CK1324" s="18"/>
      <c r="CL1324" s="18"/>
      <c r="CM1324" s="18"/>
      <c r="CN1324" s="18"/>
      <c r="CO1324" s="18"/>
      <c r="CP1324" s="18"/>
      <c r="CQ1324" s="18"/>
      <c r="CR1324" s="18"/>
      <c r="CS1324" s="18"/>
      <c r="CT1324" s="18"/>
      <c r="CU1324" s="18"/>
    </row>
    <row r="1325" spans="1:99">
      <c r="A1325" s="19"/>
      <c r="B1325" s="19"/>
      <c r="C1325" s="19"/>
      <c r="D1325" s="19"/>
      <c r="E1325" s="19"/>
      <c r="F1325" s="19"/>
      <c r="G1325" s="19"/>
      <c r="H1325" s="19"/>
      <c r="I1325" s="19"/>
      <c r="J1325" s="19"/>
      <c r="K1325" s="18"/>
      <c r="L1325" s="18"/>
      <c r="M1325" s="18"/>
      <c r="N1325" s="18"/>
      <c r="O1325" s="18"/>
      <c r="P1325" s="18"/>
      <c r="Q1325" s="18"/>
      <c r="R1325" s="18"/>
      <c r="S1325" s="18"/>
      <c r="T1325" s="18"/>
      <c r="U1325" s="18"/>
      <c r="V1325" s="18"/>
      <c r="W1325" s="18"/>
      <c r="X1325" s="18"/>
      <c r="Y1325" s="18"/>
      <c r="Z1325" s="18"/>
      <c r="AA1325" s="18"/>
      <c r="AB1325" s="18"/>
      <c r="AC1325" s="18"/>
      <c r="AD1325" s="18"/>
      <c r="AE1325" s="18"/>
      <c r="AF1325" s="18"/>
      <c r="AG1325" s="18"/>
      <c r="AH1325" s="18"/>
      <c r="AI1325" s="18"/>
      <c r="AJ1325" s="18"/>
      <c r="AK1325" s="18"/>
      <c r="AL1325" s="18"/>
      <c r="AM1325" s="18"/>
      <c r="AN1325" s="18"/>
      <c r="AO1325" s="18"/>
      <c r="AP1325" s="18"/>
      <c r="AQ1325" s="18"/>
      <c r="AR1325" s="18"/>
      <c r="AS1325" s="18"/>
      <c r="AT1325" s="18"/>
      <c r="AU1325" s="18"/>
      <c r="AV1325" s="18"/>
      <c r="AW1325" s="18"/>
      <c r="AX1325" s="18"/>
      <c r="AY1325" s="18"/>
      <c r="AZ1325" s="18"/>
      <c r="BA1325" s="18"/>
      <c r="BB1325" s="18"/>
      <c r="BC1325" s="18"/>
      <c r="BD1325" s="18"/>
      <c r="BE1325" s="18"/>
      <c r="BF1325" s="18"/>
      <c r="BG1325" s="18"/>
      <c r="BH1325" s="18"/>
      <c r="BI1325" s="18"/>
      <c r="BJ1325" s="18"/>
      <c r="BK1325" s="18"/>
      <c r="BL1325" s="18"/>
      <c r="BM1325" s="18"/>
      <c r="BN1325" s="18"/>
      <c r="BO1325" s="18"/>
      <c r="BP1325" s="18"/>
      <c r="BQ1325" s="18"/>
      <c r="BR1325" s="18"/>
      <c r="BS1325" s="18"/>
      <c r="BT1325" s="18"/>
      <c r="BU1325" s="18"/>
      <c r="BV1325" s="18"/>
      <c r="BW1325" s="18"/>
      <c r="BX1325" s="18"/>
      <c r="BY1325" s="18"/>
      <c r="BZ1325" s="18"/>
      <c r="CA1325" s="18"/>
      <c r="CB1325" s="18"/>
      <c r="CC1325" s="18"/>
      <c r="CD1325" s="18"/>
      <c r="CE1325" s="18"/>
      <c r="CF1325" s="18"/>
      <c r="CG1325" s="18"/>
      <c r="CH1325" s="18"/>
      <c r="CI1325" s="18"/>
      <c r="CJ1325" s="18"/>
      <c r="CK1325" s="18"/>
      <c r="CL1325" s="18"/>
      <c r="CM1325" s="18"/>
      <c r="CN1325" s="18"/>
      <c r="CO1325" s="18"/>
      <c r="CP1325" s="18"/>
      <c r="CQ1325" s="18"/>
      <c r="CR1325" s="18"/>
      <c r="CS1325" s="18"/>
      <c r="CT1325" s="18"/>
      <c r="CU1325" s="18"/>
    </row>
    <row r="1326" spans="1:99">
      <c r="A1326" s="19"/>
      <c r="B1326" s="19"/>
      <c r="C1326" s="19"/>
      <c r="D1326" s="19"/>
      <c r="E1326" s="19"/>
      <c r="F1326" s="19"/>
      <c r="G1326" s="19"/>
      <c r="H1326" s="19"/>
      <c r="I1326" s="19"/>
      <c r="J1326" s="19"/>
      <c r="K1326" s="18"/>
      <c r="L1326" s="18"/>
      <c r="M1326" s="18"/>
      <c r="N1326" s="18"/>
      <c r="O1326" s="18"/>
      <c r="P1326" s="18"/>
      <c r="Q1326" s="18"/>
      <c r="R1326" s="18"/>
      <c r="S1326" s="18"/>
      <c r="T1326" s="18"/>
      <c r="U1326" s="18"/>
      <c r="V1326" s="18"/>
      <c r="W1326" s="18"/>
      <c r="X1326" s="18"/>
      <c r="Y1326" s="18"/>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c r="BC1326" s="18"/>
      <c r="BD1326" s="18"/>
      <c r="BE1326" s="18"/>
      <c r="BF1326" s="18"/>
      <c r="BG1326" s="18"/>
      <c r="BH1326" s="18"/>
      <c r="BI1326" s="18"/>
      <c r="BJ1326" s="18"/>
      <c r="BK1326" s="18"/>
      <c r="BL1326" s="18"/>
      <c r="BM1326" s="18"/>
      <c r="BN1326" s="18"/>
      <c r="BO1326" s="18"/>
      <c r="BP1326" s="18"/>
      <c r="BQ1326" s="18"/>
      <c r="BR1326" s="18"/>
      <c r="BS1326" s="18"/>
      <c r="BT1326" s="18"/>
      <c r="BU1326" s="18"/>
      <c r="BV1326" s="18"/>
      <c r="BW1326" s="18"/>
      <c r="BX1326" s="18"/>
      <c r="BY1326" s="18"/>
      <c r="BZ1326" s="18"/>
      <c r="CA1326" s="18"/>
      <c r="CB1326" s="18"/>
      <c r="CC1326" s="18"/>
      <c r="CD1326" s="18"/>
      <c r="CE1326" s="18"/>
      <c r="CF1326" s="18"/>
      <c r="CG1326" s="18"/>
      <c r="CH1326" s="18"/>
      <c r="CI1326" s="18"/>
      <c r="CJ1326" s="18"/>
      <c r="CK1326" s="18"/>
      <c r="CL1326" s="18"/>
      <c r="CM1326" s="18"/>
      <c r="CN1326" s="18"/>
      <c r="CO1326" s="18"/>
      <c r="CP1326" s="18"/>
      <c r="CQ1326" s="18"/>
      <c r="CR1326" s="18"/>
      <c r="CS1326" s="18"/>
      <c r="CT1326" s="18"/>
      <c r="CU1326" s="18"/>
    </row>
    <row r="1327" spans="1:99">
      <c r="A1327" s="19"/>
      <c r="B1327" s="19"/>
      <c r="C1327" s="19"/>
      <c r="D1327" s="19"/>
      <c r="E1327" s="19"/>
      <c r="F1327" s="19"/>
      <c r="G1327" s="19"/>
      <c r="H1327" s="19"/>
      <c r="I1327" s="19"/>
      <c r="J1327" s="19"/>
      <c r="K1327" s="18"/>
      <c r="L1327" s="18"/>
      <c r="M1327" s="18"/>
      <c r="N1327" s="18"/>
      <c r="O1327" s="18"/>
      <c r="P1327" s="18"/>
      <c r="Q1327" s="18"/>
      <c r="R1327" s="18"/>
      <c r="S1327" s="18"/>
      <c r="T1327" s="18"/>
      <c r="U1327" s="18"/>
      <c r="V1327" s="18"/>
      <c r="W1327" s="18"/>
      <c r="X1327" s="18"/>
      <c r="Y1327" s="18"/>
      <c r="Z1327" s="18"/>
      <c r="AA1327" s="18"/>
      <c r="AB1327" s="18"/>
      <c r="AC1327" s="18"/>
      <c r="AD1327" s="18"/>
      <c r="AE1327" s="18"/>
      <c r="AF1327" s="18"/>
      <c r="AG1327" s="18"/>
      <c r="AH1327" s="18"/>
      <c r="AI1327" s="18"/>
      <c r="AJ1327" s="18"/>
      <c r="AK1327" s="18"/>
      <c r="AL1327" s="18"/>
      <c r="AM1327" s="18"/>
      <c r="AN1327" s="18"/>
      <c r="AO1327" s="18"/>
      <c r="AP1327" s="18"/>
      <c r="AQ1327" s="18"/>
      <c r="AR1327" s="18"/>
      <c r="AS1327" s="18"/>
      <c r="AT1327" s="18"/>
      <c r="AU1327" s="18"/>
      <c r="AV1327" s="18"/>
      <c r="AW1327" s="18"/>
      <c r="AX1327" s="18"/>
      <c r="AY1327" s="18"/>
      <c r="AZ1327" s="18"/>
      <c r="BA1327" s="18"/>
      <c r="BB1327" s="18"/>
      <c r="BC1327" s="18"/>
      <c r="BD1327" s="18"/>
      <c r="BE1327" s="18"/>
      <c r="BF1327" s="18"/>
      <c r="BG1327" s="18"/>
      <c r="BH1327" s="18"/>
      <c r="BI1327" s="18"/>
      <c r="BJ1327" s="18"/>
      <c r="BK1327" s="18"/>
      <c r="BL1327" s="18"/>
      <c r="BM1327" s="18"/>
      <c r="BN1327" s="18"/>
      <c r="BO1327" s="18"/>
      <c r="BP1327" s="18"/>
      <c r="BQ1327" s="18"/>
      <c r="BR1327" s="18"/>
      <c r="BS1327" s="18"/>
      <c r="BT1327" s="18"/>
      <c r="BU1327" s="18"/>
      <c r="BV1327" s="18"/>
      <c r="BW1327" s="18"/>
      <c r="BX1327" s="18"/>
      <c r="BY1327" s="18"/>
      <c r="BZ1327" s="18"/>
      <c r="CA1327" s="18"/>
      <c r="CB1327" s="18"/>
      <c r="CC1327" s="18"/>
      <c r="CD1327" s="18"/>
      <c r="CE1327" s="18"/>
      <c r="CF1327" s="18"/>
      <c r="CG1327" s="18"/>
      <c r="CH1327" s="18"/>
      <c r="CI1327" s="18"/>
      <c r="CJ1327" s="18"/>
      <c r="CK1327" s="18"/>
      <c r="CL1327" s="18"/>
      <c r="CM1327" s="18"/>
      <c r="CN1327" s="18"/>
      <c r="CO1327" s="18"/>
      <c r="CP1327" s="18"/>
      <c r="CQ1327" s="18"/>
      <c r="CR1327" s="18"/>
      <c r="CS1327" s="18"/>
      <c r="CT1327" s="18"/>
      <c r="CU1327" s="18"/>
    </row>
    <row r="1328" spans="1:99">
      <c r="A1328" s="19"/>
      <c r="B1328" s="19"/>
      <c r="C1328" s="19"/>
      <c r="D1328" s="19"/>
      <c r="E1328" s="19"/>
      <c r="F1328" s="19"/>
      <c r="G1328" s="19"/>
      <c r="H1328" s="19"/>
      <c r="I1328" s="19"/>
      <c r="J1328" s="19"/>
      <c r="K1328" s="18"/>
      <c r="L1328" s="18"/>
      <c r="M1328" s="18"/>
      <c r="N1328" s="18"/>
      <c r="O1328" s="18"/>
      <c r="P1328" s="18"/>
      <c r="Q1328" s="18"/>
      <c r="R1328" s="18"/>
      <c r="S1328" s="18"/>
      <c r="T1328" s="18"/>
      <c r="U1328" s="18"/>
      <c r="V1328" s="18"/>
      <c r="W1328" s="18"/>
      <c r="X1328" s="18"/>
      <c r="Y1328" s="18"/>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c r="BC1328" s="18"/>
      <c r="BD1328" s="18"/>
      <c r="BE1328" s="18"/>
      <c r="BF1328" s="18"/>
      <c r="BG1328" s="18"/>
      <c r="BH1328" s="18"/>
      <c r="BI1328" s="18"/>
      <c r="BJ1328" s="18"/>
      <c r="BK1328" s="18"/>
      <c r="BL1328" s="18"/>
      <c r="BM1328" s="18"/>
      <c r="BN1328" s="18"/>
      <c r="BO1328" s="18"/>
      <c r="BP1328" s="18"/>
      <c r="BQ1328" s="18"/>
      <c r="BR1328" s="18"/>
      <c r="BS1328" s="18"/>
      <c r="BT1328" s="18"/>
      <c r="BU1328" s="18"/>
      <c r="BV1328" s="18"/>
      <c r="BW1328" s="18"/>
      <c r="BX1328" s="18"/>
      <c r="BY1328" s="18"/>
      <c r="BZ1328" s="18"/>
      <c r="CA1328" s="18"/>
      <c r="CB1328" s="18"/>
      <c r="CC1328" s="18"/>
      <c r="CD1328" s="18"/>
      <c r="CE1328" s="18"/>
      <c r="CF1328" s="18"/>
      <c r="CG1328" s="18"/>
      <c r="CH1328" s="18"/>
      <c r="CI1328" s="18"/>
      <c r="CJ1328" s="18"/>
      <c r="CK1328" s="18"/>
      <c r="CL1328" s="18"/>
      <c r="CM1328" s="18"/>
      <c r="CN1328" s="18"/>
      <c r="CO1328" s="18"/>
      <c r="CP1328" s="18"/>
      <c r="CQ1328" s="18"/>
      <c r="CR1328" s="18"/>
      <c r="CS1328" s="18"/>
      <c r="CT1328" s="18"/>
      <c r="CU1328" s="18"/>
    </row>
    <row r="1329" spans="1:99">
      <c r="A1329" s="19"/>
      <c r="B1329" s="19"/>
      <c r="C1329" s="19"/>
      <c r="D1329" s="19"/>
      <c r="E1329" s="19"/>
      <c r="F1329" s="19"/>
      <c r="G1329" s="19"/>
      <c r="H1329" s="19"/>
      <c r="I1329" s="19"/>
      <c r="J1329" s="19"/>
      <c r="K1329" s="18"/>
      <c r="L1329" s="18"/>
      <c r="M1329" s="18"/>
      <c r="N1329" s="18"/>
      <c r="O1329" s="18"/>
      <c r="P1329" s="18"/>
      <c r="Q1329" s="18"/>
      <c r="R1329" s="18"/>
      <c r="S1329" s="18"/>
      <c r="T1329" s="18"/>
      <c r="U1329" s="18"/>
      <c r="V1329" s="18"/>
      <c r="W1329" s="18"/>
      <c r="X1329" s="18"/>
      <c r="Y1329" s="18"/>
      <c r="Z1329" s="18"/>
      <c r="AA1329" s="18"/>
      <c r="AB1329" s="18"/>
      <c r="AC1329" s="18"/>
      <c r="AD1329" s="18"/>
      <c r="AE1329" s="18"/>
      <c r="AF1329" s="18"/>
      <c r="AG1329" s="18"/>
      <c r="AH1329" s="18"/>
      <c r="AI1329" s="18"/>
      <c r="AJ1329" s="18"/>
      <c r="AK1329" s="18"/>
      <c r="AL1329" s="18"/>
      <c r="AM1329" s="18"/>
      <c r="AN1329" s="18"/>
      <c r="AO1329" s="18"/>
      <c r="AP1329" s="18"/>
      <c r="AQ1329" s="18"/>
      <c r="AR1329" s="18"/>
      <c r="AS1329" s="18"/>
      <c r="AT1329" s="18"/>
      <c r="AU1329" s="18"/>
      <c r="AV1329" s="18"/>
      <c r="AW1329" s="18"/>
      <c r="AX1329" s="18"/>
      <c r="AY1329" s="18"/>
      <c r="AZ1329" s="18"/>
      <c r="BA1329" s="18"/>
      <c r="BB1329" s="18"/>
      <c r="BC1329" s="18"/>
      <c r="BD1329" s="18"/>
      <c r="BE1329" s="18"/>
      <c r="BF1329" s="18"/>
      <c r="BG1329" s="18"/>
      <c r="BH1329" s="18"/>
      <c r="BI1329" s="18"/>
      <c r="BJ1329" s="18"/>
      <c r="BK1329" s="18"/>
      <c r="BL1329" s="18"/>
      <c r="BM1329" s="18"/>
      <c r="BN1329" s="18"/>
      <c r="BO1329" s="18"/>
      <c r="BP1329" s="18"/>
      <c r="BQ1329" s="18"/>
      <c r="BR1329" s="18"/>
      <c r="BS1329" s="18"/>
      <c r="BT1329" s="18"/>
      <c r="BU1329" s="18"/>
      <c r="BV1329" s="18"/>
      <c r="BW1329" s="18"/>
      <c r="BX1329" s="18"/>
      <c r="BY1329" s="18"/>
      <c r="BZ1329" s="18"/>
      <c r="CA1329" s="18"/>
      <c r="CB1329" s="18"/>
      <c r="CC1329" s="18"/>
      <c r="CD1329" s="18"/>
      <c r="CE1329" s="18"/>
      <c r="CF1329" s="18"/>
      <c r="CG1329" s="18"/>
      <c r="CH1329" s="18"/>
      <c r="CI1329" s="18"/>
      <c r="CJ1329" s="18"/>
      <c r="CK1329" s="18"/>
      <c r="CL1329" s="18"/>
      <c r="CM1329" s="18"/>
      <c r="CN1329" s="18"/>
      <c r="CO1329" s="18"/>
      <c r="CP1329" s="18"/>
      <c r="CQ1329" s="18"/>
      <c r="CR1329" s="18"/>
      <c r="CS1329" s="18"/>
      <c r="CT1329" s="18"/>
      <c r="CU1329" s="18"/>
    </row>
    <row r="1330" spans="1:99">
      <c r="A1330" s="19"/>
      <c r="B1330" s="19"/>
      <c r="C1330" s="19"/>
      <c r="D1330" s="19"/>
      <c r="E1330" s="19"/>
      <c r="F1330" s="19"/>
      <c r="G1330" s="19"/>
      <c r="H1330" s="19"/>
      <c r="I1330" s="19"/>
      <c r="J1330" s="19"/>
      <c r="K1330" s="18"/>
      <c r="L1330" s="18"/>
      <c r="M1330" s="18"/>
      <c r="N1330" s="18"/>
      <c r="O1330" s="18"/>
      <c r="P1330" s="18"/>
      <c r="Q1330" s="18"/>
      <c r="R1330" s="18"/>
      <c r="S1330" s="18"/>
      <c r="T1330" s="18"/>
      <c r="U1330" s="18"/>
      <c r="V1330" s="18"/>
      <c r="W1330" s="18"/>
      <c r="X1330" s="18"/>
      <c r="Y1330" s="18"/>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c r="BC1330" s="18"/>
      <c r="BD1330" s="18"/>
      <c r="BE1330" s="18"/>
      <c r="BF1330" s="18"/>
      <c r="BG1330" s="18"/>
      <c r="BH1330" s="18"/>
      <c r="BI1330" s="18"/>
      <c r="BJ1330" s="18"/>
      <c r="BK1330" s="18"/>
      <c r="BL1330" s="18"/>
      <c r="BM1330" s="18"/>
      <c r="BN1330" s="18"/>
      <c r="BO1330" s="18"/>
      <c r="BP1330" s="18"/>
      <c r="BQ1330" s="18"/>
      <c r="BR1330" s="18"/>
      <c r="BS1330" s="18"/>
      <c r="BT1330" s="18"/>
      <c r="BU1330" s="18"/>
      <c r="BV1330" s="18"/>
      <c r="BW1330" s="18"/>
      <c r="BX1330" s="18"/>
      <c r="BY1330" s="18"/>
      <c r="BZ1330" s="18"/>
      <c r="CA1330" s="18"/>
      <c r="CB1330" s="18"/>
      <c r="CC1330" s="18"/>
      <c r="CD1330" s="18"/>
      <c r="CE1330" s="18"/>
      <c r="CF1330" s="18"/>
      <c r="CG1330" s="18"/>
      <c r="CH1330" s="18"/>
      <c r="CI1330" s="18"/>
      <c r="CJ1330" s="18"/>
      <c r="CK1330" s="18"/>
      <c r="CL1330" s="18"/>
      <c r="CM1330" s="18"/>
      <c r="CN1330" s="18"/>
      <c r="CO1330" s="18"/>
      <c r="CP1330" s="18"/>
      <c r="CQ1330" s="18"/>
      <c r="CR1330" s="18"/>
      <c r="CS1330" s="18"/>
      <c r="CT1330" s="18"/>
      <c r="CU1330" s="18"/>
    </row>
    <row r="1331" spans="1:99">
      <c r="A1331" s="19"/>
      <c r="B1331" s="19"/>
      <c r="C1331" s="19"/>
      <c r="D1331" s="19"/>
      <c r="E1331" s="19"/>
      <c r="F1331" s="19"/>
      <c r="G1331" s="19"/>
      <c r="H1331" s="19"/>
      <c r="I1331" s="19"/>
      <c r="J1331" s="19"/>
      <c r="K1331" s="18"/>
      <c r="L1331" s="18"/>
      <c r="M1331" s="18"/>
      <c r="N1331" s="18"/>
      <c r="O1331" s="18"/>
      <c r="P1331" s="18"/>
      <c r="Q1331" s="18"/>
      <c r="R1331" s="18"/>
      <c r="S1331" s="18"/>
      <c r="T1331" s="18"/>
      <c r="U1331" s="18"/>
      <c r="V1331" s="18"/>
      <c r="W1331" s="18"/>
      <c r="X1331" s="18"/>
      <c r="Y1331" s="18"/>
      <c r="Z1331" s="18"/>
      <c r="AA1331" s="18"/>
      <c r="AB1331" s="18"/>
      <c r="AC1331" s="18"/>
      <c r="AD1331" s="18"/>
      <c r="AE1331" s="18"/>
      <c r="AF1331" s="18"/>
      <c r="AG1331" s="18"/>
      <c r="AH1331" s="18"/>
      <c r="AI1331" s="18"/>
      <c r="AJ1331" s="18"/>
      <c r="AK1331" s="18"/>
      <c r="AL1331" s="18"/>
      <c r="AM1331" s="18"/>
      <c r="AN1331" s="18"/>
      <c r="AO1331" s="18"/>
      <c r="AP1331" s="18"/>
      <c r="AQ1331" s="18"/>
      <c r="AR1331" s="18"/>
      <c r="AS1331" s="18"/>
      <c r="AT1331" s="18"/>
      <c r="AU1331" s="18"/>
      <c r="AV1331" s="18"/>
      <c r="AW1331" s="18"/>
      <c r="AX1331" s="18"/>
      <c r="AY1331" s="18"/>
      <c r="AZ1331" s="18"/>
      <c r="BA1331" s="18"/>
      <c r="BB1331" s="18"/>
      <c r="BC1331" s="18"/>
      <c r="BD1331" s="18"/>
      <c r="BE1331" s="18"/>
      <c r="BF1331" s="18"/>
      <c r="BG1331" s="18"/>
      <c r="BH1331" s="18"/>
      <c r="BI1331" s="18"/>
      <c r="BJ1331" s="18"/>
      <c r="BK1331" s="18"/>
      <c r="BL1331" s="18"/>
      <c r="BM1331" s="18"/>
      <c r="BN1331" s="18"/>
      <c r="BO1331" s="18"/>
      <c r="BP1331" s="18"/>
      <c r="BQ1331" s="18"/>
      <c r="BR1331" s="18"/>
      <c r="BS1331" s="18"/>
      <c r="BT1331" s="18"/>
      <c r="BU1331" s="18"/>
      <c r="BV1331" s="18"/>
      <c r="BW1331" s="18"/>
      <c r="BX1331" s="18"/>
      <c r="BY1331" s="18"/>
      <c r="BZ1331" s="18"/>
      <c r="CA1331" s="18"/>
      <c r="CB1331" s="18"/>
      <c r="CC1331" s="18"/>
      <c r="CD1331" s="18"/>
      <c r="CE1331" s="18"/>
      <c r="CF1331" s="18"/>
      <c r="CG1331" s="18"/>
      <c r="CH1331" s="18"/>
      <c r="CI1331" s="18"/>
      <c r="CJ1331" s="18"/>
      <c r="CK1331" s="18"/>
      <c r="CL1331" s="18"/>
      <c r="CM1331" s="18"/>
      <c r="CN1331" s="18"/>
      <c r="CO1331" s="18"/>
      <c r="CP1331" s="18"/>
      <c r="CQ1331" s="18"/>
      <c r="CR1331" s="18"/>
      <c r="CS1331" s="18"/>
      <c r="CT1331" s="18"/>
      <c r="CU1331" s="18"/>
    </row>
    <row r="1332" spans="1:99">
      <c r="A1332" s="19"/>
      <c r="B1332" s="19"/>
      <c r="C1332" s="19"/>
      <c r="D1332" s="19"/>
      <c r="E1332" s="19"/>
      <c r="F1332" s="19"/>
      <c r="G1332" s="19"/>
      <c r="H1332" s="19"/>
      <c r="I1332" s="19"/>
      <c r="J1332" s="19"/>
      <c r="K1332" s="18"/>
      <c r="L1332" s="18"/>
      <c r="M1332" s="18"/>
      <c r="N1332" s="18"/>
      <c r="O1332" s="18"/>
      <c r="P1332" s="18"/>
      <c r="Q1332" s="18"/>
      <c r="R1332" s="18"/>
      <c r="S1332" s="18"/>
      <c r="T1332" s="18"/>
      <c r="U1332" s="18"/>
      <c r="V1332" s="18"/>
      <c r="W1332" s="18"/>
      <c r="X1332" s="18"/>
      <c r="Y1332" s="18"/>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c r="BC1332" s="18"/>
      <c r="BD1332" s="18"/>
      <c r="BE1332" s="18"/>
      <c r="BF1332" s="18"/>
      <c r="BG1332" s="18"/>
      <c r="BH1332" s="18"/>
      <c r="BI1332" s="18"/>
      <c r="BJ1332" s="18"/>
      <c r="BK1332" s="18"/>
      <c r="BL1332" s="18"/>
      <c r="BM1332" s="18"/>
      <c r="BN1332" s="18"/>
      <c r="BO1332" s="18"/>
      <c r="BP1332" s="18"/>
      <c r="BQ1332" s="18"/>
      <c r="BR1332" s="18"/>
      <c r="BS1332" s="18"/>
      <c r="BT1332" s="18"/>
      <c r="BU1332" s="18"/>
      <c r="BV1332" s="18"/>
      <c r="BW1332" s="18"/>
      <c r="BX1332" s="18"/>
      <c r="BY1332" s="18"/>
      <c r="BZ1332" s="18"/>
      <c r="CA1332" s="18"/>
      <c r="CB1332" s="18"/>
      <c r="CC1332" s="18"/>
      <c r="CD1332" s="18"/>
      <c r="CE1332" s="18"/>
      <c r="CF1332" s="18"/>
      <c r="CG1332" s="18"/>
      <c r="CH1332" s="18"/>
      <c r="CI1332" s="18"/>
      <c r="CJ1332" s="18"/>
      <c r="CK1332" s="18"/>
      <c r="CL1332" s="18"/>
      <c r="CM1332" s="18"/>
      <c r="CN1332" s="18"/>
      <c r="CO1332" s="18"/>
      <c r="CP1332" s="18"/>
      <c r="CQ1332" s="18"/>
      <c r="CR1332" s="18"/>
      <c r="CS1332" s="18"/>
      <c r="CT1332" s="18"/>
      <c r="CU1332" s="18"/>
    </row>
    <row r="1333" spans="1:99">
      <c r="A1333" s="19"/>
      <c r="B1333" s="19"/>
      <c r="C1333" s="19"/>
      <c r="D1333" s="19"/>
      <c r="E1333" s="19"/>
      <c r="F1333" s="19"/>
      <c r="G1333" s="19"/>
      <c r="H1333" s="19"/>
      <c r="I1333" s="19"/>
      <c r="J1333" s="19"/>
      <c r="K1333" s="18"/>
      <c r="L1333" s="18"/>
      <c r="M1333" s="18"/>
      <c r="N1333" s="18"/>
      <c r="O1333" s="18"/>
      <c r="P1333" s="18"/>
      <c r="Q1333" s="18"/>
      <c r="R1333" s="18"/>
      <c r="S1333" s="18"/>
      <c r="T1333" s="18"/>
      <c r="U1333" s="18"/>
      <c r="V1333" s="18"/>
      <c r="W1333" s="18"/>
      <c r="X1333" s="18"/>
      <c r="Y1333" s="18"/>
      <c r="Z1333" s="18"/>
      <c r="AA1333" s="18"/>
      <c r="AB1333" s="18"/>
      <c r="AC1333" s="18"/>
      <c r="AD1333" s="18"/>
      <c r="AE1333" s="18"/>
      <c r="AF1333" s="18"/>
      <c r="AG1333" s="18"/>
      <c r="AH1333" s="18"/>
      <c r="AI1333" s="18"/>
      <c r="AJ1333" s="18"/>
      <c r="AK1333" s="18"/>
      <c r="AL1333" s="18"/>
      <c r="AM1333" s="18"/>
      <c r="AN1333" s="18"/>
      <c r="AO1333" s="18"/>
      <c r="AP1333" s="18"/>
      <c r="AQ1333" s="18"/>
      <c r="AR1333" s="18"/>
      <c r="AS1333" s="18"/>
      <c r="AT1333" s="18"/>
      <c r="AU1333" s="18"/>
      <c r="AV1333" s="18"/>
      <c r="AW1333" s="18"/>
      <c r="AX1333" s="18"/>
      <c r="AY1333" s="18"/>
      <c r="AZ1333" s="18"/>
      <c r="BA1333" s="18"/>
      <c r="BB1333" s="18"/>
      <c r="BC1333" s="18"/>
      <c r="BD1333" s="18"/>
      <c r="BE1333" s="18"/>
      <c r="BF1333" s="18"/>
      <c r="BG1333" s="18"/>
      <c r="BH1333" s="18"/>
      <c r="BI1333" s="18"/>
      <c r="BJ1333" s="18"/>
      <c r="BK1333" s="18"/>
      <c r="BL1333" s="18"/>
      <c r="BM1333" s="18"/>
      <c r="BN1333" s="18"/>
      <c r="BO1333" s="18"/>
      <c r="BP1333" s="18"/>
      <c r="BQ1333" s="18"/>
      <c r="BR1333" s="18"/>
      <c r="BS1333" s="18"/>
      <c r="BT1333" s="18"/>
      <c r="BU1333" s="18"/>
      <c r="BV1333" s="18"/>
      <c r="BW1333" s="18"/>
      <c r="BX1333" s="18"/>
      <c r="BY1333" s="18"/>
      <c r="BZ1333" s="18"/>
      <c r="CA1333" s="18"/>
      <c r="CB1333" s="18"/>
      <c r="CC1333" s="18"/>
      <c r="CD1333" s="18"/>
      <c r="CE1333" s="18"/>
      <c r="CF1333" s="18"/>
      <c r="CG1333" s="18"/>
      <c r="CH1333" s="18"/>
      <c r="CI1333" s="18"/>
      <c r="CJ1333" s="18"/>
      <c r="CK1333" s="18"/>
      <c r="CL1333" s="18"/>
      <c r="CM1333" s="18"/>
      <c r="CN1333" s="18"/>
      <c r="CO1333" s="18"/>
      <c r="CP1333" s="18"/>
      <c r="CQ1333" s="18"/>
      <c r="CR1333" s="18"/>
      <c r="CS1333" s="18"/>
      <c r="CT1333" s="18"/>
      <c r="CU1333" s="18"/>
    </row>
    <row r="1334" spans="1:99">
      <c r="A1334" s="19"/>
      <c r="B1334" s="19"/>
      <c r="C1334" s="19"/>
      <c r="D1334" s="19"/>
      <c r="E1334" s="19"/>
      <c r="F1334" s="19"/>
      <c r="G1334" s="19"/>
      <c r="H1334" s="19"/>
      <c r="I1334" s="19"/>
      <c r="J1334" s="19"/>
      <c r="K1334" s="18"/>
      <c r="L1334" s="18"/>
      <c r="M1334" s="18"/>
      <c r="N1334" s="18"/>
      <c r="O1334" s="18"/>
      <c r="P1334" s="18"/>
      <c r="Q1334" s="18"/>
      <c r="R1334" s="18"/>
      <c r="S1334" s="18"/>
      <c r="T1334" s="18"/>
      <c r="U1334" s="18"/>
      <c r="V1334" s="18"/>
      <c r="W1334" s="18"/>
      <c r="X1334" s="18"/>
      <c r="Y1334" s="18"/>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c r="BC1334" s="18"/>
      <c r="BD1334" s="18"/>
      <c r="BE1334" s="18"/>
      <c r="BF1334" s="18"/>
      <c r="BG1334" s="18"/>
      <c r="BH1334" s="18"/>
      <c r="BI1334" s="18"/>
      <c r="BJ1334" s="18"/>
      <c r="BK1334" s="18"/>
      <c r="BL1334" s="18"/>
      <c r="BM1334" s="18"/>
      <c r="BN1334" s="18"/>
      <c r="BO1334" s="18"/>
      <c r="BP1334" s="18"/>
      <c r="BQ1334" s="18"/>
      <c r="BR1334" s="18"/>
      <c r="BS1334" s="18"/>
      <c r="BT1334" s="18"/>
      <c r="BU1334" s="18"/>
      <c r="BV1334" s="18"/>
      <c r="BW1334" s="18"/>
      <c r="BX1334" s="18"/>
      <c r="BY1334" s="18"/>
      <c r="BZ1334" s="18"/>
      <c r="CA1334" s="18"/>
      <c r="CB1334" s="18"/>
      <c r="CC1334" s="18"/>
      <c r="CD1334" s="18"/>
      <c r="CE1334" s="18"/>
      <c r="CF1334" s="18"/>
      <c r="CG1334" s="18"/>
      <c r="CH1334" s="18"/>
      <c r="CI1334" s="18"/>
      <c r="CJ1334" s="18"/>
      <c r="CK1334" s="18"/>
      <c r="CL1334" s="18"/>
      <c r="CM1334" s="18"/>
      <c r="CN1334" s="18"/>
      <c r="CO1334" s="18"/>
      <c r="CP1334" s="18"/>
      <c r="CQ1334" s="18"/>
      <c r="CR1334" s="18"/>
      <c r="CS1334" s="18"/>
      <c r="CT1334" s="18"/>
      <c r="CU1334" s="18"/>
    </row>
    <row r="1335" spans="1:99">
      <c r="A1335" s="19"/>
      <c r="B1335" s="19"/>
      <c r="C1335" s="19"/>
      <c r="D1335" s="19"/>
      <c r="E1335" s="19"/>
      <c r="F1335" s="19"/>
      <c r="G1335" s="19"/>
      <c r="H1335" s="19"/>
      <c r="I1335" s="19"/>
      <c r="J1335" s="19"/>
      <c r="K1335" s="18"/>
      <c r="L1335" s="18"/>
      <c r="M1335" s="18"/>
      <c r="N1335" s="18"/>
      <c r="O1335" s="18"/>
      <c r="P1335" s="18"/>
      <c r="Q1335" s="18"/>
      <c r="R1335" s="18"/>
      <c r="S1335" s="18"/>
      <c r="T1335" s="18"/>
      <c r="U1335" s="18"/>
      <c r="V1335" s="18"/>
      <c r="W1335" s="18"/>
      <c r="X1335" s="18"/>
      <c r="Y1335" s="18"/>
      <c r="Z1335" s="18"/>
      <c r="AA1335" s="18"/>
      <c r="AB1335" s="18"/>
      <c r="AC1335" s="18"/>
      <c r="AD1335" s="18"/>
      <c r="AE1335" s="18"/>
      <c r="AF1335" s="18"/>
      <c r="AG1335" s="18"/>
      <c r="AH1335" s="18"/>
      <c r="AI1335" s="18"/>
      <c r="AJ1335" s="18"/>
      <c r="AK1335" s="18"/>
      <c r="AL1335" s="18"/>
      <c r="AM1335" s="18"/>
      <c r="AN1335" s="18"/>
      <c r="AO1335" s="18"/>
      <c r="AP1335" s="18"/>
      <c r="AQ1335" s="18"/>
      <c r="AR1335" s="18"/>
      <c r="AS1335" s="18"/>
      <c r="AT1335" s="18"/>
      <c r="AU1335" s="18"/>
      <c r="AV1335" s="18"/>
      <c r="AW1335" s="18"/>
      <c r="AX1335" s="18"/>
      <c r="AY1335" s="18"/>
      <c r="AZ1335" s="18"/>
      <c r="BA1335" s="18"/>
      <c r="BB1335" s="18"/>
      <c r="BC1335" s="18"/>
      <c r="BD1335" s="18"/>
      <c r="BE1335" s="18"/>
      <c r="BF1335" s="18"/>
      <c r="BG1335" s="18"/>
      <c r="BH1335" s="18"/>
      <c r="BI1335" s="18"/>
      <c r="BJ1335" s="18"/>
      <c r="BK1335" s="18"/>
      <c r="BL1335" s="18"/>
      <c r="BM1335" s="18"/>
      <c r="BN1335" s="18"/>
      <c r="BO1335" s="18"/>
      <c r="BP1335" s="18"/>
      <c r="BQ1335" s="18"/>
      <c r="BR1335" s="18"/>
      <c r="BS1335" s="18"/>
      <c r="BT1335" s="18"/>
      <c r="BU1335" s="18"/>
      <c r="BV1335" s="18"/>
      <c r="BW1335" s="18"/>
      <c r="BX1335" s="18"/>
      <c r="BY1335" s="18"/>
      <c r="BZ1335" s="18"/>
      <c r="CA1335" s="18"/>
      <c r="CB1335" s="18"/>
      <c r="CC1335" s="18"/>
      <c r="CD1335" s="18"/>
      <c r="CE1335" s="18"/>
      <c r="CF1335" s="18"/>
      <c r="CG1335" s="18"/>
      <c r="CH1335" s="18"/>
      <c r="CI1335" s="18"/>
      <c r="CJ1335" s="18"/>
      <c r="CK1335" s="18"/>
      <c r="CL1335" s="18"/>
      <c r="CM1335" s="18"/>
      <c r="CN1335" s="18"/>
      <c r="CO1335" s="18"/>
      <c r="CP1335" s="18"/>
      <c r="CQ1335" s="18"/>
      <c r="CR1335" s="18"/>
      <c r="CS1335" s="18"/>
      <c r="CT1335" s="18"/>
      <c r="CU1335" s="18"/>
    </row>
    <row r="1336" spans="1:99">
      <c r="A1336" s="19"/>
      <c r="B1336" s="19"/>
      <c r="C1336" s="19"/>
      <c r="D1336" s="19"/>
      <c r="E1336" s="19"/>
      <c r="F1336" s="19"/>
      <c r="G1336" s="19"/>
      <c r="H1336" s="19"/>
      <c r="I1336" s="19"/>
      <c r="J1336" s="19"/>
      <c r="K1336" s="18"/>
      <c r="L1336" s="18"/>
      <c r="M1336" s="18"/>
      <c r="N1336" s="18"/>
      <c r="O1336" s="18"/>
      <c r="P1336" s="18"/>
      <c r="Q1336" s="18"/>
      <c r="R1336" s="18"/>
      <c r="S1336" s="18"/>
      <c r="T1336" s="18"/>
      <c r="U1336" s="18"/>
      <c r="V1336" s="18"/>
      <c r="W1336" s="18"/>
      <c r="X1336" s="18"/>
      <c r="Y1336" s="18"/>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c r="BC1336" s="18"/>
      <c r="BD1336" s="18"/>
      <c r="BE1336" s="18"/>
      <c r="BF1336" s="18"/>
      <c r="BG1336" s="18"/>
      <c r="BH1336" s="18"/>
      <c r="BI1336" s="18"/>
      <c r="BJ1336" s="18"/>
      <c r="BK1336" s="18"/>
      <c r="BL1336" s="18"/>
      <c r="BM1336" s="18"/>
      <c r="BN1336" s="18"/>
      <c r="BO1336" s="18"/>
      <c r="BP1336" s="18"/>
      <c r="BQ1336" s="18"/>
      <c r="BR1336" s="18"/>
      <c r="BS1336" s="18"/>
      <c r="BT1336" s="18"/>
      <c r="BU1336" s="18"/>
      <c r="BV1336" s="18"/>
      <c r="BW1336" s="18"/>
      <c r="BX1336" s="18"/>
      <c r="BY1336" s="18"/>
      <c r="BZ1336" s="18"/>
      <c r="CA1336" s="18"/>
      <c r="CB1336" s="18"/>
      <c r="CC1336" s="18"/>
      <c r="CD1336" s="18"/>
      <c r="CE1336" s="18"/>
      <c r="CF1336" s="18"/>
      <c r="CG1336" s="18"/>
      <c r="CH1336" s="18"/>
      <c r="CI1336" s="18"/>
      <c r="CJ1336" s="18"/>
      <c r="CK1336" s="18"/>
      <c r="CL1336" s="18"/>
      <c r="CM1336" s="18"/>
      <c r="CN1336" s="18"/>
      <c r="CO1336" s="18"/>
      <c r="CP1336" s="18"/>
      <c r="CQ1336" s="18"/>
      <c r="CR1336" s="18"/>
      <c r="CS1336" s="18"/>
      <c r="CT1336" s="18"/>
      <c r="CU1336" s="18"/>
    </row>
    <row r="1337" spans="1:99">
      <c r="A1337" s="19"/>
      <c r="B1337" s="19"/>
      <c r="C1337" s="19"/>
      <c r="D1337" s="19"/>
      <c r="E1337" s="19"/>
      <c r="F1337" s="19"/>
      <c r="G1337" s="19"/>
      <c r="H1337" s="19"/>
      <c r="I1337" s="19"/>
      <c r="J1337" s="19"/>
      <c r="K1337" s="18"/>
      <c r="L1337" s="18"/>
      <c r="M1337" s="18"/>
      <c r="N1337" s="18"/>
      <c r="O1337" s="18"/>
      <c r="P1337" s="18"/>
      <c r="Q1337" s="18"/>
      <c r="R1337" s="18"/>
      <c r="S1337" s="18"/>
      <c r="T1337" s="18"/>
      <c r="U1337" s="18"/>
      <c r="V1337" s="18"/>
      <c r="W1337" s="18"/>
      <c r="X1337" s="18"/>
      <c r="Y1337" s="18"/>
      <c r="Z1337" s="18"/>
      <c r="AA1337" s="18"/>
      <c r="AB1337" s="18"/>
      <c r="AC1337" s="18"/>
      <c r="AD1337" s="18"/>
      <c r="AE1337" s="18"/>
      <c r="AF1337" s="18"/>
      <c r="AG1337" s="18"/>
      <c r="AH1337" s="18"/>
      <c r="AI1337" s="18"/>
      <c r="AJ1337" s="18"/>
      <c r="AK1337" s="18"/>
      <c r="AL1337" s="18"/>
      <c r="AM1337" s="18"/>
      <c r="AN1337" s="18"/>
      <c r="AO1337" s="18"/>
      <c r="AP1337" s="18"/>
      <c r="AQ1337" s="18"/>
      <c r="AR1337" s="18"/>
      <c r="AS1337" s="18"/>
      <c r="AT1337" s="18"/>
      <c r="AU1337" s="18"/>
      <c r="AV1337" s="18"/>
      <c r="AW1337" s="18"/>
      <c r="AX1337" s="18"/>
      <c r="AY1337" s="18"/>
      <c r="AZ1337" s="18"/>
      <c r="BA1337" s="18"/>
      <c r="BB1337" s="18"/>
      <c r="BC1337" s="18"/>
      <c r="BD1337" s="18"/>
      <c r="BE1337" s="18"/>
      <c r="BF1337" s="18"/>
      <c r="BG1337" s="18"/>
      <c r="BH1337" s="18"/>
      <c r="BI1337" s="18"/>
      <c r="BJ1337" s="18"/>
      <c r="BK1337" s="18"/>
      <c r="BL1337" s="18"/>
      <c r="BM1337" s="18"/>
      <c r="BN1337" s="18"/>
      <c r="BO1337" s="18"/>
      <c r="BP1337" s="18"/>
      <c r="BQ1337" s="18"/>
      <c r="BR1337" s="18"/>
      <c r="BS1337" s="18"/>
      <c r="BT1337" s="18"/>
      <c r="BU1337" s="18"/>
      <c r="BV1337" s="18"/>
      <c r="BW1337" s="18"/>
      <c r="BX1337" s="18"/>
      <c r="BY1337" s="18"/>
      <c r="BZ1337" s="18"/>
      <c r="CA1337" s="18"/>
      <c r="CB1337" s="18"/>
      <c r="CC1337" s="18"/>
      <c r="CD1337" s="18"/>
      <c r="CE1337" s="18"/>
      <c r="CF1337" s="18"/>
      <c r="CG1337" s="18"/>
      <c r="CH1337" s="18"/>
      <c r="CI1337" s="18"/>
      <c r="CJ1337" s="18"/>
      <c r="CK1337" s="18"/>
      <c r="CL1337" s="18"/>
      <c r="CM1337" s="18"/>
      <c r="CN1337" s="18"/>
      <c r="CO1337" s="18"/>
      <c r="CP1337" s="18"/>
      <c r="CQ1337" s="18"/>
      <c r="CR1337" s="18"/>
      <c r="CS1337" s="18"/>
      <c r="CT1337" s="18"/>
      <c r="CU1337" s="18"/>
    </row>
    <row r="1338" spans="1:99">
      <c r="A1338" s="19"/>
      <c r="B1338" s="19"/>
      <c r="C1338" s="19"/>
      <c r="D1338" s="19"/>
      <c r="E1338" s="19"/>
      <c r="F1338" s="19"/>
      <c r="G1338" s="19"/>
      <c r="H1338" s="19"/>
      <c r="I1338" s="19"/>
      <c r="J1338" s="19"/>
      <c r="K1338" s="18"/>
      <c r="L1338" s="18"/>
      <c r="M1338" s="18"/>
      <c r="N1338" s="18"/>
      <c r="O1338" s="18"/>
      <c r="P1338" s="18"/>
      <c r="Q1338" s="18"/>
      <c r="R1338" s="18"/>
      <c r="S1338" s="18"/>
      <c r="T1338" s="18"/>
      <c r="U1338" s="18"/>
      <c r="V1338" s="18"/>
      <c r="W1338" s="18"/>
      <c r="X1338" s="18"/>
      <c r="Y1338" s="18"/>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c r="BC1338" s="18"/>
      <c r="BD1338" s="18"/>
      <c r="BE1338" s="18"/>
      <c r="BF1338" s="18"/>
      <c r="BG1338" s="18"/>
      <c r="BH1338" s="18"/>
      <c r="BI1338" s="18"/>
      <c r="BJ1338" s="18"/>
      <c r="BK1338" s="18"/>
      <c r="BL1338" s="18"/>
      <c r="BM1338" s="18"/>
      <c r="BN1338" s="18"/>
      <c r="BO1338" s="18"/>
      <c r="BP1338" s="18"/>
      <c r="BQ1338" s="18"/>
      <c r="BR1338" s="18"/>
      <c r="BS1338" s="18"/>
      <c r="BT1338" s="18"/>
      <c r="BU1338" s="18"/>
      <c r="BV1338" s="18"/>
      <c r="BW1338" s="18"/>
      <c r="BX1338" s="18"/>
      <c r="BY1338" s="18"/>
      <c r="BZ1338" s="18"/>
      <c r="CA1338" s="18"/>
      <c r="CB1338" s="18"/>
      <c r="CC1338" s="18"/>
      <c r="CD1338" s="18"/>
      <c r="CE1338" s="18"/>
      <c r="CF1338" s="18"/>
      <c r="CG1338" s="18"/>
      <c r="CH1338" s="18"/>
      <c r="CI1338" s="18"/>
      <c r="CJ1338" s="18"/>
      <c r="CK1338" s="18"/>
      <c r="CL1338" s="18"/>
      <c r="CM1338" s="18"/>
      <c r="CN1338" s="18"/>
      <c r="CO1338" s="18"/>
      <c r="CP1338" s="18"/>
      <c r="CQ1338" s="18"/>
      <c r="CR1338" s="18"/>
      <c r="CS1338" s="18"/>
      <c r="CT1338" s="18"/>
      <c r="CU1338" s="18"/>
    </row>
    <row r="1339" spans="1:99">
      <c r="A1339" s="19"/>
      <c r="B1339" s="19"/>
      <c r="C1339" s="19"/>
      <c r="D1339" s="19"/>
      <c r="E1339" s="19"/>
      <c r="F1339" s="19"/>
      <c r="G1339" s="19"/>
      <c r="H1339" s="19"/>
      <c r="I1339" s="19"/>
      <c r="J1339" s="19"/>
      <c r="K1339" s="18"/>
      <c r="L1339" s="18"/>
      <c r="M1339" s="18"/>
      <c r="N1339" s="18"/>
      <c r="O1339" s="18"/>
      <c r="P1339" s="18"/>
      <c r="Q1339" s="18"/>
      <c r="R1339" s="18"/>
      <c r="S1339" s="18"/>
      <c r="T1339" s="18"/>
      <c r="U1339" s="18"/>
      <c r="V1339" s="18"/>
      <c r="W1339" s="18"/>
      <c r="X1339" s="18"/>
      <c r="Y1339" s="18"/>
      <c r="Z1339" s="18"/>
      <c r="AA1339" s="18"/>
      <c r="AB1339" s="18"/>
      <c r="AC1339" s="18"/>
      <c r="AD1339" s="18"/>
      <c r="AE1339" s="18"/>
      <c r="AF1339" s="18"/>
      <c r="AG1339" s="18"/>
      <c r="AH1339" s="18"/>
      <c r="AI1339" s="18"/>
      <c r="AJ1339" s="18"/>
      <c r="AK1339" s="18"/>
      <c r="AL1339" s="18"/>
      <c r="AM1339" s="18"/>
      <c r="AN1339" s="18"/>
      <c r="AO1339" s="18"/>
      <c r="AP1339" s="18"/>
      <c r="AQ1339" s="18"/>
      <c r="AR1339" s="18"/>
      <c r="AS1339" s="18"/>
      <c r="AT1339" s="18"/>
      <c r="AU1339" s="18"/>
      <c r="AV1339" s="18"/>
      <c r="AW1339" s="18"/>
      <c r="AX1339" s="18"/>
      <c r="AY1339" s="18"/>
      <c r="AZ1339" s="18"/>
      <c r="BA1339" s="18"/>
      <c r="BB1339" s="18"/>
      <c r="BC1339" s="18"/>
      <c r="BD1339" s="18"/>
      <c r="BE1339" s="18"/>
      <c r="BF1339" s="18"/>
      <c r="BG1339" s="18"/>
      <c r="BH1339" s="18"/>
      <c r="BI1339" s="18"/>
      <c r="BJ1339" s="18"/>
      <c r="BK1339" s="18"/>
      <c r="BL1339" s="18"/>
      <c r="BM1339" s="18"/>
      <c r="BN1339" s="18"/>
      <c r="BO1339" s="18"/>
      <c r="BP1339" s="18"/>
      <c r="BQ1339" s="18"/>
      <c r="BR1339" s="18"/>
      <c r="BS1339" s="18"/>
      <c r="BT1339" s="18"/>
      <c r="BU1339" s="18"/>
      <c r="BV1339" s="18"/>
      <c r="BW1339" s="18"/>
      <c r="BX1339" s="18"/>
      <c r="BY1339" s="18"/>
      <c r="BZ1339" s="18"/>
      <c r="CA1339" s="18"/>
      <c r="CB1339" s="18"/>
      <c r="CC1339" s="18"/>
      <c r="CD1339" s="18"/>
      <c r="CE1339" s="18"/>
      <c r="CF1339" s="18"/>
      <c r="CG1339" s="18"/>
      <c r="CH1339" s="18"/>
      <c r="CI1339" s="18"/>
      <c r="CJ1339" s="18"/>
      <c r="CK1339" s="18"/>
      <c r="CL1339" s="18"/>
      <c r="CM1339" s="18"/>
      <c r="CN1339" s="18"/>
      <c r="CO1339" s="18"/>
      <c r="CP1339" s="18"/>
      <c r="CQ1339" s="18"/>
      <c r="CR1339" s="18"/>
      <c r="CS1339" s="18"/>
      <c r="CT1339" s="18"/>
      <c r="CU1339" s="18"/>
    </row>
    <row r="1340" spans="1:99">
      <c r="A1340" s="19"/>
      <c r="B1340" s="19"/>
      <c r="C1340" s="19"/>
      <c r="D1340" s="19"/>
      <c r="E1340" s="19"/>
      <c r="F1340" s="19"/>
      <c r="G1340" s="19"/>
      <c r="H1340" s="19"/>
      <c r="I1340" s="19"/>
      <c r="J1340" s="19"/>
      <c r="K1340" s="18"/>
      <c r="L1340" s="18"/>
      <c r="M1340" s="18"/>
      <c r="N1340" s="18"/>
      <c r="O1340" s="18"/>
      <c r="P1340" s="18"/>
      <c r="Q1340" s="18"/>
      <c r="R1340" s="18"/>
      <c r="S1340" s="18"/>
      <c r="T1340" s="18"/>
      <c r="U1340" s="18"/>
      <c r="V1340" s="18"/>
      <c r="W1340" s="18"/>
      <c r="X1340" s="18"/>
      <c r="Y1340" s="18"/>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c r="BC1340" s="18"/>
      <c r="BD1340" s="18"/>
      <c r="BE1340" s="18"/>
      <c r="BF1340" s="18"/>
      <c r="BG1340" s="18"/>
      <c r="BH1340" s="18"/>
      <c r="BI1340" s="18"/>
      <c r="BJ1340" s="18"/>
      <c r="BK1340" s="18"/>
      <c r="BL1340" s="18"/>
      <c r="BM1340" s="18"/>
      <c r="BN1340" s="18"/>
      <c r="BO1340" s="18"/>
      <c r="BP1340" s="18"/>
      <c r="BQ1340" s="18"/>
      <c r="BR1340" s="18"/>
      <c r="BS1340" s="18"/>
      <c r="BT1340" s="18"/>
      <c r="BU1340" s="18"/>
      <c r="BV1340" s="18"/>
      <c r="BW1340" s="18"/>
      <c r="BX1340" s="18"/>
      <c r="BY1340" s="18"/>
      <c r="BZ1340" s="18"/>
      <c r="CA1340" s="18"/>
      <c r="CB1340" s="18"/>
      <c r="CC1340" s="18"/>
      <c r="CD1340" s="18"/>
      <c r="CE1340" s="18"/>
      <c r="CF1340" s="18"/>
      <c r="CG1340" s="18"/>
      <c r="CH1340" s="18"/>
      <c r="CI1340" s="18"/>
      <c r="CJ1340" s="18"/>
      <c r="CK1340" s="18"/>
      <c r="CL1340" s="18"/>
      <c r="CM1340" s="18"/>
      <c r="CN1340" s="18"/>
      <c r="CO1340" s="18"/>
      <c r="CP1340" s="18"/>
      <c r="CQ1340" s="18"/>
      <c r="CR1340" s="18"/>
      <c r="CS1340" s="18"/>
      <c r="CT1340" s="18"/>
      <c r="CU1340" s="18"/>
    </row>
    <row r="1341" spans="1:99">
      <c r="A1341" s="19"/>
      <c r="B1341" s="19"/>
      <c r="C1341" s="19"/>
      <c r="D1341" s="19"/>
      <c r="E1341" s="19"/>
      <c r="F1341" s="19"/>
      <c r="G1341" s="19"/>
      <c r="H1341" s="19"/>
      <c r="I1341" s="19"/>
      <c r="J1341" s="19"/>
      <c r="K1341" s="18"/>
      <c r="L1341" s="18"/>
      <c r="M1341" s="18"/>
      <c r="N1341" s="18"/>
      <c r="O1341" s="18"/>
      <c r="P1341" s="18"/>
      <c r="Q1341" s="18"/>
      <c r="R1341" s="18"/>
      <c r="S1341" s="18"/>
      <c r="T1341" s="18"/>
      <c r="U1341" s="18"/>
      <c r="V1341" s="18"/>
      <c r="W1341" s="18"/>
      <c r="X1341" s="18"/>
      <c r="Y1341" s="18"/>
      <c r="Z1341" s="18"/>
      <c r="AA1341" s="18"/>
      <c r="AB1341" s="18"/>
      <c r="AC1341" s="18"/>
      <c r="AD1341" s="18"/>
      <c r="AE1341" s="18"/>
      <c r="AF1341" s="18"/>
      <c r="AG1341" s="18"/>
      <c r="AH1341" s="18"/>
      <c r="AI1341" s="18"/>
      <c r="AJ1341" s="18"/>
      <c r="AK1341" s="18"/>
      <c r="AL1341" s="18"/>
      <c r="AM1341" s="18"/>
      <c r="AN1341" s="18"/>
      <c r="AO1341" s="18"/>
      <c r="AP1341" s="18"/>
      <c r="AQ1341" s="18"/>
      <c r="AR1341" s="18"/>
      <c r="AS1341" s="18"/>
      <c r="AT1341" s="18"/>
      <c r="AU1341" s="18"/>
      <c r="AV1341" s="18"/>
      <c r="AW1341" s="18"/>
      <c r="AX1341" s="18"/>
      <c r="AY1341" s="18"/>
      <c r="AZ1341" s="18"/>
      <c r="BA1341" s="18"/>
      <c r="BB1341" s="18"/>
      <c r="BC1341" s="18"/>
      <c r="BD1341" s="18"/>
      <c r="BE1341" s="18"/>
      <c r="BF1341" s="18"/>
      <c r="BG1341" s="18"/>
      <c r="BH1341" s="18"/>
      <c r="BI1341" s="18"/>
      <c r="BJ1341" s="18"/>
      <c r="BK1341" s="18"/>
      <c r="BL1341" s="18"/>
      <c r="BM1341" s="18"/>
      <c r="BN1341" s="18"/>
      <c r="BO1341" s="18"/>
      <c r="BP1341" s="18"/>
      <c r="BQ1341" s="18"/>
      <c r="BR1341" s="18"/>
      <c r="BS1341" s="18"/>
      <c r="BT1341" s="18"/>
      <c r="BU1341" s="18"/>
      <c r="BV1341" s="18"/>
      <c r="BW1341" s="18"/>
      <c r="BX1341" s="18"/>
      <c r="BY1341" s="18"/>
      <c r="BZ1341" s="18"/>
      <c r="CA1341" s="18"/>
      <c r="CB1341" s="18"/>
      <c r="CC1341" s="18"/>
      <c r="CD1341" s="18"/>
      <c r="CE1341" s="18"/>
      <c r="CF1341" s="18"/>
      <c r="CG1341" s="18"/>
      <c r="CH1341" s="18"/>
      <c r="CI1341" s="18"/>
      <c r="CJ1341" s="18"/>
      <c r="CK1341" s="18"/>
      <c r="CL1341" s="18"/>
      <c r="CM1341" s="18"/>
      <c r="CN1341" s="18"/>
      <c r="CO1341" s="18"/>
      <c r="CP1341" s="18"/>
      <c r="CQ1341" s="18"/>
      <c r="CR1341" s="18"/>
      <c r="CS1341" s="18"/>
      <c r="CT1341" s="18"/>
      <c r="CU1341" s="18"/>
    </row>
    <row r="1342" spans="1:99">
      <c r="A1342" s="19"/>
      <c r="B1342" s="19"/>
      <c r="C1342" s="19"/>
      <c r="D1342" s="19"/>
      <c r="E1342" s="19"/>
      <c r="F1342" s="19"/>
      <c r="G1342" s="19"/>
      <c r="H1342" s="19"/>
      <c r="I1342" s="19"/>
      <c r="J1342" s="19"/>
      <c r="K1342" s="18"/>
      <c r="L1342" s="18"/>
      <c r="M1342" s="18"/>
      <c r="N1342" s="18"/>
      <c r="O1342" s="18"/>
      <c r="P1342" s="18"/>
      <c r="Q1342" s="18"/>
      <c r="R1342" s="18"/>
      <c r="S1342" s="18"/>
      <c r="T1342" s="18"/>
      <c r="U1342" s="18"/>
      <c r="V1342" s="18"/>
      <c r="W1342" s="18"/>
      <c r="X1342" s="18"/>
      <c r="Y1342" s="18"/>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c r="BC1342" s="18"/>
      <c r="BD1342" s="18"/>
      <c r="BE1342" s="18"/>
      <c r="BF1342" s="18"/>
      <c r="BG1342" s="18"/>
      <c r="BH1342" s="18"/>
      <c r="BI1342" s="18"/>
      <c r="BJ1342" s="18"/>
      <c r="BK1342" s="18"/>
      <c r="BL1342" s="18"/>
      <c r="BM1342" s="18"/>
      <c r="BN1342" s="18"/>
      <c r="BO1342" s="18"/>
      <c r="BP1342" s="18"/>
      <c r="BQ1342" s="18"/>
      <c r="BR1342" s="18"/>
      <c r="BS1342" s="18"/>
      <c r="BT1342" s="18"/>
      <c r="BU1342" s="18"/>
      <c r="BV1342" s="18"/>
      <c r="BW1342" s="18"/>
      <c r="BX1342" s="18"/>
      <c r="BY1342" s="18"/>
      <c r="BZ1342" s="18"/>
      <c r="CA1342" s="18"/>
      <c r="CB1342" s="18"/>
      <c r="CC1342" s="18"/>
      <c r="CD1342" s="18"/>
      <c r="CE1342" s="18"/>
      <c r="CF1342" s="18"/>
      <c r="CG1342" s="18"/>
      <c r="CH1342" s="18"/>
      <c r="CI1342" s="18"/>
      <c r="CJ1342" s="18"/>
      <c r="CK1342" s="18"/>
      <c r="CL1342" s="18"/>
      <c r="CM1342" s="18"/>
      <c r="CN1342" s="18"/>
      <c r="CO1342" s="18"/>
      <c r="CP1342" s="18"/>
      <c r="CQ1342" s="18"/>
      <c r="CR1342" s="18"/>
      <c r="CS1342" s="18"/>
      <c r="CT1342" s="18"/>
      <c r="CU1342" s="18"/>
    </row>
    <row r="1343" spans="1:99">
      <c r="A1343" s="19"/>
      <c r="B1343" s="19"/>
      <c r="C1343" s="19"/>
      <c r="D1343" s="19"/>
      <c r="E1343" s="19"/>
      <c r="F1343" s="19"/>
      <c r="G1343" s="19"/>
      <c r="H1343" s="19"/>
      <c r="I1343" s="19"/>
      <c r="J1343" s="19"/>
      <c r="K1343" s="18"/>
      <c r="L1343" s="18"/>
      <c r="M1343" s="18"/>
      <c r="N1343" s="18"/>
      <c r="O1343" s="18"/>
      <c r="P1343" s="18"/>
      <c r="Q1343" s="18"/>
      <c r="R1343" s="18"/>
      <c r="S1343" s="18"/>
      <c r="T1343" s="18"/>
      <c r="U1343" s="18"/>
      <c r="V1343" s="18"/>
      <c r="W1343" s="18"/>
      <c r="X1343" s="18"/>
      <c r="Y1343" s="18"/>
      <c r="Z1343" s="18"/>
      <c r="AA1343" s="18"/>
      <c r="AB1343" s="18"/>
      <c r="AC1343" s="18"/>
      <c r="AD1343" s="18"/>
      <c r="AE1343" s="18"/>
      <c r="AF1343" s="18"/>
      <c r="AG1343" s="18"/>
      <c r="AH1343" s="18"/>
      <c r="AI1343" s="18"/>
      <c r="AJ1343" s="18"/>
      <c r="AK1343" s="18"/>
      <c r="AL1343" s="18"/>
      <c r="AM1343" s="18"/>
      <c r="AN1343" s="18"/>
      <c r="AO1343" s="18"/>
      <c r="AP1343" s="18"/>
      <c r="AQ1343" s="18"/>
      <c r="AR1343" s="18"/>
      <c r="AS1343" s="18"/>
      <c r="AT1343" s="18"/>
      <c r="AU1343" s="18"/>
      <c r="AV1343" s="18"/>
      <c r="AW1343" s="18"/>
      <c r="AX1343" s="18"/>
      <c r="AY1343" s="18"/>
      <c r="AZ1343" s="18"/>
      <c r="BA1343" s="18"/>
      <c r="BB1343" s="18"/>
      <c r="BC1343" s="18"/>
      <c r="BD1343" s="18"/>
      <c r="BE1343" s="18"/>
      <c r="BF1343" s="18"/>
      <c r="BG1343" s="18"/>
      <c r="BH1343" s="18"/>
      <c r="BI1343" s="18"/>
      <c r="BJ1343" s="18"/>
      <c r="BK1343" s="18"/>
      <c r="BL1343" s="18"/>
      <c r="BM1343" s="18"/>
      <c r="BN1343" s="18"/>
      <c r="BO1343" s="18"/>
      <c r="BP1343" s="18"/>
      <c r="BQ1343" s="18"/>
      <c r="BR1343" s="18"/>
      <c r="BS1343" s="18"/>
      <c r="BT1343" s="18"/>
      <c r="BU1343" s="18"/>
      <c r="BV1343" s="18"/>
      <c r="BW1343" s="18"/>
      <c r="BX1343" s="18"/>
      <c r="BY1343" s="18"/>
      <c r="BZ1343" s="18"/>
      <c r="CA1343" s="18"/>
      <c r="CB1343" s="18"/>
      <c r="CC1343" s="18"/>
      <c r="CD1343" s="18"/>
      <c r="CE1343" s="18"/>
      <c r="CF1343" s="18"/>
      <c r="CG1343" s="18"/>
      <c r="CH1343" s="18"/>
      <c r="CI1343" s="18"/>
      <c r="CJ1343" s="18"/>
      <c r="CK1343" s="18"/>
      <c r="CL1343" s="18"/>
      <c r="CM1343" s="18"/>
      <c r="CN1343" s="18"/>
      <c r="CO1343" s="18"/>
      <c r="CP1343" s="18"/>
      <c r="CQ1343" s="18"/>
      <c r="CR1343" s="18"/>
      <c r="CS1343" s="18"/>
      <c r="CT1343" s="18"/>
      <c r="CU1343" s="18"/>
    </row>
    <row r="1344" spans="1:99">
      <c r="A1344" s="19"/>
      <c r="B1344" s="19"/>
      <c r="C1344" s="19"/>
      <c r="D1344" s="19"/>
      <c r="E1344" s="19"/>
      <c r="F1344" s="19"/>
      <c r="G1344" s="19"/>
      <c r="H1344" s="19"/>
      <c r="I1344" s="19"/>
      <c r="J1344" s="19"/>
      <c r="K1344" s="18"/>
      <c r="L1344" s="18"/>
      <c r="M1344" s="18"/>
      <c r="N1344" s="18"/>
      <c r="O1344" s="18"/>
      <c r="P1344" s="18"/>
      <c r="Q1344" s="18"/>
      <c r="R1344" s="18"/>
      <c r="S1344" s="18"/>
      <c r="T1344" s="18"/>
      <c r="U1344" s="18"/>
      <c r="V1344" s="18"/>
      <c r="W1344" s="18"/>
      <c r="X1344" s="18"/>
      <c r="Y1344" s="18"/>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c r="BC1344" s="18"/>
      <c r="BD1344" s="18"/>
      <c r="BE1344" s="18"/>
      <c r="BF1344" s="18"/>
      <c r="BG1344" s="18"/>
      <c r="BH1344" s="18"/>
      <c r="BI1344" s="18"/>
      <c r="BJ1344" s="18"/>
      <c r="BK1344" s="18"/>
      <c r="BL1344" s="18"/>
      <c r="BM1344" s="18"/>
      <c r="BN1344" s="18"/>
      <c r="BO1344" s="18"/>
      <c r="BP1344" s="18"/>
      <c r="BQ1344" s="18"/>
      <c r="BR1344" s="18"/>
      <c r="BS1344" s="18"/>
      <c r="BT1344" s="18"/>
      <c r="BU1344" s="18"/>
      <c r="BV1344" s="18"/>
      <c r="BW1344" s="18"/>
      <c r="BX1344" s="18"/>
      <c r="BY1344" s="18"/>
      <c r="BZ1344" s="18"/>
      <c r="CA1344" s="18"/>
      <c r="CB1344" s="18"/>
      <c r="CC1344" s="18"/>
      <c r="CD1344" s="18"/>
      <c r="CE1344" s="18"/>
      <c r="CF1344" s="18"/>
      <c r="CG1344" s="18"/>
      <c r="CH1344" s="18"/>
      <c r="CI1344" s="18"/>
      <c r="CJ1344" s="18"/>
      <c r="CK1344" s="18"/>
      <c r="CL1344" s="18"/>
      <c r="CM1344" s="18"/>
      <c r="CN1344" s="18"/>
      <c r="CO1344" s="18"/>
      <c r="CP1344" s="18"/>
      <c r="CQ1344" s="18"/>
      <c r="CR1344" s="18"/>
      <c r="CS1344" s="18"/>
      <c r="CT1344" s="18"/>
      <c r="CU1344" s="18"/>
    </row>
    <row r="1345" spans="1:99">
      <c r="A1345" s="19"/>
      <c r="B1345" s="19"/>
      <c r="C1345" s="19"/>
      <c r="D1345" s="19"/>
      <c r="E1345" s="19"/>
      <c r="F1345" s="19"/>
      <c r="G1345" s="19"/>
      <c r="H1345" s="19"/>
      <c r="I1345" s="19"/>
      <c r="J1345" s="19"/>
      <c r="K1345" s="18"/>
      <c r="L1345" s="18"/>
      <c r="M1345" s="18"/>
      <c r="N1345" s="18"/>
      <c r="O1345" s="18"/>
      <c r="P1345" s="18"/>
      <c r="Q1345" s="18"/>
      <c r="R1345" s="18"/>
      <c r="S1345" s="18"/>
      <c r="T1345" s="18"/>
      <c r="U1345" s="18"/>
      <c r="V1345" s="18"/>
      <c r="W1345" s="18"/>
      <c r="X1345" s="18"/>
      <c r="Y1345" s="18"/>
      <c r="Z1345" s="18"/>
      <c r="AA1345" s="18"/>
      <c r="AB1345" s="18"/>
      <c r="AC1345" s="18"/>
      <c r="AD1345" s="18"/>
      <c r="AE1345" s="18"/>
      <c r="AF1345" s="18"/>
      <c r="AG1345" s="18"/>
      <c r="AH1345" s="18"/>
      <c r="AI1345" s="18"/>
      <c r="AJ1345" s="18"/>
      <c r="AK1345" s="18"/>
      <c r="AL1345" s="18"/>
      <c r="AM1345" s="18"/>
      <c r="AN1345" s="18"/>
      <c r="AO1345" s="18"/>
      <c r="AP1345" s="18"/>
      <c r="AQ1345" s="18"/>
      <c r="AR1345" s="18"/>
      <c r="AS1345" s="18"/>
      <c r="AT1345" s="18"/>
      <c r="AU1345" s="18"/>
      <c r="AV1345" s="18"/>
      <c r="AW1345" s="18"/>
      <c r="AX1345" s="18"/>
      <c r="AY1345" s="18"/>
      <c r="AZ1345" s="18"/>
      <c r="BA1345" s="18"/>
      <c r="BB1345" s="18"/>
      <c r="BC1345" s="18"/>
      <c r="BD1345" s="18"/>
      <c r="BE1345" s="18"/>
      <c r="BF1345" s="18"/>
      <c r="BG1345" s="18"/>
      <c r="BH1345" s="18"/>
      <c r="BI1345" s="18"/>
      <c r="BJ1345" s="18"/>
      <c r="BK1345" s="18"/>
      <c r="BL1345" s="18"/>
      <c r="BM1345" s="18"/>
      <c r="BN1345" s="18"/>
      <c r="BO1345" s="18"/>
      <c r="BP1345" s="18"/>
      <c r="BQ1345" s="18"/>
      <c r="BR1345" s="18"/>
      <c r="BS1345" s="18"/>
      <c r="BT1345" s="18"/>
      <c r="BU1345" s="18"/>
      <c r="BV1345" s="18"/>
      <c r="BW1345" s="18"/>
      <c r="BX1345" s="18"/>
      <c r="BY1345" s="18"/>
      <c r="BZ1345" s="18"/>
      <c r="CA1345" s="18"/>
      <c r="CB1345" s="18"/>
      <c r="CC1345" s="18"/>
      <c r="CD1345" s="18"/>
      <c r="CE1345" s="18"/>
      <c r="CF1345" s="18"/>
      <c r="CG1345" s="18"/>
      <c r="CH1345" s="18"/>
      <c r="CI1345" s="18"/>
      <c r="CJ1345" s="18"/>
      <c r="CK1345" s="18"/>
      <c r="CL1345" s="18"/>
      <c r="CM1345" s="18"/>
      <c r="CN1345" s="18"/>
      <c r="CO1345" s="18"/>
      <c r="CP1345" s="18"/>
      <c r="CQ1345" s="18"/>
      <c r="CR1345" s="18"/>
      <c r="CS1345" s="18"/>
      <c r="CT1345" s="18"/>
      <c r="CU1345" s="18"/>
    </row>
    <row r="1346" spans="1:99">
      <c r="A1346" s="19"/>
      <c r="B1346" s="19"/>
      <c r="C1346" s="19"/>
      <c r="D1346" s="19"/>
      <c r="E1346" s="19"/>
      <c r="F1346" s="19"/>
      <c r="G1346" s="19"/>
      <c r="H1346" s="19"/>
      <c r="I1346" s="19"/>
      <c r="J1346" s="19"/>
      <c r="K1346" s="18"/>
      <c r="L1346" s="18"/>
      <c r="M1346" s="18"/>
      <c r="N1346" s="18"/>
      <c r="O1346" s="18"/>
      <c r="P1346" s="18"/>
      <c r="Q1346" s="18"/>
      <c r="R1346" s="18"/>
      <c r="S1346" s="18"/>
      <c r="T1346" s="18"/>
      <c r="U1346" s="18"/>
      <c r="V1346" s="18"/>
      <c r="W1346" s="18"/>
      <c r="X1346" s="18"/>
      <c r="Y1346" s="18"/>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c r="BC1346" s="18"/>
      <c r="BD1346" s="18"/>
      <c r="BE1346" s="18"/>
      <c r="BF1346" s="18"/>
      <c r="BG1346" s="18"/>
      <c r="BH1346" s="18"/>
      <c r="BI1346" s="18"/>
      <c r="BJ1346" s="18"/>
      <c r="BK1346" s="18"/>
      <c r="BL1346" s="18"/>
      <c r="BM1346" s="18"/>
      <c r="BN1346" s="18"/>
      <c r="BO1346" s="18"/>
      <c r="BP1346" s="18"/>
      <c r="BQ1346" s="18"/>
      <c r="BR1346" s="18"/>
      <c r="BS1346" s="18"/>
      <c r="BT1346" s="18"/>
      <c r="BU1346" s="18"/>
      <c r="BV1346" s="18"/>
      <c r="BW1346" s="18"/>
      <c r="BX1346" s="18"/>
      <c r="BY1346" s="18"/>
      <c r="BZ1346" s="18"/>
      <c r="CA1346" s="18"/>
      <c r="CB1346" s="18"/>
      <c r="CC1346" s="18"/>
      <c r="CD1346" s="18"/>
      <c r="CE1346" s="18"/>
      <c r="CF1346" s="18"/>
      <c r="CG1346" s="18"/>
      <c r="CH1346" s="18"/>
      <c r="CI1346" s="18"/>
      <c r="CJ1346" s="18"/>
      <c r="CK1346" s="18"/>
      <c r="CL1346" s="18"/>
      <c r="CM1346" s="18"/>
      <c r="CN1346" s="18"/>
      <c r="CO1346" s="18"/>
      <c r="CP1346" s="18"/>
      <c r="CQ1346" s="18"/>
      <c r="CR1346" s="18"/>
      <c r="CS1346" s="18"/>
      <c r="CT1346" s="18"/>
      <c r="CU1346" s="18"/>
    </row>
    <row r="1347" spans="1:99">
      <c r="A1347" s="19"/>
      <c r="B1347" s="19"/>
      <c r="C1347" s="19"/>
      <c r="D1347" s="19"/>
      <c r="E1347" s="19"/>
      <c r="F1347" s="19"/>
      <c r="G1347" s="19"/>
      <c r="H1347" s="19"/>
      <c r="I1347" s="19"/>
      <c r="J1347" s="19"/>
      <c r="K1347" s="18"/>
      <c r="L1347" s="18"/>
      <c r="M1347" s="18"/>
      <c r="N1347" s="18"/>
      <c r="O1347" s="18"/>
      <c r="P1347" s="18"/>
      <c r="Q1347" s="18"/>
      <c r="R1347" s="18"/>
      <c r="S1347" s="18"/>
      <c r="T1347" s="18"/>
      <c r="U1347" s="18"/>
      <c r="V1347" s="18"/>
      <c r="W1347" s="18"/>
      <c r="X1347" s="18"/>
      <c r="Y1347" s="18"/>
      <c r="Z1347" s="18"/>
      <c r="AA1347" s="18"/>
      <c r="AB1347" s="18"/>
      <c r="AC1347" s="18"/>
      <c r="AD1347" s="18"/>
      <c r="AE1347" s="18"/>
      <c r="AF1347" s="18"/>
      <c r="AG1347" s="18"/>
      <c r="AH1347" s="18"/>
      <c r="AI1347" s="18"/>
      <c r="AJ1347" s="18"/>
      <c r="AK1347" s="18"/>
      <c r="AL1347" s="18"/>
      <c r="AM1347" s="18"/>
      <c r="AN1347" s="18"/>
      <c r="AO1347" s="18"/>
      <c r="AP1347" s="18"/>
      <c r="AQ1347" s="18"/>
      <c r="AR1347" s="18"/>
      <c r="AS1347" s="18"/>
      <c r="AT1347" s="18"/>
      <c r="AU1347" s="18"/>
      <c r="AV1347" s="18"/>
      <c r="AW1347" s="18"/>
      <c r="AX1347" s="18"/>
      <c r="AY1347" s="18"/>
      <c r="AZ1347" s="18"/>
      <c r="BA1347" s="18"/>
      <c r="BB1347" s="18"/>
      <c r="BC1347" s="18"/>
      <c r="BD1347" s="18"/>
      <c r="BE1347" s="18"/>
      <c r="BF1347" s="18"/>
      <c r="BG1347" s="18"/>
      <c r="BH1347" s="18"/>
      <c r="BI1347" s="18"/>
      <c r="BJ1347" s="18"/>
      <c r="BK1347" s="18"/>
      <c r="BL1347" s="18"/>
      <c r="BM1347" s="18"/>
      <c r="BN1347" s="18"/>
      <c r="BO1347" s="18"/>
      <c r="BP1347" s="18"/>
      <c r="BQ1347" s="18"/>
      <c r="BR1347" s="18"/>
      <c r="BS1347" s="18"/>
      <c r="BT1347" s="18"/>
      <c r="BU1347" s="18"/>
      <c r="BV1347" s="18"/>
      <c r="BW1347" s="18"/>
      <c r="BX1347" s="18"/>
      <c r="BY1347" s="18"/>
      <c r="BZ1347" s="18"/>
      <c r="CA1347" s="18"/>
      <c r="CB1347" s="18"/>
      <c r="CC1347" s="18"/>
      <c r="CD1347" s="18"/>
      <c r="CE1347" s="18"/>
      <c r="CF1347" s="18"/>
      <c r="CG1347" s="18"/>
      <c r="CH1347" s="18"/>
      <c r="CI1347" s="18"/>
      <c r="CJ1347" s="18"/>
      <c r="CK1347" s="18"/>
      <c r="CL1347" s="18"/>
      <c r="CM1347" s="18"/>
      <c r="CN1347" s="18"/>
      <c r="CO1347" s="18"/>
      <c r="CP1347" s="18"/>
      <c r="CQ1347" s="18"/>
      <c r="CR1347" s="18"/>
      <c r="CS1347" s="18"/>
      <c r="CT1347" s="18"/>
      <c r="CU1347" s="18"/>
    </row>
    <row r="1348" spans="1:99">
      <c r="A1348" s="19"/>
      <c r="B1348" s="19"/>
      <c r="C1348" s="19"/>
      <c r="D1348" s="19"/>
      <c r="E1348" s="19"/>
      <c r="F1348" s="19"/>
      <c r="G1348" s="19"/>
      <c r="H1348" s="19"/>
      <c r="I1348" s="19"/>
      <c r="J1348" s="19"/>
      <c r="K1348" s="18"/>
      <c r="L1348" s="18"/>
      <c r="M1348" s="18"/>
      <c r="N1348" s="18"/>
      <c r="O1348" s="18"/>
      <c r="P1348" s="18"/>
      <c r="Q1348" s="18"/>
      <c r="R1348" s="18"/>
      <c r="S1348" s="18"/>
      <c r="T1348" s="18"/>
      <c r="U1348" s="18"/>
      <c r="V1348" s="18"/>
      <c r="W1348" s="18"/>
      <c r="X1348" s="18"/>
      <c r="Y1348" s="18"/>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c r="BC1348" s="18"/>
      <c r="BD1348" s="18"/>
      <c r="BE1348" s="18"/>
      <c r="BF1348" s="18"/>
      <c r="BG1348" s="18"/>
      <c r="BH1348" s="18"/>
      <c r="BI1348" s="18"/>
      <c r="BJ1348" s="18"/>
      <c r="BK1348" s="18"/>
      <c r="BL1348" s="18"/>
      <c r="BM1348" s="18"/>
      <c r="BN1348" s="18"/>
      <c r="BO1348" s="18"/>
      <c r="BP1348" s="18"/>
      <c r="BQ1348" s="18"/>
      <c r="BR1348" s="18"/>
      <c r="BS1348" s="18"/>
      <c r="BT1348" s="18"/>
      <c r="BU1348" s="18"/>
      <c r="BV1348" s="18"/>
      <c r="BW1348" s="18"/>
      <c r="BX1348" s="18"/>
      <c r="BY1348" s="18"/>
      <c r="BZ1348" s="18"/>
      <c r="CA1348" s="18"/>
      <c r="CB1348" s="18"/>
      <c r="CC1348" s="18"/>
      <c r="CD1348" s="18"/>
      <c r="CE1348" s="18"/>
      <c r="CF1348" s="18"/>
      <c r="CG1348" s="18"/>
      <c r="CH1348" s="18"/>
      <c r="CI1348" s="18"/>
      <c r="CJ1348" s="18"/>
      <c r="CK1348" s="18"/>
      <c r="CL1348" s="18"/>
      <c r="CM1348" s="18"/>
      <c r="CN1348" s="18"/>
      <c r="CO1348" s="18"/>
      <c r="CP1348" s="18"/>
      <c r="CQ1348" s="18"/>
      <c r="CR1348" s="18"/>
      <c r="CS1348" s="18"/>
      <c r="CT1348" s="18"/>
      <c r="CU1348" s="18"/>
    </row>
  </sheetData>
  <mergeCells count="8">
    <mergeCell ref="I45:J45"/>
    <mergeCell ref="A1:J1"/>
    <mergeCell ref="B7:I14"/>
    <mergeCell ref="B17:I26"/>
    <mergeCell ref="B2:I2"/>
    <mergeCell ref="B4:I4"/>
    <mergeCell ref="B5:I5"/>
    <mergeCell ref="C6:I6"/>
  </mergeCells>
  <phoneticPr fontId="18" type="noConversion"/>
  <pageMargins left="0.7" right="0.7" top="1" bottom="0.75" header="0.3" footer="0.3"/>
  <pageSetup scale="66" orientation="portrait" r:id="rId1"/>
  <headerFooter>
    <oddHeader>&amp;C&amp;G</oddHeader>
    <oddFooter>&amp;REUS0027V04</oddFooter>
  </headerFooter>
  <drawing r:id="rId2"/>
  <legacyDrawingHF r:id="rId3"/>
</worksheet>
</file>

<file path=xl/worksheets/sheet3.xml><?xml version="1.0" encoding="utf-8"?>
<worksheet xmlns="http://schemas.openxmlformats.org/spreadsheetml/2006/main" xmlns:r="http://schemas.openxmlformats.org/officeDocument/2006/relationships">
  <sheetPr codeName="Sheet2"/>
  <dimension ref="A1:HZ93"/>
  <sheetViews>
    <sheetView topLeftCell="A38" zoomScale="75" zoomScaleNormal="75" zoomScalePageLayoutView="50" workbookViewId="0">
      <selection activeCell="I57" sqref="I57"/>
    </sheetView>
  </sheetViews>
  <sheetFormatPr defaultColWidth="0" defaultRowHeight="12.75" zeroHeight="1"/>
  <cols>
    <col min="1" max="1" width="2.625" style="23" customWidth="1"/>
    <col min="2" max="3" width="21.625" style="24" customWidth="1"/>
    <col min="4" max="4" width="21.75" style="24" customWidth="1"/>
    <col min="5" max="6" width="11.875" style="24" customWidth="1"/>
    <col min="7" max="7" width="26.125" style="24" bestFit="1" customWidth="1"/>
    <col min="8" max="8" width="21.75" style="24" customWidth="1"/>
    <col min="9" max="9" width="20.875" style="24" customWidth="1"/>
    <col min="10" max="10" width="9.625" style="24" customWidth="1"/>
    <col min="11" max="11" width="12" style="24" customWidth="1"/>
    <col min="12" max="12" width="41.125" style="25" customWidth="1"/>
    <col min="13" max="13" width="13.375" style="63" hidden="1" customWidth="1"/>
    <col min="14" max="14" width="11.25" style="63" hidden="1" customWidth="1"/>
    <col min="15" max="15" width="17.375" style="63" hidden="1" customWidth="1"/>
    <col min="16" max="16" width="11.75" style="63" hidden="1" customWidth="1"/>
    <col min="17" max="17" width="14.75" style="63" hidden="1" customWidth="1"/>
    <col min="18" max="20" width="10.75" style="63" hidden="1" customWidth="1"/>
    <col min="21" max="21" width="13.125" style="63" hidden="1" customWidth="1"/>
    <col min="22" max="233" width="0.375" style="23" hidden="1" customWidth="1"/>
    <col min="234" max="234" width="0.25" style="23" hidden="1" customWidth="1"/>
    <col min="235" max="16384" width="0.375" style="23" hidden="1"/>
  </cols>
  <sheetData>
    <row r="1" spans="1:100" s="18" customFormat="1" ht="36.75" customHeight="1">
      <c r="A1" s="229" t="s">
        <v>116</v>
      </c>
      <c r="B1" s="229"/>
      <c r="C1" s="229"/>
      <c r="D1" s="229"/>
      <c r="E1" s="229"/>
      <c r="F1" s="229"/>
      <c r="G1" s="229"/>
      <c r="H1" s="229"/>
      <c r="I1" s="229"/>
      <c r="J1" s="229"/>
      <c r="K1" s="229"/>
      <c r="L1" s="19"/>
      <c r="M1" s="61"/>
      <c r="N1" s="61"/>
      <c r="O1" s="61"/>
      <c r="P1" s="61"/>
      <c r="Q1" s="61"/>
      <c r="R1" s="61"/>
      <c r="S1" s="61"/>
      <c r="T1" s="61"/>
      <c r="U1" s="61"/>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row>
    <row r="2" spans="1:100" s="37" customFormat="1" ht="24.75" customHeight="1">
      <c r="B2" s="52"/>
      <c r="C2" s="52"/>
      <c r="D2" s="52"/>
      <c r="E2" s="52"/>
      <c r="F2" s="52"/>
      <c r="G2" s="52"/>
      <c r="H2" s="52"/>
      <c r="I2" s="52"/>
      <c r="J2" s="52"/>
      <c r="K2" s="52"/>
      <c r="L2" s="38"/>
      <c r="M2" s="237"/>
      <c r="N2" s="237"/>
      <c r="O2" s="237"/>
      <c r="P2" s="237"/>
      <c r="Q2" s="237"/>
      <c r="R2" s="237"/>
      <c r="S2" s="237"/>
      <c r="T2" s="237"/>
      <c r="U2" s="62"/>
    </row>
    <row r="3" spans="1:100" s="69" customFormat="1" ht="60.75" customHeight="1">
      <c r="A3" s="233" t="s">
        <v>132</v>
      </c>
      <c r="B3" s="233"/>
      <c r="C3" s="233"/>
      <c r="D3" s="233"/>
      <c r="E3" s="233"/>
      <c r="F3" s="233"/>
      <c r="G3" s="233"/>
      <c r="H3" s="233"/>
      <c r="I3" s="233"/>
      <c r="J3" s="233"/>
      <c r="K3" s="233"/>
      <c r="L3" s="67"/>
      <c r="M3" s="237"/>
      <c r="N3" s="237"/>
      <c r="O3" s="237"/>
      <c r="P3" s="237"/>
      <c r="Q3" s="237"/>
      <c r="R3" s="237"/>
      <c r="S3" s="237"/>
      <c r="T3" s="237"/>
      <c r="U3" s="68"/>
    </row>
    <row r="4" spans="1:100" s="69" customFormat="1" ht="20.25">
      <c r="B4" s="70"/>
      <c r="C4" s="70"/>
      <c r="D4" s="70"/>
      <c r="E4" s="70"/>
      <c r="F4" s="70"/>
      <c r="G4" s="70"/>
      <c r="H4" s="70"/>
      <c r="I4" s="70"/>
      <c r="J4" s="70"/>
      <c r="K4" s="70"/>
      <c r="L4" s="67"/>
      <c r="M4" s="68"/>
      <c r="N4" s="68"/>
      <c r="O4" s="68"/>
      <c r="P4" s="68"/>
      <c r="Q4" s="68"/>
      <c r="R4" s="68"/>
      <c r="S4" s="68"/>
      <c r="T4" s="68"/>
      <c r="U4" s="68"/>
    </row>
    <row r="5" spans="1:100" s="69" customFormat="1" ht="20.25">
      <c r="B5" s="70"/>
      <c r="C5" s="70"/>
      <c r="D5" s="70"/>
      <c r="E5" s="70"/>
      <c r="F5" s="70"/>
      <c r="G5" s="70"/>
      <c r="H5" s="70"/>
      <c r="I5" s="70"/>
      <c r="J5" s="70"/>
      <c r="K5" s="70"/>
      <c r="L5" s="67"/>
      <c r="M5" s="68"/>
      <c r="N5" s="68"/>
      <c r="O5" s="68"/>
      <c r="P5" s="68"/>
      <c r="Q5" s="68"/>
      <c r="R5" s="68"/>
      <c r="S5" s="68"/>
      <c r="T5" s="68"/>
      <c r="U5" s="68"/>
    </row>
    <row r="6" spans="1:100" s="69" customFormat="1" ht="20.25">
      <c r="B6" s="71" t="s">
        <v>83</v>
      </c>
      <c r="C6" s="70"/>
      <c r="D6" s="70"/>
      <c r="E6" s="70"/>
      <c r="F6" s="70"/>
      <c r="G6" s="70"/>
      <c r="H6" s="70"/>
      <c r="I6" s="70"/>
      <c r="J6" s="70"/>
      <c r="K6" s="70"/>
      <c r="L6" s="67"/>
      <c r="M6" s="72"/>
      <c r="N6" s="68"/>
      <c r="O6" s="68"/>
      <c r="P6" s="68"/>
      <c r="Q6" s="68"/>
      <c r="R6" s="68"/>
      <c r="S6" s="68"/>
      <c r="T6" s="68"/>
      <c r="U6" s="68"/>
    </row>
    <row r="7" spans="1:100" s="69" customFormat="1" ht="20.25">
      <c r="B7" s="70"/>
      <c r="C7" s="70"/>
      <c r="D7" s="70"/>
      <c r="E7" s="70"/>
      <c r="F7" s="70"/>
      <c r="G7" s="70"/>
      <c r="H7" s="70"/>
      <c r="I7" s="70"/>
      <c r="J7" s="70"/>
      <c r="K7" s="70"/>
      <c r="L7" s="67"/>
      <c r="M7" s="68"/>
      <c r="N7" s="68"/>
      <c r="O7" s="68"/>
      <c r="P7" s="68"/>
      <c r="Q7" s="68"/>
      <c r="R7" s="68"/>
      <c r="S7" s="68"/>
      <c r="T7" s="68"/>
      <c r="U7" s="68"/>
    </row>
    <row r="8" spans="1:100" s="69" customFormat="1" ht="20.25">
      <c r="B8" s="73" t="s">
        <v>96</v>
      </c>
      <c r="C8" s="74" t="s">
        <v>97</v>
      </c>
      <c r="D8" s="74" t="s">
        <v>28</v>
      </c>
      <c r="E8" s="75"/>
      <c r="F8" s="76"/>
      <c r="G8" s="73" t="s">
        <v>56</v>
      </c>
      <c r="H8" s="74" t="s">
        <v>97</v>
      </c>
      <c r="I8" s="77" t="s">
        <v>28</v>
      </c>
      <c r="J8" s="77"/>
      <c r="K8" s="70"/>
      <c r="L8" s="67"/>
      <c r="M8" s="78"/>
      <c r="N8" s="79"/>
      <c r="O8" s="79"/>
      <c r="P8" s="79"/>
      <c r="Q8" s="78"/>
      <c r="R8" s="79"/>
      <c r="S8" s="78"/>
      <c r="T8" s="68"/>
      <c r="U8" s="68"/>
    </row>
    <row r="9" spans="1:100" s="69" customFormat="1" ht="20.25">
      <c r="B9" s="111" t="s">
        <v>87</v>
      </c>
      <c r="C9" s="80"/>
      <c r="D9" s="81">
        <v>0</v>
      </c>
      <c r="E9" s="82"/>
      <c r="F9" s="83"/>
      <c r="G9" s="165" t="s">
        <v>63</v>
      </c>
      <c r="H9" s="80"/>
      <c r="I9" s="81">
        <v>0</v>
      </c>
      <c r="J9" s="84"/>
      <c r="K9" s="70"/>
      <c r="L9" s="67"/>
      <c r="M9" s="68"/>
      <c r="N9" s="85"/>
      <c r="O9" s="86"/>
      <c r="P9" s="85"/>
      <c r="Q9" s="68"/>
      <c r="R9" s="85"/>
      <c r="S9" s="86"/>
      <c r="T9" s="68"/>
      <c r="U9" s="68"/>
    </row>
    <row r="10" spans="1:100" s="69" customFormat="1" ht="20.25">
      <c r="B10" s="111" t="s">
        <v>61</v>
      </c>
      <c r="C10" s="80"/>
      <c r="D10" s="81">
        <v>0</v>
      </c>
      <c r="E10" s="82"/>
      <c r="F10" s="83"/>
      <c r="G10" s="111" t="s">
        <v>73</v>
      </c>
      <c r="H10" s="80"/>
      <c r="I10" s="81">
        <v>0</v>
      </c>
      <c r="J10" s="84"/>
      <c r="K10" s="70"/>
      <c r="L10" s="67"/>
      <c r="M10" s="68"/>
      <c r="N10" s="85"/>
      <c r="O10" s="86"/>
      <c r="P10" s="85"/>
      <c r="Q10" s="68"/>
      <c r="R10" s="85"/>
      <c r="S10" s="86"/>
      <c r="T10" s="68"/>
      <c r="U10" s="68"/>
    </row>
    <row r="11" spans="1:100" s="69" customFormat="1" ht="20.25">
      <c r="B11" s="111" t="s">
        <v>135</v>
      </c>
      <c r="C11" s="80"/>
      <c r="D11" s="81">
        <v>0</v>
      </c>
      <c r="E11" s="82"/>
      <c r="F11" s="83"/>
      <c r="G11" s="111" t="s">
        <v>72</v>
      </c>
      <c r="H11" s="80"/>
      <c r="I11" s="81">
        <v>0</v>
      </c>
      <c r="J11" s="84"/>
      <c r="K11" s="70"/>
      <c r="L11" s="67"/>
      <c r="M11" s="68"/>
      <c r="N11" s="85"/>
      <c r="O11" s="86"/>
      <c r="P11" s="85"/>
      <c r="Q11" s="68"/>
      <c r="R11" s="85"/>
      <c r="S11" s="86"/>
      <c r="T11" s="68"/>
      <c r="U11" s="68"/>
    </row>
    <row r="12" spans="1:100" s="69" customFormat="1" ht="20.25">
      <c r="B12" s="70"/>
      <c r="C12" s="87"/>
      <c r="D12" s="82"/>
      <c r="E12" s="82"/>
      <c r="F12" s="247" t="s">
        <v>134</v>
      </c>
      <c r="G12" s="247"/>
      <c r="H12" s="80"/>
      <c r="I12" s="81">
        <v>0</v>
      </c>
      <c r="J12" s="84"/>
      <c r="K12" s="70"/>
      <c r="L12" s="67"/>
      <c r="M12" s="68"/>
      <c r="N12" s="85"/>
      <c r="O12" s="86"/>
      <c r="P12" s="85"/>
      <c r="Q12" s="68"/>
      <c r="R12" s="85"/>
      <c r="S12" s="86"/>
      <c r="T12" s="68"/>
      <c r="U12" s="68"/>
    </row>
    <row r="13" spans="1:100" s="69" customFormat="1" ht="20.25">
      <c r="B13" s="70" t="s">
        <v>47</v>
      </c>
      <c r="C13" s="90">
        <v>0</v>
      </c>
      <c r="D13" s="82" t="s">
        <v>115</v>
      </c>
      <c r="E13" s="82"/>
      <c r="F13" s="88"/>
      <c r="G13" s="89"/>
      <c r="H13" s="87"/>
      <c r="I13" s="82"/>
      <c r="J13" s="82"/>
      <c r="K13" s="70"/>
      <c r="L13" s="67"/>
      <c r="M13" s="91"/>
      <c r="N13" s="92"/>
      <c r="O13" s="86"/>
      <c r="P13" s="85"/>
      <c r="Q13" s="68"/>
      <c r="R13" s="85"/>
      <c r="S13" s="86"/>
      <c r="T13" s="68"/>
      <c r="U13" s="68"/>
    </row>
    <row r="14" spans="1:100" s="69" customFormat="1" ht="20.25">
      <c r="B14" s="70"/>
      <c r="C14" s="70"/>
      <c r="D14" s="70"/>
      <c r="E14" s="70"/>
      <c r="F14" s="70"/>
      <c r="G14" s="70"/>
      <c r="H14" s="70"/>
      <c r="I14" s="70"/>
      <c r="J14" s="70"/>
      <c r="K14" s="70"/>
      <c r="L14" s="67"/>
      <c r="M14" s="68"/>
      <c r="N14" s="68"/>
      <c r="O14" s="68"/>
      <c r="P14" s="68"/>
      <c r="Q14" s="68"/>
      <c r="R14" s="68"/>
      <c r="S14" s="68"/>
      <c r="T14" s="68"/>
      <c r="U14" s="68"/>
    </row>
    <row r="15" spans="1:100" s="69" customFormat="1" ht="20.25">
      <c r="B15" s="70"/>
      <c r="C15" s="70"/>
      <c r="D15" s="70"/>
      <c r="E15" s="70"/>
      <c r="F15" s="70"/>
      <c r="G15" s="93"/>
      <c r="H15" s="70"/>
      <c r="I15" s="70"/>
      <c r="J15" s="70"/>
      <c r="K15" s="70"/>
      <c r="L15" s="67"/>
      <c r="M15" s="68"/>
      <c r="N15" s="68"/>
      <c r="O15" s="68"/>
      <c r="P15" s="68"/>
      <c r="Q15" s="68"/>
      <c r="R15" s="68"/>
      <c r="S15" s="68"/>
      <c r="T15" s="68"/>
      <c r="U15" s="68"/>
    </row>
    <row r="16" spans="1:100" s="69" customFormat="1" ht="20.25">
      <c r="B16" s="239" t="s">
        <v>99</v>
      </c>
      <c r="C16" s="240"/>
      <c r="D16" s="240"/>
      <c r="E16" s="70"/>
      <c r="F16" s="70"/>
      <c r="G16" s="93"/>
      <c r="H16" s="70"/>
      <c r="I16" s="70"/>
      <c r="J16" s="70"/>
      <c r="K16" s="70"/>
      <c r="L16" s="67"/>
      <c r="M16" s="238"/>
      <c r="N16" s="234"/>
      <c r="O16" s="234"/>
      <c r="P16" s="68"/>
      <c r="Q16" s="68"/>
      <c r="R16" s="68"/>
      <c r="S16" s="68"/>
      <c r="T16" s="68"/>
      <c r="U16" s="68"/>
    </row>
    <row r="17" spans="2:21" s="69" customFormat="1" ht="20.25">
      <c r="B17" s="70"/>
      <c r="C17" s="70"/>
      <c r="D17" s="70"/>
      <c r="E17" s="70"/>
      <c r="F17" s="70"/>
      <c r="G17" s="93"/>
      <c r="H17" s="70"/>
      <c r="I17" s="94"/>
      <c r="J17" s="94"/>
      <c r="K17" s="70"/>
      <c r="L17" s="67"/>
      <c r="M17" s="68"/>
      <c r="N17" s="68"/>
      <c r="O17" s="68"/>
      <c r="P17" s="68"/>
      <c r="Q17" s="68"/>
      <c r="R17" s="68"/>
      <c r="S17" s="68"/>
      <c r="T17" s="68"/>
      <c r="U17" s="68"/>
    </row>
    <row r="18" spans="2:21" s="69" customFormat="1" ht="20.25">
      <c r="B18" s="70" t="s">
        <v>108</v>
      </c>
      <c r="C18" s="70"/>
      <c r="D18" s="70"/>
      <c r="E18" s="70"/>
      <c r="F18" s="70"/>
      <c r="G18" s="95" t="s">
        <v>114</v>
      </c>
      <c r="H18" s="70"/>
      <c r="I18" s="94"/>
      <c r="J18" s="94"/>
      <c r="K18" s="70"/>
      <c r="L18" s="67"/>
      <c r="M18" s="68"/>
      <c r="N18" s="68"/>
      <c r="O18" s="68"/>
      <c r="P18" s="68"/>
      <c r="Q18" s="68"/>
      <c r="R18" s="68"/>
      <c r="S18" s="68"/>
      <c r="T18" s="68"/>
      <c r="U18" s="68"/>
    </row>
    <row r="19" spans="2:21" s="69" customFormat="1" ht="20.25">
      <c r="B19" s="240" t="s">
        <v>102</v>
      </c>
      <c r="C19" s="240"/>
      <c r="D19" s="240"/>
      <c r="E19" s="240"/>
      <c r="F19" s="240"/>
      <c r="G19" s="96">
        <v>2</v>
      </c>
      <c r="H19" s="97" t="s">
        <v>91</v>
      </c>
      <c r="I19" s="70"/>
      <c r="J19" s="70"/>
      <c r="K19" s="70"/>
      <c r="L19" s="67"/>
      <c r="M19" s="68"/>
      <c r="N19" s="68"/>
      <c r="O19" s="68"/>
      <c r="P19" s="68"/>
      <c r="Q19" s="68"/>
      <c r="R19" s="68"/>
      <c r="S19" s="68"/>
      <c r="T19" s="68"/>
      <c r="U19" s="68"/>
    </row>
    <row r="20" spans="2:21" s="69" customFormat="1" ht="20.25">
      <c r="B20" s="240" t="s">
        <v>57</v>
      </c>
      <c r="C20" s="240"/>
      <c r="D20" s="240"/>
      <c r="E20" s="240"/>
      <c r="F20" s="240"/>
      <c r="G20" s="96">
        <v>240</v>
      </c>
      <c r="H20" s="70"/>
      <c r="I20" s="70"/>
      <c r="J20" s="70"/>
      <c r="K20" s="70"/>
      <c r="L20" s="67"/>
      <c r="M20" s="234"/>
      <c r="N20" s="234"/>
      <c r="O20" s="234"/>
      <c r="P20" s="234"/>
      <c r="Q20" s="68"/>
      <c r="R20" s="68"/>
      <c r="S20" s="68"/>
      <c r="T20" s="68"/>
      <c r="U20" s="68"/>
    </row>
    <row r="21" spans="2:21" s="69" customFormat="1" ht="20.25">
      <c r="B21" s="240" t="s">
        <v>58</v>
      </c>
      <c r="C21" s="240"/>
      <c r="D21" s="240"/>
      <c r="E21" s="240"/>
      <c r="F21" s="240"/>
      <c r="G21" s="98">
        <v>0.1</v>
      </c>
      <c r="H21" s="70"/>
      <c r="I21" s="70"/>
      <c r="J21" s="70"/>
      <c r="K21" s="70"/>
      <c r="L21" s="67"/>
      <c r="M21" s="234"/>
      <c r="N21" s="234"/>
      <c r="O21" s="234"/>
      <c r="P21" s="234"/>
      <c r="Q21" s="99"/>
      <c r="R21" s="68"/>
      <c r="S21" s="68"/>
      <c r="T21" s="68"/>
      <c r="U21" s="68"/>
    </row>
    <row r="22" spans="2:21" s="69" customFormat="1" ht="20.25">
      <c r="B22" s="70"/>
      <c r="C22" s="70"/>
      <c r="D22" s="70"/>
      <c r="E22" s="70"/>
      <c r="F22" s="70"/>
      <c r="G22" s="70"/>
      <c r="H22" s="70"/>
      <c r="I22" s="70"/>
      <c r="J22" s="70"/>
      <c r="K22" s="70"/>
      <c r="L22" s="67"/>
      <c r="M22" s="68"/>
      <c r="N22" s="68"/>
      <c r="O22" s="68"/>
      <c r="P22" s="68"/>
      <c r="Q22" s="68"/>
      <c r="R22" s="68"/>
      <c r="S22" s="68"/>
      <c r="T22" s="68"/>
      <c r="U22" s="68"/>
    </row>
    <row r="23" spans="2:21" s="69" customFormat="1" ht="20.25">
      <c r="B23" s="70"/>
      <c r="C23" s="70"/>
      <c r="D23" s="70"/>
      <c r="E23" s="70"/>
      <c r="F23" s="70"/>
      <c r="G23" s="93"/>
      <c r="H23" s="70"/>
      <c r="I23" s="70"/>
      <c r="J23" s="70"/>
      <c r="K23" s="70"/>
      <c r="L23" s="67"/>
      <c r="M23" s="68"/>
      <c r="N23" s="68"/>
      <c r="O23" s="68"/>
      <c r="P23" s="68"/>
      <c r="Q23" s="68"/>
      <c r="R23" s="68"/>
      <c r="S23" s="68"/>
      <c r="T23" s="68"/>
      <c r="U23" s="68"/>
    </row>
    <row r="24" spans="2:21" s="69" customFormat="1" ht="20.25">
      <c r="B24" s="71" t="s">
        <v>81</v>
      </c>
      <c r="C24" s="70"/>
      <c r="D24" s="70"/>
      <c r="E24" s="70"/>
      <c r="F24" s="70"/>
      <c r="G24" s="93"/>
      <c r="H24" s="70"/>
      <c r="I24" s="70"/>
      <c r="J24" s="70"/>
      <c r="K24" s="70"/>
      <c r="L24" s="67"/>
      <c r="M24" s="72"/>
      <c r="N24" s="68"/>
      <c r="O24" s="68"/>
      <c r="P24" s="68"/>
      <c r="Q24" s="68"/>
      <c r="R24" s="68"/>
      <c r="S24" s="68"/>
      <c r="T24" s="68"/>
      <c r="U24" s="68"/>
    </row>
    <row r="25" spans="2:21" s="69" customFormat="1" ht="20.25">
      <c r="B25" s="70"/>
      <c r="C25" s="70"/>
      <c r="D25" s="70"/>
      <c r="E25" s="70"/>
      <c r="F25" s="70"/>
      <c r="G25" s="93"/>
      <c r="H25" s="70"/>
      <c r="I25" s="70"/>
      <c r="J25" s="70"/>
      <c r="K25" s="70"/>
      <c r="L25" s="67"/>
      <c r="M25" s="68"/>
      <c r="N25" s="68"/>
      <c r="O25" s="68"/>
      <c r="P25" s="68"/>
      <c r="Q25" s="68"/>
      <c r="R25" s="68"/>
      <c r="S25" s="68"/>
      <c r="T25" s="68"/>
      <c r="U25" s="68"/>
    </row>
    <row r="26" spans="2:21" s="69" customFormat="1" ht="20.25">
      <c r="B26" s="240" t="s">
        <v>109</v>
      </c>
      <c r="C26" s="240"/>
      <c r="D26" s="240"/>
      <c r="E26" s="240"/>
      <c r="F26" s="240"/>
      <c r="G26" s="95" t="s">
        <v>90</v>
      </c>
      <c r="H26" s="70"/>
      <c r="I26" s="70"/>
      <c r="J26" s="70"/>
      <c r="K26" s="70"/>
      <c r="L26" s="67"/>
      <c r="M26" s="68"/>
      <c r="N26" s="68"/>
      <c r="O26" s="68"/>
      <c r="P26" s="68"/>
      <c r="Q26" s="100"/>
      <c r="R26" s="68"/>
      <c r="S26" s="68"/>
      <c r="T26" s="68"/>
      <c r="U26" s="68"/>
    </row>
    <row r="27" spans="2:21" s="69" customFormat="1" ht="20.25">
      <c r="B27" s="240" t="s">
        <v>89</v>
      </c>
      <c r="C27" s="240"/>
      <c r="D27" s="70"/>
      <c r="E27" s="70"/>
      <c r="F27" s="70"/>
      <c r="G27" s="205">
        <f>IF(G26="No",105,IF(G26="Yes",296))</f>
        <v>296</v>
      </c>
      <c r="H27" s="97" t="s">
        <v>91</v>
      </c>
      <c r="I27" s="70"/>
      <c r="J27" s="70"/>
      <c r="K27" s="70"/>
      <c r="L27" s="67"/>
      <c r="M27" s="68"/>
      <c r="N27" s="68"/>
      <c r="O27" s="68"/>
      <c r="P27" s="68"/>
      <c r="Q27" s="102"/>
      <c r="R27" s="103"/>
      <c r="S27" s="68"/>
      <c r="T27" s="68"/>
      <c r="U27" s="68"/>
    </row>
    <row r="28" spans="2:21" s="69" customFormat="1" ht="20.25">
      <c r="B28" s="70" t="s">
        <v>0</v>
      </c>
      <c r="C28" s="70"/>
      <c r="D28" s="70"/>
      <c r="E28" s="70"/>
      <c r="F28" s="70"/>
      <c r="G28" s="104">
        <v>15000</v>
      </c>
      <c r="H28" s="97" t="s">
        <v>91</v>
      </c>
      <c r="I28" s="164" t="s">
        <v>133</v>
      </c>
      <c r="J28" s="70"/>
      <c r="K28" s="70"/>
      <c r="L28" s="67"/>
      <c r="M28" s="68"/>
      <c r="N28" s="68"/>
      <c r="O28" s="68"/>
      <c r="P28" s="68"/>
      <c r="Q28" s="100"/>
      <c r="R28" s="68"/>
      <c r="S28" s="68"/>
      <c r="T28" s="68"/>
      <c r="U28" s="68"/>
    </row>
    <row r="29" spans="2:21" s="69" customFormat="1" ht="20.25">
      <c r="B29" s="70" t="s">
        <v>71</v>
      </c>
      <c r="C29" s="70"/>
      <c r="D29" s="70"/>
      <c r="E29" s="70"/>
      <c r="F29" s="70"/>
      <c r="G29" s="105">
        <f>180-SUM(180*0.35)</f>
        <v>117</v>
      </c>
      <c r="H29" s="97" t="s">
        <v>91</v>
      </c>
      <c r="I29" s="70"/>
      <c r="J29" s="70"/>
      <c r="K29" s="70"/>
      <c r="L29" s="67"/>
      <c r="M29" s="68"/>
      <c r="N29" s="68"/>
      <c r="O29" s="68"/>
      <c r="P29" s="68"/>
      <c r="Q29" s="106"/>
      <c r="R29" s="103"/>
      <c r="S29" s="68"/>
      <c r="T29" s="68"/>
      <c r="U29" s="68"/>
    </row>
    <row r="30" spans="2:21" s="69" customFormat="1" ht="20.25">
      <c r="B30" s="240" t="s">
        <v>103</v>
      </c>
      <c r="C30" s="240"/>
      <c r="D30" s="240"/>
      <c r="E30" s="240"/>
      <c r="F30" s="240"/>
      <c r="G30" s="105">
        <v>0</v>
      </c>
      <c r="H30" s="97" t="s">
        <v>91</v>
      </c>
      <c r="I30" s="107"/>
      <c r="J30" s="70"/>
      <c r="K30" s="70"/>
      <c r="L30" s="67"/>
      <c r="M30" s="234"/>
      <c r="N30" s="234"/>
      <c r="O30" s="234"/>
      <c r="P30" s="234"/>
      <c r="Q30" s="106"/>
      <c r="R30" s="103"/>
      <c r="S30" s="68"/>
      <c r="T30" s="68"/>
      <c r="U30" s="68"/>
    </row>
    <row r="31" spans="2:21" s="69" customFormat="1" ht="20.25">
      <c r="B31" s="70"/>
      <c r="C31" s="70"/>
      <c r="D31" s="70"/>
      <c r="E31" s="70"/>
      <c r="F31" s="70"/>
      <c r="G31" s="70"/>
      <c r="H31" s="70"/>
      <c r="I31" s="70"/>
      <c r="J31" s="70"/>
      <c r="K31" s="70"/>
      <c r="L31" s="67"/>
      <c r="M31" s="68"/>
      <c r="N31" s="68"/>
      <c r="O31" s="68"/>
      <c r="P31" s="68"/>
      <c r="Q31" s="68"/>
      <c r="R31" s="68"/>
      <c r="S31" s="68"/>
      <c r="T31" s="68"/>
      <c r="U31" s="68"/>
    </row>
    <row r="32" spans="2:21" s="69" customFormat="1" ht="20.25">
      <c r="B32" s="70"/>
      <c r="C32" s="70"/>
      <c r="D32" s="70"/>
      <c r="E32" s="70"/>
      <c r="F32" s="70"/>
      <c r="G32" s="93"/>
      <c r="H32" s="70"/>
      <c r="I32" s="70"/>
      <c r="J32" s="70"/>
      <c r="K32" s="70"/>
      <c r="L32" s="67"/>
      <c r="M32" s="68"/>
      <c r="N32" s="68"/>
      <c r="O32" s="68"/>
      <c r="P32" s="68"/>
      <c r="Q32" s="68"/>
      <c r="R32" s="68"/>
      <c r="S32" s="68"/>
      <c r="T32" s="68"/>
      <c r="U32" s="68"/>
    </row>
    <row r="33" spans="2:21" s="69" customFormat="1" ht="20.25">
      <c r="B33" s="71" t="s">
        <v>67</v>
      </c>
      <c r="C33" s="70"/>
      <c r="D33" s="70"/>
      <c r="E33" s="70"/>
      <c r="F33" s="70"/>
      <c r="G33" s="93"/>
      <c r="H33" s="70"/>
      <c r="I33" s="70"/>
      <c r="J33" s="70"/>
      <c r="K33" s="70"/>
      <c r="L33" s="67"/>
      <c r="M33" s="72"/>
      <c r="N33" s="68"/>
      <c r="O33" s="68"/>
      <c r="P33" s="68"/>
      <c r="Q33" s="68"/>
      <c r="R33" s="68"/>
      <c r="S33" s="68"/>
      <c r="T33" s="68"/>
      <c r="U33" s="68"/>
    </row>
    <row r="34" spans="2:21" s="69" customFormat="1" ht="20.25">
      <c r="B34" s="70"/>
      <c r="C34" s="70"/>
      <c r="D34" s="70"/>
      <c r="E34" s="70"/>
      <c r="F34" s="70"/>
      <c r="G34" s="93"/>
      <c r="H34" s="70"/>
      <c r="I34" s="70"/>
      <c r="J34" s="70"/>
      <c r="K34" s="70"/>
      <c r="L34" s="67"/>
      <c r="M34" s="68"/>
      <c r="N34" s="68"/>
      <c r="O34" s="68"/>
      <c r="P34" s="68"/>
      <c r="Q34" s="68"/>
      <c r="R34" s="68"/>
      <c r="S34" s="68"/>
      <c r="T34" s="68"/>
      <c r="U34" s="68"/>
    </row>
    <row r="35" spans="2:21" s="69" customFormat="1" ht="20.25">
      <c r="B35" s="240" t="s">
        <v>104</v>
      </c>
      <c r="C35" s="240"/>
      <c r="D35" s="240"/>
      <c r="E35" s="240"/>
      <c r="F35" s="240"/>
      <c r="G35" s="98">
        <v>0.3</v>
      </c>
      <c r="H35" s="108" t="s">
        <v>91</v>
      </c>
      <c r="I35" s="70"/>
      <c r="J35" s="70"/>
      <c r="K35" s="70"/>
      <c r="L35" s="67"/>
      <c r="M35" s="234"/>
      <c r="N35" s="234"/>
      <c r="O35" s="234"/>
      <c r="P35" s="234"/>
      <c r="Q35" s="99"/>
      <c r="R35" s="68"/>
      <c r="S35" s="68"/>
      <c r="T35" s="68"/>
      <c r="U35" s="68"/>
    </row>
    <row r="36" spans="2:21" s="69" customFormat="1" ht="20.25">
      <c r="B36" s="70" t="s">
        <v>22</v>
      </c>
      <c r="C36" s="70"/>
      <c r="D36" s="70"/>
      <c r="E36" s="70"/>
      <c r="F36" s="70"/>
      <c r="G36" s="98">
        <v>0.7</v>
      </c>
      <c r="H36" s="108" t="s">
        <v>91</v>
      </c>
      <c r="I36" s="70"/>
      <c r="J36" s="70"/>
      <c r="K36" s="70"/>
      <c r="L36" s="67"/>
      <c r="M36" s="68"/>
      <c r="N36" s="68"/>
      <c r="O36" s="68"/>
      <c r="P36" s="68"/>
      <c r="Q36" s="99"/>
      <c r="R36" s="68"/>
      <c r="S36" s="68"/>
      <c r="T36" s="68"/>
      <c r="U36" s="68"/>
    </row>
    <row r="37" spans="2:21" s="69" customFormat="1" ht="20.25">
      <c r="B37" s="70" t="s">
        <v>62</v>
      </c>
      <c r="C37" s="70"/>
      <c r="D37" s="70"/>
      <c r="E37" s="70"/>
      <c r="F37" s="70"/>
      <c r="G37" s="109">
        <f>IF(G18="Hospital",Reimbursements!I11,IF(G18="ASC",Reimbursements!J9))</f>
        <v>927</v>
      </c>
      <c r="H37" s="110" t="s">
        <v>91</v>
      </c>
      <c r="I37" s="70"/>
      <c r="J37" s="70"/>
      <c r="K37" s="70"/>
      <c r="L37" s="67"/>
      <c r="M37" s="68"/>
      <c r="N37" s="68"/>
      <c r="O37" s="68"/>
      <c r="P37" s="68"/>
      <c r="Q37" s="106"/>
      <c r="R37" s="103"/>
      <c r="S37" s="68"/>
      <c r="T37" s="68"/>
      <c r="U37" s="68"/>
    </row>
    <row r="38" spans="2:21" s="69" customFormat="1" ht="20.25">
      <c r="B38" s="70" t="s">
        <v>105</v>
      </c>
      <c r="C38" s="70"/>
      <c r="D38" s="70"/>
      <c r="E38" s="70"/>
      <c r="F38" s="70"/>
      <c r="G38" s="109">
        <f>G37*1.1</f>
        <v>1019.7</v>
      </c>
      <c r="H38" s="97" t="s">
        <v>91</v>
      </c>
      <c r="I38" s="70"/>
      <c r="J38" s="70"/>
      <c r="K38" s="70"/>
      <c r="L38" s="67"/>
      <c r="M38" s="68"/>
      <c r="N38" s="68"/>
      <c r="O38" s="68"/>
      <c r="P38" s="68"/>
      <c r="Q38" s="106"/>
      <c r="R38" s="103"/>
      <c r="S38" s="68"/>
      <c r="T38" s="68"/>
      <c r="U38" s="68"/>
    </row>
    <row r="39" spans="2:21" s="69" customFormat="1" ht="20.25">
      <c r="B39" s="70" t="s">
        <v>88</v>
      </c>
      <c r="C39" s="70"/>
      <c r="D39" s="70"/>
      <c r="E39" s="70"/>
      <c r="F39" s="70"/>
      <c r="G39" s="101">
        <f>IF(G26="Yes",Assumptions!E19,IF(G26="No",0))</f>
        <v>428</v>
      </c>
      <c r="H39" s="110" t="s">
        <v>91</v>
      </c>
      <c r="I39" s="70"/>
      <c r="J39" s="70"/>
      <c r="K39" s="70"/>
      <c r="L39" s="67"/>
      <c r="M39" s="68"/>
      <c r="N39" s="68"/>
      <c r="O39" s="68"/>
      <c r="P39" s="68"/>
      <c r="Q39" s="102"/>
      <c r="R39" s="103"/>
      <c r="S39" s="68"/>
      <c r="T39" s="68"/>
      <c r="U39" s="68"/>
    </row>
    <row r="40" spans="2:21" s="69" customFormat="1" ht="20.25">
      <c r="B40" s="240" t="s">
        <v>80</v>
      </c>
      <c r="C40" s="240"/>
      <c r="D40" s="240"/>
      <c r="E40" s="240"/>
      <c r="F40" s="240"/>
      <c r="G40" s="95" t="s">
        <v>90</v>
      </c>
      <c r="H40" s="97" t="s">
        <v>91</v>
      </c>
      <c r="I40" s="70"/>
      <c r="J40" s="70"/>
      <c r="K40" s="70"/>
      <c r="L40" s="67"/>
      <c r="M40" s="234"/>
      <c r="N40" s="234"/>
      <c r="O40" s="234"/>
      <c r="P40" s="234"/>
      <c r="Q40" s="100"/>
      <c r="R40" s="103"/>
      <c r="S40" s="68"/>
      <c r="T40" s="68"/>
      <c r="U40" s="68"/>
    </row>
    <row r="41" spans="2:21" s="69" customFormat="1" ht="20.25">
      <c r="B41" s="70" t="s">
        <v>106</v>
      </c>
      <c r="C41" s="70"/>
      <c r="D41" s="70"/>
      <c r="E41" s="70"/>
      <c r="F41" s="70"/>
      <c r="G41" s="101">
        <f>IF(G40="Yes",Assumptions!E21,IF(G40="No",0))</f>
        <v>110</v>
      </c>
      <c r="H41" s="97" t="s">
        <v>91</v>
      </c>
      <c r="I41" s="70"/>
      <c r="J41" s="70"/>
      <c r="K41" s="70"/>
      <c r="L41" s="67"/>
      <c r="M41" s="166"/>
      <c r="N41" s="68"/>
      <c r="O41" s="68"/>
      <c r="P41" s="68"/>
      <c r="Q41" s="102"/>
      <c r="R41" s="103"/>
      <c r="S41" s="68"/>
      <c r="T41" s="68"/>
      <c r="U41" s="68"/>
    </row>
    <row r="42" spans="2:21" s="69" customFormat="1" ht="20.25">
      <c r="B42" s="70"/>
      <c r="C42" s="70"/>
      <c r="D42" s="70"/>
      <c r="E42" s="70"/>
      <c r="F42" s="111"/>
      <c r="G42" s="70"/>
      <c r="H42" s="70"/>
      <c r="I42" s="70"/>
      <c r="J42" s="70"/>
      <c r="K42" s="70"/>
      <c r="L42" s="67"/>
      <c r="M42" s="68"/>
      <c r="N42" s="68"/>
      <c r="O42" s="68"/>
      <c r="P42" s="100"/>
      <c r="Q42" s="68"/>
      <c r="R42" s="68"/>
      <c r="S42" s="68"/>
      <c r="T42" s="68"/>
      <c r="U42" s="68"/>
    </row>
    <row r="43" spans="2:21" s="69" customFormat="1" ht="20.25">
      <c r="B43" s="70"/>
      <c r="C43" s="70"/>
      <c r="D43" s="70"/>
      <c r="E43" s="70"/>
      <c r="F43" s="70"/>
      <c r="G43" s="70"/>
      <c r="H43" s="70"/>
      <c r="I43" s="70"/>
      <c r="J43" s="70"/>
      <c r="K43" s="70"/>
      <c r="L43" s="67"/>
      <c r="M43" s="68"/>
      <c r="N43" s="68"/>
      <c r="O43" s="68"/>
      <c r="P43" s="68"/>
      <c r="Q43" s="68"/>
      <c r="R43" s="68"/>
      <c r="S43" s="68"/>
      <c r="T43" s="68"/>
      <c r="U43" s="68"/>
    </row>
    <row r="44" spans="2:21" s="69" customFormat="1" ht="20.25">
      <c r="B44" s="71" t="s">
        <v>100</v>
      </c>
      <c r="C44" s="70"/>
      <c r="D44" s="70"/>
      <c r="E44" s="70"/>
      <c r="F44" s="97"/>
      <c r="G44" s="70"/>
      <c r="H44" s="70"/>
      <c r="I44" s="70"/>
      <c r="J44" s="70"/>
      <c r="K44" s="70"/>
      <c r="L44" s="67"/>
      <c r="M44" s="72"/>
      <c r="N44" s="68"/>
      <c r="O44" s="68"/>
      <c r="P44" s="103"/>
      <c r="Q44" s="68"/>
      <c r="R44" s="68"/>
      <c r="S44" s="68"/>
      <c r="T44" s="68"/>
      <c r="U44" s="68"/>
    </row>
    <row r="45" spans="2:21" s="69" customFormat="1" ht="12.75" customHeight="1">
      <c r="B45" s="241" t="s">
        <v>107</v>
      </c>
      <c r="C45" s="241"/>
      <c r="D45" s="241"/>
      <c r="E45" s="241"/>
      <c r="F45" s="241"/>
      <c r="G45" s="241"/>
      <c r="H45" s="241"/>
      <c r="I45" s="241"/>
      <c r="J45" s="241"/>
      <c r="K45" s="70"/>
      <c r="L45" s="67"/>
      <c r="M45" s="235"/>
      <c r="N45" s="236"/>
      <c r="O45" s="236"/>
      <c r="P45" s="236"/>
      <c r="Q45" s="236"/>
      <c r="R45" s="236"/>
      <c r="S45" s="236"/>
      <c r="T45" s="236"/>
      <c r="U45" s="68"/>
    </row>
    <row r="46" spans="2:21" s="69" customFormat="1" ht="20.25">
      <c r="B46" s="241"/>
      <c r="C46" s="241"/>
      <c r="D46" s="241"/>
      <c r="E46" s="241"/>
      <c r="F46" s="241"/>
      <c r="G46" s="241"/>
      <c r="H46" s="241"/>
      <c r="I46" s="241"/>
      <c r="J46" s="241"/>
      <c r="K46" s="70"/>
      <c r="L46" s="67"/>
      <c r="M46" s="236"/>
      <c r="N46" s="236"/>
      <c r="O46" s="236"/>
      <c r="P46" s="236"/>
      <c r="Q46" s="236"/>
      <c r="R46" s="236"/>
      <c r="S46" s="236"/>
      <c r="T46" s="236"/>
      <c r="U46" s="68"/>
    </row>
    <row r="47" spans="2:21" s="69" customFormat="1" ht="20.25">
      <c r="B47" s="241"/>
      <c r="C47" s="241"/>
      <c r="D47" s="241"/>
      <c r="E47" s="241"/>
      <c r="F47" s="241"/>
      <c r="G47" s="241"/>
      <c r="H47" s="241"/>
      <c r="I47" s="241"/>
      <c r="J47" s="241"/>
      <c r="K47" s="70"/>
      <c r="L47" s="67"/>
      <c r="M47" s="236"/>
      <c r="N47" s="236"/>
      <c r="O47" s="236"/>
      <c r="P47" s="236"/>
      <c r="Q47" s="236"/>
      <c r="R47" s="236"/>
      <c r="S47" s="236"/>
      <c r="T47" s="236"/>
      <c r="U47" s="68"/>
    </row>
    <row r="48" spans="2:21" s="69" customFormat="1" ht="36.75" customHeight="1">
      <c r="B48" s="241"/>
      <c r="C48" s="241"/>
      <c r="D48" s="241"/>
      <c r="E48" s="241"/>
      <c r="F48" s="241"/>
      <c r="G48" s="241"/>
      <c r="H48" s="241"/>
      <c r="I48" s="241"/>
      <c r="J48" s="241"/>
      <c r="K48" s="70"/>
      <c r="L48" s="67"/>
      <c r="M48" s="236"/>
      <c r="N48" s="236"/>
      <c r="O48" s="236"/>
      <c r="P48" s="236"/>
      <c r="Q48" s="236"/>
      <c r="R48" s="236"/>
      <c r="S48" s="236"/>
      <c r="T48" s="236"/>
      <c r="U48" s="68"/>
    </row>
    <row r="49" spans="2:21" s="69" customFormat="1" ht="20.25">
      <c r="B49" s="70"/>
      <c r="C49" s="70"/>
      <c r="D49" s="93"/>
      <c r="E49" s="93"/>
      <c r="F49" s="93"/>
      <c r="G49" s="70"/>
      <c r="H49" s="93"/>
      <c r="I49" s="93"/>
      <c r="J49" s="93"/>
      <c r="K49" s="70"/>
      <c r="L49" s="67"/>
      <c r="M49" s="68"/>
      <c r="N49" s="68"/>
      <c r="O49" s="68"/>
      <c r="P49" s="68"/>
      <c r="Q49" s="68"/>
      <c r="R49" s="68"/>
      <c r="S49" s="68"/>
      <c r="T49" s="68"/>
      <c r="U49" s="68"/>
    </row>
    <row r="50" spans="2:21" s="69" customFormat="1" ht="41.25" customHeight="1">
      <c r="B50" s="244" t="s">
        <v>85</v>
      </c>
      <c r="C50" s="240"/>
      <c r="D50" s="248" t="s">
        <v>94</v>
      </c>
      <c r="E50" s="248"/>
      <c r="F50" s="248"/>
      <c r="G50" s="112"/>
      <c r="H50" s="245" t="s">
        <v>86</v>
      </c>
      <c r="I50" s="246"/>
      <c r="J50" s="93"/>
      <c r="K50" s="70"/>
      <c r="L50" s="67"/>
      <c r="M50" s="235"/>
      <c r="N50" s="234"/>
      <c r="O50" s="235"/>
      <c r="P50" s="235"/>
      <c r="Q50" s="113"/>
      <c r="R50" s="242"/>
      <c r="S50" s="234"/>
      <c r="T50" s="114"/>
      <c r="U50" s="68"/>
    </row>
    <row r="51" spans="2:21" s="69" customFormat="1" ht="9" customHeight="1">
      <c r="B51" s="115"/>
      <c r="C51" s="70"/>
      <c r="D51" s="116"/>
      <c r="E51" s="116"/>
      <c r="F51" s="116"/>
      <c r="G51" s="117"/>
      <c r="H51" s="118"/>
      <c r="I51" s="93"/>
      <c r="J51" s="93"/>
      <c r="K51" s="70"/>
      <c r="L51" s="67"/>
      <c r="M51" s="119"/>
      <c r="N51" s="68"/>
      <c r="O51" s="119"/>
      <c r="P51" s="119"/>
      <c r="Q51" s="113"/>
      <c r="R51" s="120"/>
      <c r="S51" s="68"/>
      <c r="T51" s="114"/>
      <c r="U51" s="68"/>
    </row>
    <row r="52" spans="2:21" s="69" customFormat="1" ht="20.25">
      <c r="B52" s="243" t="s">
        <v>74</v>
      </c>
      <c r="C52" s="240"/>
      <c r="D52" s="121">
        <v>0.35</v>
      </c>
      <c r="E52" s="121"/>
      <c r="F52" s="67"/>
      <c r="G52" s="70"/>
      <c r="H52" s="122">
        <f>Assumptions!E23</f>
        <v>99</v>
      </c>
      <c r="I52" s="209" t="s">
        <v>91</v>
      </c>
      <c r="J52" s="123"/>
      <c r="K52" s="70"/>
      <c r="L52" s="67"/>
      <c r="M52" s="236"/>
      <c r="N52" s="234"/>
      <c r="O52" s="124"/>
      <c r="P52" s="68"/>
      <c r="Q52" s="68"/>
      <c r="R52" s="125"/>
      <c r="S52" s="103"/>
      <c r="T52" s="68"/>
      <c r="U52" s="68"/>
    </row>
    <row r="53" spans="2:21" s="69" customFormat="1" ht="20.25">
      <c r="B53" s="243" t="s">
        <v>75</v>
      </c>
      <c r="C53" s="240"/>
      <c r="D53" s="121">
        <v>0.02</v>
      </c>
      <c r="E53" s="121"/>
      <c r="F53" s="93"/>
      <c r="G53" s="70"/>
      <c r="H53" s="122">
        <f>Assumptions!E25</f>
        <v>7709</v>
      </c>
      <c r="I53" s="209" t="s">
        <v>91</v>
      </c>
      <c r="J53" s="123"/>
      <c r="K53" s="70"/>
      <c r="L53" s="67"/>
      <c r="M53" s="236"/>
      <c r="N53" s="234"/>
      <c r="O53" s="124"/>
      <c r="P53" s="68"/>
      <c r="Q53" s="68"/>
      <c r="R53" s="125"/>
      <c r="S53" s="103"/>
      <c r="T53" s="68"/>
      <c r="U53" s="68"/>
    </row>
    <row r="54" spans="2:21" s="69" customFormat="1" ht="20.25">
      <c r="B54" s="243" t="s">
        <v>76</v>
      </c>
      <c r="C54" s="240"/>
      <c r="D54" s="121">
        <v>0.08</v>
      </c>
      <c r="E54" s="121"/>
      <c r="F54" s="93"/>
      <c r="G54" s="70"/>
      <c r="H54" s="122">
        <f>Assumptions!E27</f>
        <v>5774</v>
      </c>
      <c r="I54" s="209" t="s">
        <v>91</v>
      </c>
      <c r="J54" s="123"/>
      <c r="K54" s="70"/>
      <c r="L54" s="67"/>
      <c r="M54" s="126"/>
      <c r="N54" s="68"/>
      <c r="O54" s="124"/>
      <c r="P54" s="68"/>
      <c r="Q54" s="68"/>
      <c r="R54" s="125"/>
      <c r="S54" s="103"/>
      <c r="T54" s="68"/>
      <c r="U54" s="68"/>
    </row>
    <row r="55" spans="2:21" s="69" customFormat="1" ht="20.25">
      <c r="B55" s="243" t="s">
        <v>77</v>
      </c>
      <c r="C55" s="240"/>
      <c r="D55" s="121">
        <v>0.02</v>
      </c>
      <c r="E55" s="121"/>
      <c r="F55" s="93"/>
      <c r="G55" s="70"/>
      <c r="H55" s="122">
        <f>Assumptions!E29</f>
        <v>10388</v>
      </c>
      <c r="I55" s="209" t="s">
        <v>91</v>
      </c>
      <c r="J55" s="127"/>
      <c r="K55" s="70"/>
      <c r="L55" s="67"/>
      <c r="M55" s="236"/>
      <c r="N55" s="234"/>
      <c r="O55" s="124"/>
      <c r="P55" s="68"/>
      <c r="Q55" s="68"/>
      <c r="R55" s="125"/>
      <c r="S55" s="103"/>
      <c r="T55" s="68"/>
      <c r="U55" s="68"/>
    </row>
    <row r="56" spans="2:21" s="69" customFormat="1" ht="20.25">
      <c r="B56" s="243" t="s">
        <v>78</v>
      </c>
      <c r="C56" s="240"/>
      <c r="D56" s="121">
        <v>0.05</v>
      </c>
      <c r="E56" s="121"/>
      <c r="F56" s="70"/>
      <c r="G56" s="70"/>
      <c r="H56" s="122">
        <f>Assumptions!E31</f>
        <v>81</v>
      </c>
      <c r="I56" s="210" t="s">
        <v>91</v>
      </c>
      <c r="J56" s="97"/>
      <c r="K56" s="70"/>
      <c r="L56" s="67"/>
      <c r="M56" s="236"/>
      <c r="N56" s="234"/>
      <c r="O56" s="124"/>
      <c r="P56" s="68"/>
      <c r="Q56" s="68"/>
      <c r="R56" s="125"/>
      <c r="S56" s="103"/>
      <c r="T56" s="68"/>
      <c r="U56" s="68"/>
    </row>
    <row r="57" spans="2:21" s="69" customFormat="1" ht="24" customHeight="1">
      <c r="B57" s="243" t="s">
        <v>79</v>
      </c>
      <c r="C57" s="240"/>
      <c r="D57" s="121">
        <v>0.02</v>
      </c>
      <c r="E57" s="121"/>
      <c r="F57" s="70"/>
      <c r="G57" s="70"/>
      <c r="H57" s="122">
        <f>Assumptions!E33</f>
        <v>154</v>
      </c>
      <c r="I57" s="210" t="s">
        <v>91</v>
      </c>
      <c r="J57" s="97"/>
      <c r="K57" s="70"/>
      <c r="L57" s="67"/>
      <c r="M57" s="236"/>
      <c r="N57" s="234"/>
      <c r="O57" s="124"/>
      <c r="P57" s="68"/>
      <c r="Q57" s="68"/>
      <c r="R57" s="125"/>
      <c r="S57" s="103"/>
      <c r="T57" s="68"/>
      <c r="U57" s="68"/>
    </row>
    <row r="58" spans="2:21" s="69" customFormat="1" ht="20.25">
      <c r="B58" s="128" t="s">
        <v>84</v>
      </c>
      <c r="C58" s="70"/>
      <c r="D58" s="121">
        <v>0</v>
      </c>
      <c r="E58" s="121"/>
      <c r="F58" s="70"/>
      <c r="G58" s="70"/>
      <c r="H58" s="122">
        <v>0</v>
      </c>
      <c r="I58" s="211"/>
      <c r="J58" s="70"/>
      <c r="K58" s="70"/>
      <c r="L58" s="67"/>
      <c r="M58" s="126"/>
      <c r="N58" s="68"/>
      <c r="O58" s="124"/>
      <c r="P58" s="68"/>
      <c r="Q58" s="68"/>
      <c r="R58" s="125"/>
      <c r="S58" s="68"/>
      <c r="T58" s="68"/>
      <c r="U58" s="68"/>
    </row>
    <row r="59" spans="2:21" s="69" customFormat="1" ht="20.25">
      <c r="B59" s="70"/>
      <c r="C59" s="70"/>
      <c r="D59" s="70"/>
      <c r="E59" s="70"/>
      <c r="F59" s="93"/>
      <c r="G59" s="70"/>
      <c r="H59" s="70"/>
      <c r="I59" s="70"/>
      <c r="J59" s="70"/>
      <c r="K59" s="70"/>
      <c r="L59" s="93"/>
      <c r="M59" s="68"/>
      <c r="N59" s="68"/>
      <c r="O59" s="68"/>
      <c r="P59" s="68"/>
      <c r="Q59" s="68"/>
      <c r="R59" s="68"/>
      <c r="S59" s="68"/>
      <c r="T59" s="68"/>
      <c r="U59" s="68"/>
    </row>
    <row r="60" spans="2:21" s="69" customFormat="1" ht="20.25">
      <c r="B60" s="70"/>
      <c r="C60" s="70"/>
      <c r="D60" s="70"/>
      <c r="E60" s="70"/>
      <c r="F60" s="70"/>
      <c r="G60" s="70"/>
      <c r="H60" s="70"/>
      <c r="I60" s="70"/>
      <c r="J60" s="70"/>
      <c r="K60" s="70"/>
      <c r="L60" s="93"/>
      <c r="M60" s="68"/>
      <c r="N60" s="68"/>
      <c r="O60" s="68"/>
      <c r="P60" s="68"/>
      <c r="Q60" s="68"/>
      <c r="R60" s="68"/>
      <c r="S60" s="68"/>
      <c r="T60" s="68"/>
      <c r="U60" s="68"/>
    </row>
    <row r="61" spans="2:21" s="69" customFormat="1" ht="20.25">
      <c r="B61" s="70"/>
      <c r="C61" s="70"/>
      <c r="D61" s="70"/>
      <c r="E61" s="70"/>
      <c r="F61" s="70"/>
      <c r="G61" s="70"/>
      <c r="H61" s="70"/>
      <c r="I61" s="70"/>
      <c r="J61" s="70"/>
      <c r="K61" s="70"/>
      <c r="L61" s="93"/>
      <c r="M61" s="68"/>
      <c r="N61" s="68"/>
      <c r="O61" s="68"/>
      <c r="P61" s="68"/>
      <c r="Q61" s="68"/>
      <c r="R61" s="68"/>
      <c r="S61" s="68"/>
      <c r="T61" s="68"/>
      <c r="U61" s="68"/>
    </row>
    <row r="62" spans="2:21" s="69" customFormat="1" ht="20.25">
      <c r="B62" s="70" t="s">
        <v>65</v>
      </c>
      <c r="C62" s="70"/>
      <c r="D62" s="70"/>
      <c r="E62" s="70"/>
      <c r="F62" s="129"/>
      <c r="G62" s="130">
        <v>0.3</v>
      </c>
      <c r="H62" s="70"/>
      <c r="I62" s="70"/>
      <c r="J62" s="70"/>
      <c r="K62" s="70"/>
      <c r="L62" s="93"/>
      <c r="M62" s="68"/>
      <c r="N62" s="68"/>
      <c r="O62" s="68"/>
      <c r="P62" s="131"/>
      <c r="Q62" s="68"/>
      <c r="R62" s="68"/>
      <c r="S62" s="68"/>
      <c r="T62" s="68"/>
      <c r="U62" s="68"/>
    </row>
    <row r="63" spans="2:21" s="69" customFormat="1" ht="20.25">
      <c r="B63" s="70"/>
      <c r="C63" s="70"/>
      <c r="D63" s="70"/>
      <c r="E63" s="70"/>
      <c r="F63" s="70"/>
      <c r="G63" s="70"/>
      <c r="H63" s="70"/>
      <c r="I63" s="70"/>
      <c r="J63" s="70"/>
      <c r="K63" s="70"/>
      <c r="L63" s="93"/>
      <c r="M63" s="68"/>
      <c r="N63" s="68"/>
      <c r="O63" s="68"/>
      <c r="P63" s="68"/>
      <c r="Q63" s="68"/>
      <c r="R63" s="68"/>
      <c r="S63" s="68"/>
      <c r="T63" s="68"/>
      <c r="U63" s="68"/>
    </row>
    <row r="64" spans="2:21" s="69" customFormat="1" ht="20.25">
      <c r="B64" s="70"/>
      <c r="C64" s="70"/>
      <c r="D64" s="70"/>
      <c r="E64" s="70"/>
      <c r="F64" s="70"/>
      <c r="G64" s="70"/>
      <c r="H64" s="70"/>
      <c r="I64" s="70"/>
      <c r="J64" s="70"/>
      <c r="K64" s="70"/>
      <c r="L64" s="93"/>
      <c r="M64" s="68"/>
      <c r="N64" s="68"/>
      <c r="O64" s="68"/>
      <c r="P64" s="68"/>
      <c r="Q64" s="68"/>
      <c r="R64" s="68"/>
      <c r="S64" s="68"/>
      <c r="T64" s="68"/>
      <c r="U64" s="68"/>
    </row>
    <row r="65" spans="2:21" s="69" customFormat="1" ht="20.25">
      <c r="B65" s="70"/>
      <c r="C65" s="70"/>
      <c r="D65" s="70"/>
      <c r="E65" s="70"/>
      <c r="F65" s="70"/>
      <c r="G65" s="70"/>
      <c r="H65" s="70"/>
      <c r="I65" s="70"/>
      <c r="J65" s="70"/>
      <c r="K65" s="70"/>
      <c r="L65" s="93"/>
      <c r="M65" s="68"/>
      <c r="N65" s="68"/>
      <c r="O65" s="68"/>
      <c r="P65" s="68"/>
      <c r="Q65" s="68"/>
      <c r="R65" s="68"/>
      <c r="S65" s="68"/>
      <c r="T65" s="68"/>
      <c r="U65" s="68"/>
    </row>
    <row r="66" spans="2:21" s="69" customFormat="1" ht="20.25">
      <c r="B66" s="70"/>
      <c r="C66" s="70"/>
      <c r="D66" s="70"/>
      <c r="E66" s="70"/>
      <c r="F66" s="70"/>
      <c r="G66" s="70"/>
      <c r="H66" s="70"/>
      <c r="I66" s="70"/>
      <c r="J66" s="70"/>
      <c r="K66" s="70"/>
      <c r="L66" s="93"/>
      <c r="M66" s="68"/>
      <c r="N66" s="68"/>
      <c r="O66" s="68"/>
      <c r="P66" s="68"/>
      <c r="Q66" s="68"/>
      <c r="R66" s="68"/>
      <c r="S66" s="68"/>
      <c r="T66" s="68"/>
      <c r="U66" s="68"/>
    </row>
    <row r="67" spans="2:21" s="69" customFormat="1" ht="20.25">
      <c r="B67" s="70"/>
      <c r="C67" s="70"/>
      <c r="D67" s="70"/>
      <c r="E67" s="70"/>
      <c r="F67" s="70"/>
      <c r="G67" s="70"/>
      <c r="H67" s="70"/>
      <c r="I67" s="70"/>
      <c r="J67" s="70"/>
      <c r="K67" s="70"/>
      <c r="L67" s="93"/>
      <c r="M67" s="68"/>
      <c r="N67" s="68"/>
      <c r="O67" s="68"/>
      <c r="P67" s="68"/>
      <c r="Q67" s="68"/>
      <c r="R67" s="68"/>
      <c r="S67" s="68"/>
      <c r="T67" s="68"/>
      <c r="U67" s="68"/>
    </row>
    <row r="68" spans="2:21" s="69" customFormat="1" ht="20.25">
      <c r="B68" s="70"/>
      <c r="C68" s="70"/>
      <c r="D68" s="70"/>
      <c r="E68" s="70"/>
      <c r="F68" s="70"/>
      <c r="G68" s="70"/>
      <c r="H68" s="70"/>
      <c r="I68" s="70"/>
      <c r="J68" s="70"/>
      <c r="K68" s="70"/>
      <c r="L68" s="93"/>
      <c r="M68" s="68"/>
      <c r="N68" s="68"/>
      <c r="O68" s="68"/>
      <c r="P68" s="68"/>
      <c r="Q68" s="68"/>
      <c r="R68" s="68"/>
      <c r="S68" s="68"/>
      <c r="T68" s="68"/>
      <c r="U68" s="68"/>
    </row>
    <row r="69" spans="2:21" s="69" customFormat="1" ht="20.25">
      <c r="B69" s="70"/>
      <c r="C69" s="70"/>
      <c r="D69" s="70"/>
      <c r="E69" s="70"/>
      <c r="F69" s="70"/>
      <c r="G69" s="70"/>
      <c r="H69" s="70"/>
      <c r="I69" s="70"/>
      <c r="J69" s="70"/>
      <c r="K69" s="70"/>
      <c r="L69" s="93"/>
      <c r="M69" s="68"/>
      <c r="N69" s="68"/>
      <c r="O69" s="68"/>
      <c r="P69" s="68"/>
      <c r="Q69" s="68"/>
      <c r="R69" s="68"/>
      <c r="S69" s="68"/>
      <c r="T69" s="68"/>
      <c r="U69" s="68"/>
    </row>
    <row r="70" spans="2:21" s="69" customFormat="1" ht="20.25">
      <c r="B70" s="70"/>
      <c r="C70" s="70"/>
      <c r="D70" s="70"/>
      <c r="E70" s="70"/>
      <c r="F70" s="70"/>
      <c r="G70" s="70"/>
      <c r="H70" s="70"/>
      <c r="I70" s="232"/>
      <c r="J70" s="232"/>
      <c r="K70" s="232"/>
      <c r="L70" s="93"/>
      <c r="M70" s="68"/>
      <c r="N70" s="68"/>
      <c r="O70" s="68"/>
      <c r="P70" s="68"/>
      <c r="Q70" s="68"/>
      <c r="R70" s="68"/>
      <c r="S70" s="68"/>
      <c r="T70" s="68"/>
      <c r="U70" s="68"/>
    </row>
    <row r="71" spans="2:21" s="69" customFormat="1" ht="20.25">
      <c r="B71" s="70"/>
      <c r="C71" s="70"/>
      <c r="D71" s="70"/>
      <c r="E71" s="70"/>
      <c r="F71" s="70"/>
      <c r="G71" s="70"/>
      <c r="H71" s="70"/>
      <c r="I71" s="70"/>
      <c r="J71" s="70"/>
      <c r="K71" s="70"/>
      <c r="L71" s="93"/>
      <c r="M71" s="68"/>
      <c r="N71" s="68"/>
      <c r="O71" s="68"/>
      <c r="P71" s="68"/>
      <c r="Q71" s="68"/>
      <c r="R71" s="68"/>
      <c r="S71" s="68"/>
      <c r="T71" s="68"/>
      <c r="U71" s="68"/>
    </row>
    <row r="72" spans="2:21" s="69" customFormat="1" ht="20.25">
      <c r="B72" s="70"/>
      <c r="C72" s="70"/>
      <c r="D72" s="70"/>
      <c r="E72" s="70"/>
      <c r="F72" s="70"/>
      <c r="G72" s="70"/>
      <c r="H72" s="70"/>
      <c r="I72" s="70"/>
      <c r="J72" s="70"/>
      <c r="K72" s="70"/>
      <c r="L72" s="93"/>
      <c r="M72" s="68"/>
      <c r="N72" s="68"/>
      <c r="O72" s="68"/>
      <c r="P72" s="68"/>
      <c r="Q72" s="68"/>
      <c r="R72" s="68"/>
      <c r="S72" s="68"/>
      <c r="T72" s="68"/>
      <c r="U72" s="68"/>
    </row>
    <row r="73" spans="2:21" s="69" customFormat="1" ht="20.25">
      <c r="B73" s="70"/>
      <c r="C73" s="70"/>
      <c r="D73" s="70"/>
      <c r="E73" s="70"/>
      <c r="F73" s="70"/>
      <c r="G73" s="70"/>
      <c r="H73" s="70"/>
      <c r="I73" s="70"/>
      <c r="J73" s="70"/>
      <c r="K73" s="70"/>
      <c r="L73" s="93"/>
      <c r="M73" s="68"/>
      <c r="N73" s="68"/>
      <c r="O73" s="68"/>
      <c r="P73" s="68"/>
      <c r="Q73" s="68"/>
      <c r="R73" s="68"/>
      <c r="S73" s="68"/>
      <c r="T73" s="68"/>
      <c r="U73" s="68"/>
    </row>
    <row r="74" spans="2:21" s="69" customFormat="1" ht="20.25">
      <c r="B74" s="70"/>
      <c r="C74" s="70"/>
      <c r="D74" s="70"/>
      <c r="E74" s="70"/>
      <c r="F74" s="70"/>
      <c r="G74" s="70"/>
      <c r="H74" s="70"/>
      <c r="I74" s="70"/>
      <c r="J74" s="70"/>
      <c r="K74" s="70"/>
      <c r="L74" s="93"/>
      <c r="M74" s="68"/>
      <c r="N74" s="68"/>
      <c r="O74" s="68"/>
      <c r="P74" s="68"/>
      <c r="Q74" s="68"/>
      <c r="R74" s="68"/>
      <c r="S74" s="68"/>
      <c r="T74" s="68"/>
      <c r="U74" s="68"/>
    </row>
    <row r="75" spans="2:21" s="69" customFormat="1" ht="20.25">
      <c r="B75" s="70"/>
      <c r="C75" s="70"/>
      <c r="D75" s="70"/>
      <c r="E75" s="70"/>
      <c r="F75" s="70"/>
      <c r="G75" s="70"/>
      <c r="H75" s="70"/>
      <c r="I75" s="70"/>
      <c r="J75" s="70"/>
      <c r="K75" s="70"/>
      <c r="L75" s="93"/>
      <c r="M75" s="68"/>
      <c r="N75" s="68"/>
      <c r="O75" s="68"/>
      <c r="P75" s="68"/>
      <c r="Q75" s="68"/>
      <c r="R75" s="68"/>
      <c r="S75" s="68"/>
      <c r="T75" s="68"/>
      <c r="U75" s="68"/>
    </row>
    <row r="76" spans="2:21" s="69" customFormat="1" ht="20.25">
      <c r="B76" s="70"/>
      <c r="C76" s="70"/>
      <c r="D76" s="70"/>
      <c r="E76" s="70"/>
      <c r="F76" s="70"/>
      <c r="G76" s="70"/>
      <c r="H76" s="70"/>
      <c r="I76" s="70"/>
      <c r="J76" s="70"/>
      <c r="K76" s="70"/>
      <c r="L76" s="93"/>
      <c r="M76" s="68"/>
      <c r="N76" s="68"/>
      <c r="O76" s="68"/>
      <c r="P76" s="68"/>
      <c r="Q76" s="68"/>
      <c r="R76" s="68"/>
      <c r="S76" s="68"/>
      <c r="T76" s="68"/>
      <c r="U76" s="68"/>
    </row>
    <row r="77" spans="2:21" s="69" customFormat="1" ht="20.25">
      <c r="B77" s="70"/>
      <c r="C77" s="70"/>
      <c r="D77" s="70"/>
      <c r="E77" s="70"/>
      <c r="F77" s="70"/>
      <c r="G77" s="70"/>
      <c r="H77" s="70"/>
      <c r="I77" s="70"/>
      <c r="J77" s="70"/>
      <c r="K77" s="70"/>
      <c r="L77" s="93"/>
      <c r="M77" s="68"/>
      <c r="N77" s="68"/>
      <c r="O77" s="68"/>
      <c r="P77" s="68"/>
      <c r="Q77" s="68"/>
      <c r="R77" s="68"/>
      <c r="S77" s="68"/>
      <c r="T77" s="68"/>
      <c r="U77" s="68"/>
    </row>
    <row r="78" spans="2:21" s="69" customFormat="1" ht="20.25">
      <c r="B78" s="70"/>
      <c r="C78" s="70"/>
      <c r="D78" s="70"/>
      <c r="E78" s="70"/>
      <c r="F78" s="70"/>
      <c r="G78" s="70"/>
      <c r="H78" s="70"/>
      <c r="I78" s="70"/>
      <c r="J78" s="70"/>
      <c r="K78" s="70"/>
      <c r="L78" s="93"/>
      <c r="M78" s="68"/>
      <c r="N78" s="68"/>
      <c r="O78" s="68"/>
      <c r="P78" s="68"/>
      <c r="Q78" s="68"/>
      <c r="R78" s="68"/>
      <c r="S78" s="68"/>
      <c r="T78" s="68"/>
      <c r="U78" s="68"/>
    </row>
    <row r="79" spans="2:21" s="69" customFormat="1" ht="20.25">
      <c r="B79" s="70"/>
      <c r="C79" s="70"/>
      <c r="D79" s="70"/>
      <c r="E79" s="70"/>
      <c r="F79" s="70"/>
      <c r="G79" s="70"/>
      <c r="H79" s="70"/>
      <c r="I79" s="70"/>
      <c r="J79" s="70"/>
      <c r="K79" s="70"/>
      <c r="L79" s="93"/>
      <c r="M79" s="68"/>
      <c r="N79" s="68"/>
      <c r="O79" s="68"/>
      <c r="P79" s="68"/>
      <c r="Q79" s="68"/>
      <c r="R79" s="68"/>
      <c r="S79" s="68"/>
      <c r="T79" s="68"/>
      <c r="U79" s="68"/>
    </row>
    <row r="80" spans="2:21">
      <c r="B80" s="28"/>
      <c r="C80" s="28"/>
      <c r="D80" s="28"/>
      <c r="E80" s="28"/>
      <c r="F80" s="28"/>
      <c r="G80" s="28"/>
      <c r="H80" s="28"/>
      <c r="I80" s="28"/>
      <c r="J80" s="28"/>
      <c r="K80" s="28"/>
      <c r="L80" s="29"/>
    </row>
    <row r="81" spans="2:12">
      <c r="B81" s="28"/>
      <c r="C81" s="28"/>
      <c r="D81" s="28"/>
      <c r="E81" s="28"/>
      <c r="F81" s="28"/>
      <c r="G81" s="28"/>
      <c r="H81" s="28"/>
      <c r="I81" s="28"/>
      <c r="J81" s="28"/>
      <c r="K81" s="28"/>
      <c r="L81" s="29"/>
    </row>
    <row r="82" spans="2:12">
      <c r="B82" s="28"/>
      <c r="C82" s="28"/>
      <c r="D82" s="28"/>
      <c r="E82" s="28"/>
      <c r="F82" s="28"/>
      <c r="G82" s="28"/>
      <c r="H82" s="28"/>
      <c r="I82" s="28"/>
      <c r="J82" s="28"/>
      <c r="K82" s="28"/>
      <c r="L82" s="29"/>
    </row>
    <row r="83" spans="2:12">
      <c r="B83" s="28"/>
      <c r="C83" s="28"/>
      <c r="D83" s="28"/>
      <c r="E83" s="28"/>
      <c r="F83" s="28"/>
      <c r="G83" s="28"/>
      <c r="H83" s="28"/>
      <c r="I83" s="28"/>
      <c r="J83" s="28"/>
      <c r="K83" s="28"/>
      <c r="L83" s="29"/>
    </row>
    <row r="84" spans="2:12">
      <c r="B84" s="28"/>
      <c r="C84" s="28"/>
      <c r="D84" s="28"/>
      <c r="E84" s="28"/>
      <c r="F84" s="28"/>
      <c r="G84" s="28"/>
      <c r="H84" s="28"/>
      <c r="I84" s="28"/>
      <c r="J84" s="28"/>
      <c r="K84" s="28"/>
      <c r="L84" s="29"/>
    </row>
    <row r="85" spans="2:12">
      <c r="B85" s="28"/>
      <c r="C85" s="28"/>
      <c r="D85" s="28"/>
      <c r="E85" s="28"/>
      <c r="F85" s="28"/>
      <c r="G85" s="28"/>
      <c r="H85" s="28"/>
      <c r="I85" s="28"/>
      <c r="J85" s="28"/>
      <c r="K85" s="28"/>
      <c r="L85" s="29"/>
    </row>
    <row r="86" spans="2:12">
      <c r="B86" s="28"/>
      <c r="C86" s="28"/>
      <c r="D86" s="28"/>
      <c r="E86" s="28"/>
      <c r="F86" s="28"/>
      <c r="G86" s="28"/>
      <c r="H86" s="28"/>
      <c r="I86" s="28"/>
      <c r="J86" s="28"/>
      <c r="K86" s="28"/>
      <c r="L86" s="29"/>
    </row>
    <row r="87" spans="2:12">
      <c r="B87" s="28"/>
      <c r="C87" s="28"/>
      <c r="D87" s="28"/>
      <c r="E87" s="28"/>
      <c r="F87" s="28"/>
      <c r="G87" s="28"/>
      <c r="H87" s="28"/>
      <c r="I87" s="28"/>
      <c r="J87" s="28"/>
      <c r="K87" s="28"/>
      <c r="L87" s="29"/>
    </row>
    <row r="88" spans="2:12">
      <c r="B88" s="28"/>
      <c r="C88" s="28"/>
      <c r="D88" s="28"/>
      <c r="E88" s="28"/>
      <c r="F88" s="28"/>
      <c r="G88" s="28"/>
      <c r="H88" s="28"/>
      <c r="I88" s="28"/>
      <c r="J88" s="28"/>
      <c r="K88" s="28"/>
      <c r="L88" s="29"/>
    </row>
    <row r="89" spans="2:12" hidden="1">
      <c r="B89" s="28"/>
      <c r="C89" s="28"/>
      <c r="D89" s="28"/>
      <c r="E89" s="28"/>
      <c r="F89" s="28"/>
      <c r="G89" s="28"/>
      <c r="H89" s="28"/>
      <c r="I89" s="28"/>
      <c r="J89" s="28"/>
      <c r="K89" s="28"/>
      <c r="L89" s="29"/>
    </row>
    <row r="90" spans="2:12" hidden="1">
      <c r="B90" s="28"/>
      <c r="C90" s="28"/>
      <c r="D90" s="28"/>
      <c r="E90" s="28"/>
      <c r="F90" s="28"/>
      <c r="G90" s="28"/>
      <c r="H90" s="28"/>
      <c r="I90" s="28"/>
      <c r="J90" s="28"/>
      <c r="K90" s="28"/>
      <c r="L90" s="29"/>
    </row>
    <row r="91" spans="2:12" hidden="1">
      <c r="B91" s="28"/>
      <c r="C91" s="28"/>
      <c r="D91" s="28"/>
      <c r="E91" s="28"/>
      <c r="F91" s="28"/>
      <c r="G91" s="28"/>
      <c r="H91" s="28"/>
      <c r="I91" s="28"/>
      <c r="J91" s="28"/>
      <c r="K91" s="28"/>
      <c r="L91" s="29"/>
    </row>
    <row r="92" spans="2:12" hidden="1">
      <c r="B92" s="28"/>
      <c r="C92" s="28"/>
      <c r="D92" s="28"/>
      <c r="E92" s="28"/>
      <c r="F92" s="28"/>
      <c r="G92" s="28"/>
      <c r="H92" s="28"/>
      <c r="I92" s="28"/>
      <c r="J92" s="28"/>
      <c r="K92" s="28"/>
      <c r="L92" s="29"/>
    </row>
    <row r="93" spans="2:12" hidden="1">
      <c r="B93" s="28"/>
      <c r="C93" s="28"/>
      <c r="D93" s="28"/>
      <c r="E93" s="28"/>
      <c r="F93" s="28"/>
      <c r="G93" s="28"/>
      <c r="H93" s="28"/>
      <c r="I93" s="28"/>
      <c r="J93" s="28"/>
      <c r="K93" s="28"/>
      <c r="L93" s="29"/>
    </row>
  </sheetData>
  <dataConsolidate/>
  <mergeCells count="39">
    <mergeCell ref="F12:G12"/>
    <mergeCell ref="M52:N52"/>
    <mergeCell ref="D50:F50"/>
    <mergeCell ref="B21:F21"/>
    <mergeCell ref="B26:F26"/>
    <mergeCell ref="B27:C27"/>
    <mergeCell ref="B40:F40"/>
    <mergeCell ref="B19:F19"/>
    <mergeCell ref="R50:S50"/>
    <mergeCell ref="O50:P50"/>
    <mergeCell ref="B57:C57"/>
    <mergeCell ref="B52:C52"/>
    <mergeCell ref="B53:C53"/>
    <mergeCell ref="B54:C54"/>
    <mergeCell ref="B55:C55"/>
    <mergeCell ref="B56:C56"/>
    <mergeCell ref="B50:C50"/>
    <mergeCell ref="H50:I50"/>
    <mergeCell ref="M57:N57"/>
    <mergeCell ref="M53:N53"/>
    <mergeCell ref="M55:N55"/>
    <mergeCell ref="M56:N56"/>
    <mergeCell ref="M50:N50"/>
    <mergeCell ref="I70:K70"/>
    <mergeCell ref="A1:K1"/>
    <mergeCell ref="A3:K3"/>
    <mergeCell ref="M40:P40"/>
    <mergeCell ref="M45:T48"/>
    <mergeCell ref="M2:T3"/>
    <mergeCell ref="M16:O16"/>
    <mergeCell ref="B16:D16"/>
    <mergeCell ref="M20:P20"/>
    <mergeCell ref="M21:P21"/>
    <mergeCell ref="M30:P30"/>
    <mergeCell ref="M35:P35"/>
    <mergeCell ref="B30:F30"/>
    <mergeCell ref="B35:F35"/>
    <mergeCell ref="B20:F20"/>
    <mergeCell ref="B45:J48"/>
  </mergeCells>
  <phoneticPr fontId="0" type="noConversion"/>
  <dataValidations disablePrompts="1" count="2">
    <dataValidation type="list" allowBlank="1" showInputMessage="1" showErrorMessage="1" sqref="Q40 Q26 G26 G40">
      <formula1>"Yes, No"</formula1>
    </dataValidation>
    <dataValidation type="list" allowBlank="1" showInputMessage="1" showErrorMessage="1" sqref="G18">
      <formula1>"Hospital, ASC"</formula1>
    </dataValidation>
  </dataValidations>
  <pageMargins left="0.7" right="0.73" top="1" bottom="0.75" header="0.3" footer="0.3"/>
  <pageSetup scale="43" orientation="portrait" r:id="rId1"/>
  <headerFooter>
    <oddHeader>&amp;C&amp;G</oddHeader>
    <oddFooter>&amp;REUS0027V04</oddFooter>
  </headerFooter>
  <colBreaks count="1" manualBreakCount="1">
    <brk id="11" max="1048575" man="1"/>
  </colBreaks>
  <ignoredErrors>
    <ignoredError sqref="G29 H52:H57" unlockedFormula="1"/>
  </ignoredErrors>
  <drawing r:id="rId2"/>
  <legacyDrawing r:id="rId3"/>
  <legacyDrawingHF r:id="rId4"/>
</worksheet>
</file>

<file path=xl/worksheets/sheet4.xml><?xml version="1.0" encoding="utf-8"?>
<worksheet xmlns="http://schemas.openxmlformats.org/spreadsheetml/2006/main" xmlns:r="http://schemas.openxmlformats.org/officeDocument/2006/relationships">
  <sheetPr codeName="Sheet3">
    <pageSetUpPr fitToPage="1"/>
  </sheetPr>
  <dimension ref="A1:K99"/>
  <sheetViews>
    <sheetView topLeftCell="B1" zoomScale="56" zoomScaleNormal="56" zoomScalePageLayoutView="51" workbookViewId="0">
      <selection activeCell="B73" sqref="B73:I81"/>
    </sheetView>
  </sheetViews>
  <sheetFormatPr defaultColWidth="0" defaultRowHeight="12.75" zeroHeight="1"/>
  <cols>
    <col min="1" max="1" width="6.625" style="1" customWidth="1"/>
    <col min="2" max="9" width="33.25" style="1" customWidth="1"/>
    <col min="10" max="10" width="10.875" style="1" customWidth="1"/>
    <col min="11" max="11" width="0" style="1" hidden="1" customWidth="1"/>
    <col min="12" max="16384" width="10.875" style="1" hidden="1"/>
  </cols>
  <sheetData>
    <row r="1" spans="2:11" ht="44.25" customHeight="1">
      <c r="B1" s="249" t="s">
        <v>118</v>
      </c>
      <c r="C1" s="249"/>
      <c r="D1" s="249"/>
      <c r="E1" s="249"/>
      <c r="F1" s="249"/>
      <c r="G1" s="249"/>
      <c r="H1" s="249"/>
      <c r="I1" s="249"/>
    </row>
    <row r="2" spans="2:11" ht="25.5" customHeight="1" thickBot="1"/>
    <row r="3" spans="2:11" s="3" customFormat="1" ht="18">
      <c r="B3" s="258" t="s">
        <v>100</v>
      </c>
      <c r="C3" s="259"/>
      <c r="D3" s="260"/>
      <c r="E3" s="260"/>
      <c r="F3" s="260"/>
      <c r="G3" s="260"/>
      <c r="H3" s="260"/>
      <c r="I3" s="261"/>
    </row>
    <row r="4" spans="2:11" s="3" customFormat="1" ht="12" customHeight="1" thickBot="1">
      <c r="B4" s="15"/>
      <c r="C4" s="168"/>
      <c r="D4" s="16"/>
      <c r="E4" s="16"/>
      <c r="F4" s="16"/>
      <c r="G4" s="16"/>
      <c r="H4" s="16"/>
      <c r="I4" s="17"/>
    </row>
    <row r="5" spans="2:11" s="137" customFormat="1" ht="60.75">
      <c r="B5" s="172" t="s">
        <v>85</v>
      </c>
      <c r="C5" s="176" t="s">
        <v>95</v>
      </c>
      <c r="D5" s="177" t="s">
        <v>95</v>
      </c>
      <c r="E5" s="212" t="s">
        <v>137</v>
      </c>
      <c r="F5" s="132"/>
      <c r="G5" s="133" t="s">
        <v>111</v>
      </c>
      <c r="H5" s="134" t="s">
        <v>16</v>
      </c>
      <c r="I5" s="135" t="s">
        <v>21</v>
      </c>
      <c r="J5" s="136"/>
      <c r="K5" s="136"/>
    </row>
    <row r="6" spans="2:11" s="137" customFormat="1" ht="20.25">
      <c r="B6" s="173"/>
      <c r="C6" s="178"/>
      <c r="D6" s="179"/>
      <c r="E6" s="213"/>
      <c r="F6" s="138"/>
      <c r="G6" s="139"/>
      <c r="H6" s="139"/>
      <c r="I6" s="140"/>
    </row>
    <row r="7" spans="2:11" s="137" customFormat="1" ht="20.25">
      <c r="B7" s="174" t="s">
        <v>74</v>
      </c>
      <c r="C7" s="180">
        <f>Input!D52</f>
        <v>0.35</v>
      </c>
      <c r="D7" s="181">
        <f>Input!H52</f>
        <v>99</v>
      </c>
      <c r="E7" s="214">
        <f>C7*$G$7</f>
        <v>33.599999999999994</v>
      </c>
      <c r="F7" s="144" t="s">
        <v>53</v>
      </c>
      <c r="G7" s="145">
        <f>E25</f>
        <v>96</v>
      </c>
      <c r="H7" s="146">
        <f>((D7*E25*E7)+(D8*E8*E25)+(D9*E9*E25)+(D10*E10*E25)+(D11*E11*E25)+(D12*E12*E25)+(D13*E25*E13))</f>
        <v>7977738.2400000002</v>
      </c>
      <c r="I7" s="147">
        <f>H7*F14</f>
        <v>2393321.4720000001</v>
      </c>
    </row>
    <row r="8" spans="2:11" s="137" customFormat="1" ht="20.25">
      <c r="B8" s="174" t="s">
        <v>75</v>
      </c>
      <c r="C8" s="180">
        <f>Input!D53</f>
        <v>0.02</v>
      </c>
      <c r="D8" s="181">
        <f>Input!H53</f>
        <v>7709</v>
      </c>
      <c r="E8" s="214">
        <f t="shared" ref="E8:E13" si="0">C8*$G$7</f>
        <v>1.92</v>
      </c>
      <c r="F8" s="148"/>
      <c r="G8" s="149"/>
      <c r="H8" s="150"/>
      <c r="I8" s="151"/>
    </row>
    <row r="9" spans="2:11" s="137" customFormat="1" ht="20.25">
      <c r="B9" s="174" t="s">
        <v>76</v>
      </c>
      <c r="C9" s="180">
        <f>Input!D54</f>
        <v>0.08</v>
      </c>
      <c r="D9" s="181">
        <f>Input!H54</f>
        <v>5774</v>
      </c>
      <c r="E9" s="214">
        <f t="shared" si="0"/>
        <v>7.68</v>
      </c>
      <c r="F9" s="144" t="s">
        <v>54</v>
      </c>
      <c r="G9" s="145">
        <f>G25</f>
        <v>105.60000000000001</v>
      </c>
      <c r="H9" s="146">
        <f>(D7*G25*E7)+(D8*E8*G25)+(D9*E9*G25)+(D10*E10*G25)+(D11*E11*G25)+(D12*E12*G25)+(D13*G25*E13)</f>
        <v>8775512.0640000012</v>
      </c>
      <c r="I9" s="147">
        <f>H9*F14</f>
        <v>2632653.6192000001</v>
      </c>
    </row>
    <row r="10" spans="2:11" s="137" customFormat="1" ht="20.25">
      <c r="B10" s="174" t="s">
        <v>77</v>
      </c>
      <c r="C10" s="180">
        <f>Input!D55</f>
        <v>0.02</v>
      </c>
      <c r="D10" s="181">
        <f>Input!H55</f>
        <v>10388</v>
      </c>
      <c r="E10" s="214">
        <f t="shared" si="0"/>
        <v>1.92</v>
      </c>
      <c r="F10" s="148"/>
      <c r="G10" s="149"/>
      <c r="H10" s="150"/>
      <c r="I10" s="151"/>
    </row>
    <row r="11" spans="2:11" s="137" customFormat="1" ht="20.25">
      <c r="B11" s="174" t="s">
        <v>78</v>
      </c>
      <c r="C11" s="180">
        <f>Input!D56</f>
        <v>0.05</v>
      </c>
      <c r="D11" s="181">
        <f>Input!H56</f>
        <v>81</v>
      </c>
      <c r="E11" s="214">
        <f t="shared" si="0"/>
        <v>4.8000000000000007</v>
      </c>
      <c r="F11" s="144" t="s">
        <v>55</v>
      </c>
      <c r="G11" s="145">
        <f>I25</f>
        <v>116.16000000000003</v>
      </c>
      <c r="H11" s="146">
        <f>(D7*I25*E7)+(D8*E8*I25)+(D9*E9*I25)+(D10*E10*I25)+(D11*E11*I25)+(D12*E12*I25)+(D13*I25*E13)</f>
        <v>9653063.2704000007</v>
      </c>
      <c r="I11" s="147">
        <f>H11*F14</f>
        <v>2895918.9811200001</v>
      </c>
    </row>
    <row r="12" spans="2:11" s="137" customFormat="1" ht="40.5">
      <c r="B12" s="174" t="s">
        <v>79</v>
      </c>
      <c r="C12" s="180">
        <f>Input!D57</f>
        <v>0.02</v>
      </c>
      <c r="D12" s="181">
        <f>Input!H57</f>
        <v>154</v>
      </c>
      <c r="E12" s="214">
        <f t="shared" si="0"/>
        <v>1.92</v>
      </c>
      <c r="F12" s="138"/>
      <c r="G12" s="139"/>
      <c r="H12" s="152"/>
      <c r="I12" s="140"/>
    </row>
    <row r="13" spans="2:11" s="137" customFormat="1" ht="21" thickBot="1">
      <c r="B13" s="175" t="s">
        <v>84</v>
      </c>
      <c r="C13" s="182">
        <f>Input!D58</f>
        <v>0</v>
      </c>
      <c r="D13" s="183">
        <f>Input!H58</f>
        <v>0</v>
      </c>
      <c r="E13" s="215">
        <f t="shared" si="0"/>
        <v>0</v>
      </c>
      <c r="F13" s="153"/>
      <c r="G13" s="154"/>
      <c r="H13" s="155"/>
      <c r="I13" s="156"/>
    </row>
    <row r="14" spans="2:11" s="137" customFormat="1" ht="20.25">
      <c r="B14" s="141"/>
      <c r="C14" s="184"/>
      <c r="D14" s="142"/>
      <c r="E14" s="143"/>
      <c r="F14" s="157">
        <f>Input!G62</f>
        <v>0.3</v>
      </c>
      <c r="G14" s="158" t="s">
        <v>64</v>
      </c>
      <c r="H14" s="159"/>
      <c r="I14" s="160"/>
    </row>
    <row r="15" spans="2:11" s="137" customFormat="1" ht="21" thickBot="1">
      <c r="B15" s="169"/>
      <c r="C15" s="185"/>
      <c r="D15" s="170"/>
      <c r="E15" s="170"/>
      <c r="F15" s="170"/>
      <c r="G15" s="170"/>
      <c r="H15" s="170"/>
      <c r="I15" s="171"/>
    </row>
    <row r="16" spans="2:11" s="137" customFormat="1" ht="12" customHeight="1">
      <c r="B16" s="161"/>
      <c r="C16" s="161"/>
      <c r="D16" s="161"/>
      <c r="E16" s="161"/>
      <c r="F16" s="161"/>
      <c r="G16" s="161"/>
      <c r="H16" s="161"/>
      <c r="I16" s="161"/>
    </row>
    <row r="17" spans="2:9" s="137" customFormat="1" ht="12" customHeight="1">
      <c r="B17" s="161"/>
      <c r="C17" s="161"/>
      <c r="D17" s="161"/>
      <c r="E17" s="161"/>
      <c r="F17" s="161"/>
      <c r="G17" s="161"/>
      <c r="H17" s="161"/>
      <c r="I17" s="161"/>
    </row>
    <row r="18" spans="2:9" s="137" customFormat="1" ht="12" customHeight="1">
      <c r="B18" s="161"/>
      <c r="C18" s="161"/>
      <c r="D18" s="161"/>
      <c r="E18" s="161"/>
      <c r="F18" s="161"/>
      <c r="G18" s="161"/>
      <c r="H18" s="161"/>
      <c r="I18" s="161"/>
    </row>
    <row r="19" spans="2:9" s="137" customFormat="1" ht="12" customHeight="1">
      <c r="B19" s="161"/>
      <c r="C19" s="161"/>
      <c r="D19" s="161"/>
      <c r="E19" s="161"/>
      <c r="F19" s="161"/>
      <c r="G19" s="161"/>
      <c r="H19" s="161"/>
      <c r="I19" s="161"/>
    </row>
    <row r="20" spans="2:9" s="187" customFormat="1" ht="27.75" customHeight="1">
      <c r="B20" s="250" t="s">
        <v>140</v>
      </c>
      <c r="C20" s="250"/>
      <c r="D20" s="251"/>
      <c r="E20" s="251"/>
      <c r="F20" s="251"/>
      <c r="G20" s="251"/>
      <c r="H20" s="251"/>
      <c r="I20" s="251"/>
    </row>
    <row r="21" spans="2:9" s="187" customFormat="1" ht="12" customHeight="1">
      <c r="B21" s="188"/>
      <c r="C21" s="188"/>
      <c r="D21" s="188"/>
      <c r="E21" s="188"/>
      <c r="F21" s="188"/>
      <c r="G21" s="188"/>
      <c r="H21" s="188"/>
      <c r="I21" s="188"/>
    </row>
    <row r="22" spans="2:9" s="187" customFormat="1" ht="27.75" customHeight="1">
      <c r="B22" s="188"/>
      <c r="C22" s="188"/>
      <c r="D22" s="188"/>
      <c r="E22" s="189" t="s">
        <v>53</v>
      </c>
      <c r="F22" s="188"/>
      <c r="G22" s="189" t="s">
        <v>54</v>
      </c>
      <c r="H22" s="188"/>
      <c r="I22" s="189" t="s">
        <v>55</v>
      </c>
    </row>
    <row r="23" spans="2:9" s="187" customFormat="1" ht="27.75" customHeight="1">
      <c r="B23" s="190" t="s">
        <v>15</v>
      </c>
      <c r="C23" s="190"/>
      <c r="D23" s="188"/>
      <c r="E23" s="191"/>
      <c r="F23" s="188"/>
      <c r="G23" s="191"/>
      <c r="H23" s="188"/>
      <c r="I23" s="191"/>
    </row>
    <row r="24" spans="2:9" s="187" customFormat="1" ht="27.75" customHeight="1">
      <c r="B24" s="252" t="s">
        <v>101</v>
      </c>
      <c r="C24" s="252"/>
      <c r="D24" s="253"/>
      <c r="E24" s="192">
        <f>Input!G19</f>
        <v>2</v>
      </c>
      <c r="F24" s="188"/>
      <c r="G24" s="193">
        <f>E24+(E24*Input!G21)</f>
        <v>2.2000000000000002</v>
      </c>
      <c r="H24" s="188"/>
      <c r="I24" s="193">
        <f>G24+(G24*Input!G21)</f>
        <v>2.4200000000000004</v>
      </c>
    </row>
    <row r="25" spans="2:9" s="187" customFormat="1" ht="27.75" customHeight="1">
      <c r="B25" s="252" t="s">
        <v>82</v>
      </c>
      <c r="C25" s="252"/>
      <c r="D25" s="253"/>
      <c r="E25" s="194">
        <f>E24/5*Input!G20</f>
        <v>96</v>
      </c>
      <c r="F25" s="188"/>
      <c r="G25" s="194">
        <f>G24/5*Input!G20</f>
        <v>105.60000000000001</v>
      </c>
      <c r="H25" s="188"/>
      <c r="I25" s="194">
        <f>I24/5*Input!G20</f>
        <v>116.16000000000003</v>
      </c>
    </row>
    <row r="26" spans="2:9" s="187" customFormat="1" ht="27.75" customHeight="1">
      <c r="B26" s="252" t="s">
        <v>59</v>
      </c>
      <c r="C26" s="252"/>
      <c r="D26" s="253"/>
      <c r="E26" s="195">
        <f>(E25*Input!G35*Input!G37)+(Results!E25*Input!G36*Input!G38)</f>
        <v>95221.440000000002</v>
      </c>
      <c r="F26" s="188"/>
      <c r="G26" s="195">
        <f>(Results!G25*Input!G35*Input!G37)+(Results!G25*Input!G36*Input!G38)</f>
        <v>104743.584</v>
      </c>
      <c r="H26" s="188"/>
      <c r="I26" s="195">
        <f>(Results!I25*Input!G35*Input!G37)+(Results!I25*Input!G36*Input!G38)</f>
        <v>115217.94240000001</v>
      </c>
    </row>
    <row r="27" spans="2:9" s="187" customFormat="1" ht="27.75" customHeight="1">
      <c r="B27" s="196" t="s">
        <v>98</v>
      </c>
      <c r="C27" s="196"/>
      <c r="D27" s="188"/>
      <c r="E27" s="197">
        <f>IF(Input!G26="Yes",Results!E25*Input!G39,IF(Input!G26="No",0))</f>
        <v>41088</v>
      </c>
      <c r="F27" s="188"/>
      <c r="G27" s="197">
        <f>IF(Input!G26="Yes",Results!G25*Input!G39,IF(Input!G26="No",0))</f>
        <v>45196.800000000003</v>
      </c>
      <c r="H27" s="188"/>
      <c r="I27" s="197">
        <f>IF(Input!G26="Yes",Results!I25*Input!G39,IF(Input!G26="No",0))</f>
        <v>49716.48000000001</v>
      </c>
    </row>
    <row r="28" spans="2:9" s="187" customFormat="1" ht="27.75" customHeight="1">
      <c r="B28" s="252" t="s">
        <v>46</v>
      </c>
      <c r="C28" s="252"/>
      <c r="D28" s="253"/>
      <c r="E28" s="197">
        <f>IF(Input!G40="Yes",Results!E25*Input!G41,IF(Input!G40="No",0))</f>
        <v>10560</v>
      </c>
      <c r="F28" s="188"/>
      <c r="G28" s="197">
        <f>IF(Input!G40="Yes",Results!G25*Input!G41,IF(Input!G40="No",0))</f>
        <v>11616.000000000002</v>
      </c>
      <c r="H28" s="188"/>
      <c r="I28" s="197">
        <f>IF(Input!G40="Yes",Results!I25*Input!G41,IF(Input!G40="No",0))</f>
        <v>12777.600000000002</v>
      </c>
    </row>
    <row r="29" spans="2:9" s="187" customFormat="1" ht="27.75" customHeight="1">
      <c r="B29" s="252" t="s">
        <v>17</v>
      </c>
      <c r="C29" s="252"/>
      <c r="D29" s="253"/>
      <c r="E29" s="197">
        <f>H7*Input!G62</f>
        <v>2393321.4720000001</v>
      </c>
      <c r="F29" s="188"/>
      <c r="G29" s="197">
        <f>H9*Input!G62</f>
        <v>2632653.6192000001</v>
      </c>
      <c r="H29" s="188"/>
      <c r="I29" s="197">
        <f>H11*Input!G62</f>
        <v>2895918.9811200001</v>
      </c>
    </row>
    <row r="30" spans="2:9" s="187" customFormat="1" ht="27.75" customHeight="1">
      <c r="B30" s="262" t="s">
        <v>18</v>
      </c>
      <c r="C30" s="262"/>
      <c r="D30" s="253"/>
      <c r="E30" s="195">
        <f>SUM(E26:E29)</f>
        <v>2540190.912</v>
      </c>
      <c r="F30" s="188"/>
      <c r="G30" s="195">
        <f>SUM(G26:G29)</f>
        <v>2794210.0032000002</v>
      </c>
      <c r="H30" s="188"/>
      <c r="I30" s="195">
        <f>SUM(I26:I29)</f>
        <v>3073631.0035200003</v>
      </c>
    </row>
    <row r="31" spans="2:9" s="187" customFormat="1" ht="12" customHeight="1">
      <c r="B31" s="198"/>
      <c r="C31" s="198"/>
      <c r="D31" s="188"/>
      <c r="E31" s="191"/>
      <c r="F31" s="188"/>
      <c r="G31" s="191"/>
      <c r="H31" s="188"/>
      <c r="I31" s="191"/>
    </row>
    <row r="32" spans="2:9" s="187" customFormat="1" ht="27.75" customHeight="1">
      <c r="B32" s="190" t="s">
        <v>69</v>
      </c>
      <c r="C32" s="190"/>
      <c r="D32" s="188"/>
      <c r="E32" s="191"/>
      <c r="F32" s="188"/>
      <c r="G32" s="191"/>
      <c r="H32" s="188"/>
      <c r="I32" s="191"/>
    </row>
    <row r="33" spans="2:9" s="187" customFormat="1" ht="27.75" customHeight="1">
      <c r="B33" s="196" t="s">
        <v>83</v>
      </c>
      <c r="C33" s="196"/>
      <c r="D33" s="188"/>
      <c r="E33" s="197">
        <f>((Input!C9*Input!D9)+(Input!C10*Input!D10)+(Input!C11*Input!D11)+(Input!H9*Input!I9)+(Input!H10*Input!I10)+(Input!H11*Input!I11)+(Input!H12*Input!I12)+(Input!C13))</f>
        <v>0</v>
      </c>
      <c r="F33" s="188"/>
      <c r="G33" s="197">
        <v>0</v>
      </c>
      <c r="H33" s="188"/>
      <c r="I33" s="197">
        <v>0</v>
      </c>
    </row>
    <row r="34" spans="2:9" s="187" customFormat="1" ht="27.75" customHeight="1">
      <c r="B34" s="196" t="s">
        <v>66</v>
      </c>
      <c r="C34" s="196"/>
      <c r="D34" s="188"/>
      <c r="E34" s="197">
        <f>E25*Input!G27</f>
        <v>28416</v>
      </c>
      <c r="F34" s="188"/>
      <c r="G34" s="197">
        <f>G25*(Input!G27*1.03)</f>
        <v>32195.328000000001</v>
      </c>
      <c r="H34" s="188"/>
      <c r="I34" s="197">
        <f>I25*(Input!G27*1.03)*1.03</f>
        <v>36477.306624000012</v>
      </c>
    </row>
    <row r="35" spans="2:9" s="187" customFormat="1" ht="27.75" customHeight="1">
      <c r="B35" s="252" t="s">
        <v>52</v>
      </c>
      <c r="C35" s="252"/>
      <c r="D35" s="253"/>
      <c r="E35" s="197">
        <f>Input!G28</f>
        <v>15000</v>
      </c>
      <c r="F35" s="188"/>
      <c r="G35" s="197">
        <f>Input!G28</f>
        <v>15000</v>
      </c>
      <c r="H35" s="188"/>
      <c r="I35" s="197">
        <f>Input!G28</f>
        <v>15000</v>
      </c>
    </row>
    <row r="36" spans="2:9" s="187" customFormat="1" ht="27.75" customHeight="1">
      <c r="B36" s="196" t="s">
        <v>70</v>
      </c>
      <c r="C36" s="196"/>
      <c r="D36" s="188"/>
      <c r="E36" s="195">
        <f>E25*Input!G29</f>
        <v>11232</v>
      </c>
      <c r="F36" s="188"/>
      <c r="G36" s="195">
        <f>G25*Input!G29</f>
        <v>12355.2</v>
      </c>
      <c r="H36" s="188"/>
      <c r="I36" s="195">
        <f>I25*Input!G29</f>
        <v>13590.720000000003</v>
      </c>
    </row>
    <row r="37" spans="2:9" s="187" customFormat="1" ht="27.75" customHeight="1">
      <c r="B37" s="196" t="s">
        <v>45</v>
      </c>
      <c r="C37" s="196"/>
      <c r="D37" s="188"/>
      <c r="E37" s="195">
        <f>E25*Input!G30</f>
        <v>0</v>
      </c>
      <c r="F37" s="188"/>
      <c r="G37" s="195">
        <f>G25*Input!G30</f>
        <v>0</v>
      </c>
      <c r="H37" s="188"/>
      <c r="I37" s="195">
        <f>I25*Input!G30</f>
        <v>0</v>
      </c>
    </row>
    <row r="38" spans="2:9" s="187" customFormat="1" ht="27.75" customHeight="1">
      <c r="B38" s="198" t="s">
        <v>68</v>
      </c>
      <c r="C38" s="198"/>
      <c r="D38" s="188"/>
      <c r="E38" s="197">
        <f>SUM(E33:E37)</f>
        <v>54648</v>
      </c>
      <c r="F38" s="188"/>
      <c r="G38" s="197">
        <f>SUM(G33:G37)</f>
        <v>59550.528000000006</v>
      </c>
      <c r="H38" s="188"/>
      <c r="I38" s="197">
        <f>SUM(I33:I37)</f>
        <v>65068.026624000013</v>
      </c>
    </row>
    <row r="39" spans="2:9" s="187" customFormat="1" ht="27.75" customHeight="1">
      <c r="B39" s="254" t="s">
        <v>18</v>
      </c>
      <c r="C39" s="254"/>
      <c r="D39" s="255"/>
      <c r="E39" s="199">
        <f>E30-E38</f>
        <v>2485542.912</v>
      </c>
      <c r="F39" s="200"/>
      <c r="G39" s="199">
        <f>G30-G38</f>
        <v>2734659.4752000002</v>
      </c>
      <c r="H39" s="200"/>
      <c r="I39" s="199">
        <f>I30-I38</f>
        <v>3008562.9768960001</v>
      </c>
    </row>
    <row r="40" spans="2:9" s="187" customFormat="1" ht="27.75" customHeight="1">
      <c r="B40" s="256" t="s">
        <v>19</v>
      </c>
      <c r="C40" s="256"/>
      <c r="D40" s="257"/>
      <c r="E40" s="201"/>
      <c r="F40" s="202"/>
      <c r="G40" s="203">
        <f>E39+G39</f>
        <v>5220202.3871999998</v>
      </c>
      <c r="H40" s="202"/>
      <c r="I40" s="204">
        <f>E39+G39+I39</f>
        <v>8228765.3640959999</v>
      </c>
    </row>
    <row r="41" spans="2:9" s="187" customFormat="1" ht="12" customHeight="1">
      <c r="B41" s="188"/>
      <c r="C41" s="188"/>
      <c r="D41" s="188"/>
      <c r="E41" s="188"/>
      <c r="F41" s="188"/>
      <c r="G41" s="188"/>
      <c r="H41" s="188"/>
      <c r="I41" s="188"/>
    </row>
    <row r="42" spans="2:9" s="187" customFormat="1" ht="12" customHeight="1">
      <c r="B42" s="188"/>
      <c r="C42" s="188"/>
      <c r="D42" s="188"/>
      <c r="E42" s="188"/>
      <c r="F42" s="188"/>
      <c r="G42" s="188"/>
      <c r="H42" s="188"/>
      <c r="I42" s="188"/>
    </row>
    <row r="43" spans="2:9" s="187" customFormat="1" ht="12" customHeight="1">
      <c r="B43" s="188"/>
      <c r="C43" s="188"/>
      <c r="D43" s="188"/>
      <c r="E43" s="188"/>
      <c r="F43" s="188"/>
      <c r="G43" s="188"/>
      <c r="H43" s="188"/>
      <c r="I43" s="188"/>
    </row>
    <row r="44" spans="2:9" s="187" customFormat="1" ht="12" customHeight="1">
      <c r="B44" s="188"/>
      <c r="C44" s="188"/>
      <c r="D44" s="188"/>
      <c r="E44" s="188"/>
      <c r="F44" s="188"/>
      <c r="G44" s="188"/>
      <c r="H44" s="188"/>
      <c r="I44" s="188"/>
    </row>
    <row r="45" spans="2:9" s="187" customFormat="1" ht="27.75" customHeight="1">
      <c r="B45" s="250" t="s">
        <v>141</v>
      </c>
      <c r="C45" s="250"/>
      <c r="D45" s="251"/>
      <c r="E45" s="251"/>
      <c r="F45" s="251"/>
      <c r="G45" s="251"/>
      <c r="H45" s="251"/>
      <c r="I45" s="251"/>
    </row>
    <row r="46" spans="2:9" s="187" customFormat="1" ht="12" customHeight="1">
      <c r="B46" s="188"/>
      <c r="C46" s="188"/>
      <c r="D46" s="188"/>
      <c r="E46" s="188"/>
      <c r="F46" s="188"/>
      <c r="G46" s="188"/>
      <c r="H46" s="188"/>
      <c r="I46" s="188"/>
    </row>
    <row r="47" spans="2:9" s="187" customFormat="1" ht="27.75" customHeight="1">
      <c r="B47" s="188"/>
      <c r="C47" s="188"/>
      <c r="D47" s="188"/>
      <c r="E47" s="189" t="s">
        <v>53</v>
      </c>
      <c r="F47" s="188"/>
      <c r="G47" s="189" t="s">
        <v>54</v>
      </c>
      <c r="H47" s="188"/>
      <c r="I47" s="189" t="s">
        <v>55</v>
      </c>
    </row>
    <row r="48" spans="2:9" s="187" customFormat="1" ht="27.75" customHeight="1">
      <c r="B48" s="190" t="s">
        <v>15</v>
      </c>
      <c r="C48" s="190"/>
      <c r="D48" s="188"/>
      <c r="E48" s="191"/>
      <c r="F48" s="188"/>
      <c r="G48" s="191"/>
      <c r="H48" s="188"/>
      <c r="I48" s="191"/>
    </row>
    <row r="49" spans="2:9" s="187" customFormat="1" ht="27.75" customHeight="1">
      <c r="B49" s="252" t="s">
        <v>101</v>
      </c>
      <c r="C49" s="252"/>
      <c r="D49" s="253"/>
      <c r="E49" s="192">
        <f>Input!G19</f>
        <v>2</v>
      </c>
      <c r="F49" s="188"/>
      <c r="G49" s="193">
        <f>E24+(E24*Input!G21)</f>
        <v>2.2000000000000002</v>
      </c>
      <c r="H49" s="188"/>
      <c r="I49" s="193">
        <f>G24+(G24*Input!G21)</f>
        <v>2.4200000000000004</v>
      </c>
    </row>
    <row r="50" spans="2:9" s="187" customFormat="1" ht="27.75" customHeight="1">
      <c r="B50" s="252" t="s">
        <v>82</v>
      </c>
      <c r="C50" s="252"/>
      <c r="D50" s="253"/>
      <c r="E50" s="194">
        <f>E24/5*Input!G20</f>
        <v>96</v>
      </c>
      <c r="F50" s="188"/>
      <c r="G50" s="194">
        <f>G24/5*Input!G20</f>
        <v>105.60000000000001</v>
      </c>
      <c r="H50" s="188"/>
      <c r="I50" s="194">
        <f>I24/5*Input!G20</f>
        <v>116.16000000000003</v>
      </c>
    </row>
    <row r="51" spans="2:9" s="187" customFormat="1" ht="27.75" customHeight="1">
      <c r="B51" s="252" t="s">
        <v>59</v>
      </c>
      <c r="C51" s="252"/>
      <c r="D51" s="253"/>
      <c r="E51" s="195">
        <f>(Results!E25*Input!G35*Input!G37)+(Results!E25*Input!G36*Input!G38)</f>
        <v>95221.440000000002</v>
      </c>
      <c r="F51" s="188"/>
      <c r="G51" s="195">
        <f>(Results!G25*Input!G35*Input!G37)+(Results!G25*Input!G36*Input!G38)</f>
        <v>104743.584</v>
      </c>
      <c r="H51" s="188"/>
      <c r="I51" s="195">
        <f>(Results!I25*Input!G35*Input!G37)+(Results!I25*Input!G36*Input!G38)</f>
        <v>115217.94240000001</v>
      </c>
    </row>
    <row r="52" spans="2:9" s="187" customFormat="1" ht="27.75" customHeight="1">
      <c r="B52" s="196" t="s">
        <v>98</v>
      </c>
      <c r="C52" s="196"/>
      <c r="D52" s="188"/>
      <c r="E52" s="197">
        <f>IF(Input!G26="Yes",Results!E25*Input!G39,IF(Input!G26="No",0))</f>
        <v>41088</v>
      </c>
      <c r="F52" s="188"/>
      <c r="G52" s="197">
        <f>IF(Input!G26="Yes",Results!G25*Input!G39,IF(Input!G26="No",0))</f>
        <v>45196.800000000003</v>
      </c>
      <c r="H52" s="188"/>
      <c r="I52" s="197">
        <f>IF(Input!G26="Yes",Results!I25*Input!G39,IF(Input!G26="No",0))</f>
        <v>49716.48000000001</v>
      </c>
    </row>
    <row r="53" spans="2:9" s="187" customFormat="1" ht="27.75" customHeight="1">
      <c r="B53" s="252" t="s">
        <v>46</v>
      </c>
      <c r="C53" s="252"/>
      <c r="D53" s="253"/>
      <c r="E53" s="197">
        <f>IF(Input!G40="Yes",Results!E25*Input!G41,IF(Input!G40="No",0))</f>
        <v>10560</v>
      </c>
      <c r="F53" s="188"/>
      <c r="G53" s="197">
        <f>IF(Input!G40="Yes",Results!G25*Input!G41,IF(Input!G40="No",0))</f>
        <v>11616.000000000002</v>
      </c>
      <c r="H53" s="188"/>
      <c r="I53" s="197">
        <f>IF(Input!G40="Yes",Results!I25*Input!G41,IF(Input!G40="No",0))</f>
        <v>12777.600000000002</v>
      </c>
    </row>
    <row r="54" spans="2:9" s="187" customFormat="1" ht="27.75" customHeight="1">
      <c r="B54" s="252" t="s">
        <v>17</v>
      </c>
      <c r="C54" s="252"/>
      <c r="D54" s="253"/>
      <c r="E54" s="197">
        <f>H7*Input!G62</f>
        <v>2393321.4720000001</v>
      </c>
      <c r="F54" s="188"/>
      <c r="G54" s="197">
        <f>H9*Input!G62</f>
        <v>2632653.6192000001</v>
      </c>
      <c r="H54" s="188"/>
      <c r="I54" s="197">
        <f>H11*Input!G62</f>
        <v>2895918.9811200001</v>
      </c>
    </row>
    <row r="55" spans="2:9" s="187" customFormat="1" ht="27.75" customHeight="1">
      <c r="B55" s="262" t="s">
        <v>18</v>
      </c>
      <c r="C55" s="262"/>
      <c r="D55" s="253"/>
      <c r="E55" s="195">
        <f>SUM(E51:E54)</f>
        <v>2540190.912</v>
      </c>
      <c r="F55" s="188"/>
      <c r="G55" s="195">
        <f>SUM(G51:G54)</f>
        <v>2794210.0032000002</v>
      </c>
      <c r="H55" s="188"/>
      <c r="I55" s="195">
        <f>SUM(I51:I54)</f>
        <v>3073631.0035200003</v>
      </c>
    </row>
    <row r="56" spans="2:9" s="187" customFormat="1" ht="27.75" customHeight="1">
      <c r="B56" s="198"/>
      <c r="C56" s="198"/>
      <c r="D56" s="188"/>
      <c r="E56" s="191"/>
      <c r="F56" s="188"/>
      <c r="G56" s="191"/>
      <c r="H56" s="188"/>
      <c r="I56" s="191"/>
    </row>
    <row r="57" spans="2:9" s="187" customFormat="1" ht="27.75" customHeight="1">
      <c r="B57" s="190" t="s">
        <v>69</v>
      </c>
      <c r="C57" s="190"/>
      <c r="D57" s="188"/>
      <c r="E57" s="191"/>
      <c r="F57" s="188"/>
      <c r="G57" s="191"/>
      <c r="H57" s="188"/>
      <c r="I57" s="191"/>
    </row>
    <row r="58" spans="2:9" s="187" customFormat="1" ht="27.75" customHeight="1">
      <c r="B58" s="196" t="s">
        <v>83</v>
      </c>
      <c r="C58" s="196"/>
      <c r="D58" s="188"/>
      <c r="E58" s="197">
        <f>((Input!C9*Input!D9)+(Input!C10*Input!D10)+(Input!C11*Input!D11)+(Input!H9*Input!I9)+(Input!H10*Input!I10)+(Input!H11*Input!I11)+(Input!H12*Input!I12)+(Input!C13))/3</f>
        <v>0</v>
      </c>
      <c r="F58" s="188"/>
      <c r="G58" s="197">
        <f>((Input!C9*Input!D9)+(Input!C10*Input!D10)+(Input!C11*Input!D11)+(Input!H9*Input!I9)+(Input!H10*Input!I10)+(Input!H11*Input!I11)+(Input!H12*Input!I12)+(Input!C13))/3</f>
        <v>0</v>
      </c>
      <c r="H58" s="188"/>
      <c r="I58" s="197">
        <f>((Input!C9*Input!D9)+(Input!C10*Input!D10)+(Input!C11*Input!D11)+(Input!H9*Input!I9)+(Input!H10*Input!I10)+(Input!H11*Input!I11)+(Input!H12*Input!I12)+(Input!C13))/3</f>
        <v>0</v>
      </c>
    </row>
    <row r="59" spans="2:9" s="187" customFormat="1" ht="27.75" customHeight="1">
      <c r="B59" s="196" t="s">
        <v>66</v>
      </c>
      <c r="C59" s="196"/>
      <c r="D59" s="188"/>
      <c r="E59" s="197">
        <f>E25*Input!G27</f>
        <v>28416</v>
      </c>
      <c r="F59" s="188"/>
      <c r="G59" s="197">
        <f>G25*(Input!G27*1.03)</f>
        <v>32195.328000000001</v>
      </c>
      <c r="H59" s="188"/>
      <c r="I59" s="197">
        <f>I25*(Input!G27*1.03)*1.03</f>
        <v>36477.306624000012</v>
      </c>
    </row>
    <row r="60" spans="2:9" s="187" customFormat="1" ht="27.75" customHeight="1">
      <c r="B60" s="252" t="s">
        <v>52</v>
      </c>
      <c r="C60" s="252"/>
      <c r="D60" s="253"/>
      <c r="E60" s="197">
        <f>Input!G28</f>
        <v>15000</v>
      </c>
      <c r="F60" s="188"/>
      <c r="G60" s="197">
        <f>Input!G28</f>
        <v>15000</v>
      </c>
      <c r="H60" s="188"/>
      <c r="I60" s="197">
        <f>Input!G28</f>
        <v>15000</v>
      </c>
    </row>
    <row r="61" spans="2:9" s="187" customFormat="1" ht="27.75" customHeight="1">
      <c r="B61" s="196" t="s">
        <v>70</v>
      </c>
      <c r="C61" s="196"/>
      <c r="D61" s="188"/>
      <c r="E61" s="195">
        <f>E25*Input!G29</f>
        <v>11232</v>
      </c>
      <c r="F61" s="188"/>
      <c r="G61" s="195">
        <f>G25*Input!G29</f>
        <v>12355.2</v>
      </c>
      <c r="H61" s="188"/>
      <c r="I61" s="195">
        <f>I25*Input!G29</f>
        <v>13590.720000000003</v>
      </c>
    </row>
    <row r="62" spans="2:9" s="187" customFormat="1" ht="27.75" customHeight="1">
      <c r="B62" s="196" t="s">
        <v>45</v>
      </c>
      <c r="C62" s="196"/>
      <c r="D62" s="188"/>
      <c r="E62" s="195">
        <f>E25*Input!G30</f>
        <v>0</v>
      </c>
      <c r="F62" s="188"/>
      <c r="G62" s="195">
        <f>G25*Input!G30</f>
        <v>0</v>
      </c>
      <c r="H62" s="188"/>
      <c r="I62" s="195">
        <f>I25*Input!G30</f>
        <v>0</v>
      </c>
    </row>
    <row r="63" spans="2:9" s="187" customFormat="1" ht="27.75" customHeight="1">
      <c r="B63" s="198" t="s">
        <v>68</v>
      </c>
      <c r="C63" s="198"/>
      <c r="D63" s="188"/>
      <c r="E63" s="197">
        <f>SUM(E58:E62)</f>
        <v>54648</v>
      </c>
      <c r="F63" s="188"/>
      <c r="G63" s="197">
        <f>SUM(G58:G62)</f>
        <v>59550.528000000006</v>
      </c>
      <c r="H63" s="188"/>
      <c r="I63" s="197">
        <f>SUM(I58:I62)</f>
        <v>65068.026624000013</v>
      </c>
    </row>
    <row r="64" spans="2:9" s="187" customFormat="1" ht="27.75" customHeight="1">
      <c r="B64" s="254" t="s">
        <v>18</v>
      </c>
      <c r="C64" s="254"/>
      <c r="D64" s="255"/>
      <c r="E64" s="199">
        <f>E55-E63</f>
        <v>2485542.912</v>
      </c>
      <c r="F64" s="200"/>
      <c r="G64" s="199">
        <f>G55-G63</f>
        <v>2734659.4752000002</v>
      </c>
      <c r="H64" s="200"/>
      <c r="I64" s="199">
        <f>I55-I63</f>
        <v>3008562.9768960001</v>
      </c>
    </row>
    <row r="65" spans="2:9" s="187" customFormat="1" ht="27.75" customHeight="1">
      <c r="B65" s="256" t="s">
        <v>20</v>
      </c>
      <c r="C65" s="256"/>
      <c r="D65" s="257"/>
      <c r="E65" s="201"/>
      <c r="F65" s="202"/>
      <c r="G65" s="203">
        <f>E64+G64</f>
        <v>5220202.3871999998</v>
      </c>
      <c r="H65" s="202"/>
      <c r="I65" s="204">
        <f>E64+G64+I64</f>
        <v>8228765.3640959999</v>
      </c>
    </row>
    <row r="66" spans="2:9" s="137" customFormat="1" ht="20.25">
      <c r="B66" s="161"/>
      <c r="C66" s="161"/>
      <c r="D66" s="161"/>
      <c r="E66" s="161"/>
      <c r="F66" s="161"/>
      <c r="G66" s="161"/>
      <c r="H66" s="161"/>
      <c r="I66" s="161"/>
    </row>
    <row r="67" spans="2:9" s="137" customFormat="1" ht="20.25">
      <c r="B67" s="161"/>
      <c r="C67" s="161"/>
      <c r="D67" s="161"/>
      <c r="E67" s="161"/>
      <c r="F67" s="161"/>
      <c r="G67" s="161"/>
      <c r="H67" s="161"/>
      <c r="I67" s="161"/>
    </row>
    <row r="68" spans="2:9" s="137" customFormat="1" ht="27" customHeight="1">
      <c r="B68" s="264" t="s">
        <v>138</v>
      </c>
      <c r="C68" s="264"/>
      <c r="D68" s="264"/>
      <c r="E68" s="264"/>
      <c r="F68" s="264"/>
      <c r="G68" s="264"/>
      <c r="H68" s="264"/>
      <c r="I68" s="264"/>
    </row>
    <row r="69" spans="2:9" s="137" customFormat="1" ht="20.25">
      <c r="B69" s="161"/>
      <c r="C69" s="161"/>
      <c r="D69" s="161"/>
      <c r="E69" s="161"/>
      <c r="F69" s="161"/>
      <c r="G69" s="161"/>
      <c r="H69" s="161"/>
      <c r="I69" s="161"/>
    </row>
    <row r="70" spans="2:9" s="137" customFormat="1" ht="20.25">
      <c r="B70" s="161"/>
      <c r="C70" s="161"/>
      <c r="D70" s="161"/>
      <c r="E70" s="161"/>
      <c r="F70" s="161"/>
      <c r="G70" s="161"/>
      <c r="H70" s="161"/>
      <c r="I70" s="161"/>
    </row>
    <row r="71" spans="2:9" s="137" customFormat="1" ht="20.25">
      <c r="B71" s="161"/>
      <c r="C71" s="161"/>
      <c r="D71" s="161"/>
      <c r="E71" s="161"/>
      <c r="F71" s="161"/>
      <c r="G71" s="161"/>
      <c r="H71" s="161"/>
      <c r="I71" s="161"/>
    </row>
    <row r="72" spans="2:9" s="137" customFormat="1" ht="36" customHeight="1">
      <c r="B72" s="216" t="s">
        <v>60</v>
      </c>
      <c r="C72" s="162"/>
      <c r="D72" s="161"/>
      <c r="E72" s="161"/>
      <c r="F72" s="161"/>
      <c r="G72" s="161"/>
      <c r="H72" s="161"/>
      <c r="I72" s="161"/>
    </row>
    <row r="73" spans="2:9" s="137" customFormat="1" ht="48.75" customHeight="1">
      <c r="B73" s="263" t="s">
        <v>35</v>
      </c>
      <c r="C73" s="263"/>
      <c r="D73" s="263"/>
      <c r="E73" s="263"/>
      <c r="F73" s="263"/>
      <c r="G73" s="263"/>
      <c r="H73" s="263"/>
      <c r="I73" s="263"/>
    </row>
    <row r="74" spans="2:9" s="137" customFormat="1" ht="48.75" customHeight="1">
      <c r="B74" s="263"/>
      <c r="C74" s="263"/>
      <c r="D74" s="263"/>
      <c r="E74" s="263"/>
      <c r="F74" s="263"/>
      <c r="G74" s="263"/>
      <c r="H74" s="263"/>
      <c r="I74" s="263"/>
    </row>
    <row r="75" spans="2:9" s="137" customFormat="1" ht="48.75" customHeight="1">
      <c r="B75" s="263"/>
      <c r="C75" s="263"/>
      <c r="D75" s="263"/>
      <c r="E75" s="263"/>
      <c r="F75" s="263"/>
      <c r="G75" s="263"/>
      <c r="H75" s="263"/>
      <c r="I75" s="263"/>
    </row>
    <row r="76" spans="2:9" s="137" customFormat="1" ht="48.75" customHeight="1">
      <c r="B76" s="263"/>
      <c r="C76" s="263"/>
      <c r="D76" s="263"/>
      <c r="E76" s="263"/>
      <c r="F76" s="263"/>
      <c r="G76" s="263"/>
      <c r="H76" s="263"/>
      <c r="I76" s="263"/>
    </row>
    <row r="77" spans="2:9" s="137" customFormat="1" ht="48.75" customHeight="1">
      <c r="B77" s="263"/>
      <c r="C77" s="263"/>
      <c r="D77" s="263"/>
      <c r="E77" s="263"/>
      <c r="F77" s="263"/>
      <c r="G77" s="263"/>
      <c r="H77" s="263"/>
      <c r="I77" s="263"/>
    </row>
    <row r="78" spans="2:9" s="137" customFormat="1" ht="48.75" customHeight="1">
      <c r="B78" s="263"/>
      <c r="C78" s="263"/>
      <c r="D78" s="263"/>
      <c r="E78" s="263"/>
      <c r="F78" s="263"/>
      <c r="G78" s="263"/>
      <c r="H78" s="263"/>
      <c r="I78" s="263"/>
    </row>
    <row r="79" spans="2:9" s="137" customFormat="1" ht="48.75" customHeight="1">
      <c r="B79" s="263"/>
      <c r="C79" s="263"/>
      <c r="D79" s="263"/>
      <c r="E79" s="263"/>
      <c r="F79" s="263"/>
      <c r="G79" s="263"/>
      <c r="H79" s="263"/>
      <c r="I79" s="263"/>
    </row>
    <row r="80" spans="2:9" s="137" customFormat="1" ht="48.75" customHeight="1">
      <c r="B80" s="263"/>
      <c r="C80" s="263"/>
      <c r="D80" s="263"/>
      <c r="E80" s="263"/>
      <c r="F80" s="263"/>
      <c r="G80" s="263"/>
      <c r="H80" s="263"/>
      <c r="I80" s="263"/>
    </row>
    <row r="81" spans="2:9" s="137" customFormat="1" ht="48.75" customHeight="1">
      <c r="B81" s="263"/>
      <c r="C81" s="263"/>
      <c r="D81" s="263"/>
      <c r="E81" s="263"/>
      <c r="F81" s="263"/>
      <c r="G81" s="263"/>
      <c r="H81" s="263"/>
      <c r="I81" s="263"/>
    </row>
    <row r="82" spans="2:9" ht="14.25">
      <c r="B82" s="2"/>
      <c r="C82" s="2"/>
      <c r="D82" s="2"/>
      <c r="E82" s="2"/>
      <c r="F82" s="2"/>
      <c r="G82" s="2"/>
      <c r="H82" s="2"/>
      <c r="I82" s="4"/>
    </row>
    <row r="83" spans="2:9"/>
    <row r="84" spans="2:9"/>
    <row r="85" spans="2:9" ht="14.25" hidden="1">
      <c r="I85" s="4"/>
    </row>
    <row r="86" spans="2:9" hidden="1"/>
    <row r="87" spans="2:9" hidden="1"/>
    <row r="88" spans="2:9" hidden="1"/>
    <row r="89" spans="2:9" hidden="1"/>
    <row r="90" spans="2:9" hidden="1"/>
    <row r="91" spans="2:9" hidden="1"/>
    <row r="92" spans="2:9" hidden="1"/>
    <row r="93" spans="2:9" hidden="1"/>
    <row r="94" spans="2:9" hidden="1"/>
    <row r="95" spans="2:9" hidden="1"/>
    <row r="96" spans="2:9" hidden="1"/>
    <row r="97" spans="9:9" hidden="1"/>
    <row r="98" spans="9:9" ht="23.25" hidden="1" customHeight="1">
      <c r="I98" s="163"/>
    </row>
    <row r="99" spans="9:9" ht="15.75" hidden="1">
      <c r="I99" s="163"/>
    </row>
  </sheetData>
  <mergeCells count="24">
    <mergeCell ref="B73:I81"/>
    <mergeCell ref="B54:D54"/>
    <mergeCell ref="B60:D60"/>
    <mergeCell ref="B49:D49"/>
    <mergeCell ref="B50:D50"/>
    <mergeCell ref="B51:D51"/>
    <mergeCell ref="B53:D53"/>
    <mergeCell ref="B55:D55"/>
    <mergeCell ref="B64:D64"/>
    <mergeCell ref="B65:D65"/>
    <mergeCell ref="B68:I68"/>
    <mergeCell ref="B1:I1"/>
    <mergeCell ref="B45:I45"/>
    <mergeCell ref="B26:D26"/>
    <mergeCell ref="B24:D24"/>
    <mergeCell ref="B25:D25"/>
    <mergeCell ref="B28:D28"/>
    <mergeCell ref="B39:D39"/>
    <mergeCell ref="B40:D40"/>
    <mergeCell ref="B3:I3"/>
    <mergeCell ref="B29:D29"/>
    <mergeCell ref="B35:D35"/>
    <mergeCell ref="B20:I20"/>
    <mergeCell ref="B30:D30"/>
  </mergeCells>
  <phoneticPr fontId="0" type="noConversion"/>
  <pageMargins left="0.75" right="0.75" top="1" bottom="0.75" header="0.3" footer="0.3"/>
  <pageSetup scale="29" orientation="portrait" r:id="rId1"/>
  <headerFooter>
    <oddHeader>&amp;C&amp;G</oddHeader>
    <oddFooter>&amp;REUS0027V04</oddFooter>
  </headerFooter>
  <legacyDrawing r:id="rId2"/>
  <legacyDrawingHF r:id="rId3"/>
</worksheet>
</file>

<file path=xl/worksheets/sheet5.xml><?xml version="1.0" encoding="utf-8"?>
<worksheet xmlns="http://schemas.openxmlformats.org/spreadsheetml/2006/main" xmlns:r="http://schemas.openxmlformats.org/officeDocument/2006/relationships">
  <sheetPr codeName="Sheet4"/>
  <dimension ref="A1:N44"/>
  <sheetViews>
    <sheetView topLeftCell="B1" zoomScaleNormal="100" zoomScalePageLayoutView="79" workbookViewId="0">
      <selection activeCell="F31" sqref="F31:L31"/>
    </sheetView>
  </sheetViews>
  <sheetFormatPr defaultColWidth="0" defaultRowHeight="12.75" zeroHeight="1"/>
  <cols>
    <col min="1" max="2" width="2.625" style="7" customWidth="1"/>
    <col min="3" max="3" width="10.625" style="7" customWidth="1"/>
    <col min="4" max="4" width="16.625" style="7" customWidth="1"/>
    <col min="5" max="5" width="15.625" style="10" customWidth="1"/>
    <col min="6" max="12" width="10.625" style="7" customWidth="1"/>
    <col min="13" max="13" width="2.5" style="7" customWidth="1"/>
    <col min="14" max="14" width="10.75" style="7" customWidth="1"/>
    <col min="15" max="16384" width="10.75" style="7" hidden="1"/>
  </cols>
  <sheetData>
    <row r="1" spans="2:14" ht="24" customHeight="1">
      <c r="B1" s="269" t="s">
        <v>27</v>
      </c>
      <c r="C1" s="269"/>
      <c r="D1" s="269"/>
      <c r="E1" s="269"/>
      <c r="F1" s="269"/>
      <c r="G1" s="269"/>
      <c r="H1" s="269"/>
      <c r="I1" s="269"/>
      <c r="J1" s="269"/>
      <c r="K1" s="269"/>
      <c r="L1" s="269"/>
      <c r="M1" s="269"/>
    </row>
    <row r="2" spans="2:14" s="41" customFormat="1" ht="15" customHeight="1">
      <c r="B2" s="54"/>
      <c r="C2" s="54"/>
      <c r="D2" s="54"/>
      <c r="E2" s="54"/>
      <c r="F2" s="54"/>
      <c r="G2" s="54"/>
      <c r="H2" s="54"/>
      <c r="I2" s="54"/>
      <c r="J2" s="54"/>
      <c r="K2" s="54"/>
      <c r="L2" s="54"/>
      <c r="M2" s="54"/>
    </row>
    <row r="3" spans="2:14" s="53" customFormat="1" ht="15" customHeight="1">
      <c r="B3" s="270" t="s">
        <v>36</v>
      </c>
      <c r="C3" s="270"/>
      <c r="D3" s="270"/>
      <c r="E3" s="270"/>
      <c r="F3" s="270"/>
      <c r="G3" s="270"/>
      <c r="H3" s="270"/>
      <c r="I3" s="270"/>
      <c r="J3" s="270"/>
      <c r="K3" s="270"/>
      <c r="L3" s="270"/>
      <c r="M3" s="270"/>
    </row>
    <row r="4" spans="2:14" ht="15" customHeight="1">
      <c r="B4" s="41"/>
      <c r="C4" s="42"/>
      <c r="D4" s="42"/>
      <c r="E4" s="42"/>
      <c r="F4" s="42"/>
      <c r="G4" s="42"/>
      <c r="H4" s="42"/>
      <c r="I4" s="42"/>
      <c r="J4" s="42"/>
      <c r="K4" s="42"/>
      <c r="L4" s="42"/>
      <c r="M4" s="13"/>
    </row>
    <row r="5" spans="2:14">
      <c r="B5" s="41"/>
      <c r="C5" s="43"/>
      <c r="D5" s="41"/>
      <c r="E5" s="44"/>
      <c r="F5" s="268"/>
      <c r="G5" s="268"/>
      <c r="H5" s="268"/>
      <c r="I5" s="268"/>
      <c r="J5" s="41"/>
      <c r="K5" s="41"/>
      <c r="L5" s="41"/>
      <c r="M5" s="11"/>
    </row>
    <row r="6" spans="2:14">
      <c r="B6" s="41"/>
      <c r="C6" s="43" t="s">
        <v>49</v>
      </c>
      <c r="D6" s="41"/>
      <c r="E6" s="44" t="s">
        <v>42</v>
      </c>
      <c r="F6" s="268" t="s">
        <v>48</v>
      </c>
      <c r="G6" s="268"/>
      <c r="H6" s="268"/>
      <c r="I6" s="268"/>
      <c r="J6" s="41"/>
      <c r="K6" s="41"/>
      <c r="L6" s="41"/>
      <c r="M6" s="11"/>
    </row>
    <row r="7" spans="2:14">
      <c r="B7" s="41"/>
      <c r="C7" s="41"/>
      <c r="D7" s="41"/>
      <c r="E7" s="45"/>
      <c r="F7" s="41"/>
      <c r="G7" s="41"/>
      <c r="H7" s="41"/>
      <c r="I7" s="41"/>
      <c r="J7" s="41"/>
      <c r="K7" s="41"/>
      <c r="L7" s="41"/>
      <c r="M7" s="11"/>
    </row>
    <row r="8" spans="2:14" ht="12.95" customHeight="1">
      <c r="B8" s="41"/>
      <c r="C8" s="271" t="s">
        <v>89</v>
      </c>
      <c r="D8" s="271"/>
      <c r="E8" s="45" t="s">
        <v>145</v>
      </c>
      <c r="F8" s="265" t="s">
        <v>146</v>
      </c>
      <c r="G8" s="265"/>
      <c r="H8" s="265"/>
      <c r="I8" s="265"/>
      <c r="J8" s="265"/>
      <c r="K8" s="265"/>
      <c r="L8" s="265"/>
      <c r="M8" s="39"/>
      <c r="N8" s="30"/>
    </row>
    <row r="9" spans="2:14" ht="39" customHeight="1">
      <c r="B9" s="41"/>
      <c r="C9" s="41"/>
      <c r="D9" s="41"/>
      <c r="E9" s="46" t="s">
        <v>1</v>
      </c>
      <c r="F9" s="265"/>
      <c r="G9" s="265"/>
      <c r="H9" s="265"/>
      <c r="I9" s="265"/>
      <c r="J9" s="265"/>
      <c r="K9" s="265"/>
      <c r="L9" s="265"/>
      <c r="M9" s="39"/>
    </row>
    <row r="10" spans="2:14" ht="9" customHeight="1">
      <c r="B10" s="41"/>
      <c r="C10" s="41"/>
      <c r="D10" s="41"/>
      <c r="E10" s="45"/>
      <c r="F10" s="41"/>
      <c r="G10" s="208"/>
      <c r="H10" s="208"/>
      <c r="I10" s="208"/>
      <c r="J10" s="41"/>
      <c r="K10" s="41"/>
      <c r="L10" s="41"/>
      <c r="M10" s="11"/>
    </row>
    <row r="11" spans="2:14" ht="63" customHeight="1">
      <c r="B11" s="41"/>
      <c r="C11" s="208" t="s">
        <v>71</v>
      </c>
      <c r="D11" s="208"/>
      <c r="E11" s="47">
        <v>180</v>
      </c>
      <c r="F11" s="265" t="s">
        <v>14</v>
      </c>
      <c r="G11" s="265"/>
      <c r="H11" s="265"/>
      <c r="I11" s="265"/>
      <c r="J11" s="265"/>
      <c r="K11" s="265"/>
      <c r="L11" s="265"/>
      <c r="M11" s="39"/>
    </row>
    <row r="12" spans="2:14" ht="9" customHeight="1">
      <c r="B12" s="41"/>
      <c r="C12" s="41"/>
      <c r="D12" s="41"/>
      <c r="E12" s="45"/>
      <c r="F12" s="207"/>
      <c r="G12" s="207"/>
      <c r="H12" s="207"/>
      <c r="I12" s="207"/>
      <c r="J12" s="41"/>
      <c r="K12" s="41"/>
      <c r="L12" s="41"/>
      <c r="M12" s="11"/>
    </row>
    <row r="13" spans="2:14" ht="12.75" customHeight="1">
      <c r="B13" s="41"/>
      <c r="C13" s="271" t="s">
        <v>23</v>
      </c>
      <c r="D13" s="271"/>
      <c r="E13" s="217">
        <v>927</v>
      </c>
      <c r="F13" s="265" t="s">
        <v>147</v>
      </c>
      <c r="G13" s="265"/>
      <c r="H13" s="265"/>
      <c r="I13" s="265"/>
      <c r="J13" s="265"/>
      <c r="K13" s="265"/>
      <c r="L13" s="265"/>
      <c r="M13" s="39"/>
    </row>
    <row r="14" spans="2:14" ht="27.75" customHeight="1">
      <c r="B14" s="41"/>
      <c r="C14" s="272" t="s">
        <v>50</v>
      </c>
      <c r="D14" s="272"/>
      <c r="E14" s="45"/>
      <c r="F14" s="265"/>
      <c r="G14" s="265"/>
      <c r="H14" s="265"/>
      <c r="I14" s="265"/>
      <c r="J14" s="265"/>
      <c r="K14" s="265"/>
      <c r="L14" s="265"/>
      <c r="M14" s="39"/>
    </row>
    <row r="15" spans="2:14" ht="9" customHeight="1">
      <c r="B15" s="41"/>
      <c r="C15" s="41"/>
      <c r="D15" s="41"/>
      <c r="E15" s="45"/>
      <c r="F15" s="41"/>
      <c r="G15" s="41"/>
      <c r="H15" s="41"/>
      <c r="I15" s="41"/>
      <c r="J15" s="41"/>
      <c r="K15" s="41"/>
      <c r="L15" s="41"/>
      <c r="M15" s="11"/>
    </row>
    <row r="16" spans="2:14" ht="12.95" customHeight="1">
      <c r="B16" s="41"/>
      <c r="C16" s="272" t="s">
        <v>105</v>
      </c>
      <c r="D16" s="272"/>
      <c r="E16" s="217">
        <v>1019.7</v>
      </c>
      <c r="F16" s="265" t="s">
        <v>148</v>
      </c>
      <c r="G16" s="265"/>
      <c r="H16" s="265"/>
      <c r="I16" s="265"/>
      <c r="J16" s="265"/>
      <c r="K16" s="265"/>
      <c r="L16" s="265"/>
      <c r="M16" s="39"/>
    </row>
    <row r="17" spans="2:14" ht="27" customHeight="1">
      <c r="B17" s="41"/>
      <c r="C17" s="41"/>
      <c r="D17" s="41"/>
      <c r="E17" s="45"/>
      <c r="F17" s="265"/>
      <c r="G17" s="265"/>
      <c r="H17" s="265"/>
      <c r="I17" s="265"/>
      <c r="J17" s="265"/>
      <c r="K17" s="265"/>
      <c r="L17" s="265"/>
      <c r="M17" s="39"/>
    </row>
    <row r="18" spans="2:14" ht="9" customHeight="1">
      <c r="B18" s="41"/>
      <c r="C18" s="41"/>
      <c r="D18" s="41"/>
      <c r="E18" s="45"/>
      <c r="F18" s="48"/>
      <c r="G18" s="48"/>
      <c r="H18" s="48"/>
      <c r="I18" s="207"/>
      <c r="J18" s="41"/>
      <c r="K18" s="41"/>
      <c r="L18" s="41"/>
      <c r="M18" s="11"/>
    </row>
    <row r="19" spans="2:14" ht="42" customHeight="1">
      <c r="B19" s="41"/>
      <c r="C19" s="272" t="s">
        <v>51</v>
      </c>
      <c r="D19" s="272"/>
      <c r="E19" s="47">
        <v>428</v>
      </c>
      <c r="F19" s="265" t="s">
        <v>149</v>
      </c>
      <c r="G19" s="265"/>
      <c r="H19" s="265"/>
      <c r="I19" s="265"/>
      <c r="J19" s="265"/>
      <c r="K19" s="265"/>
      <c r="L19" s="265"/>
      <c r="M19" s="39"/>
      <c r="N19" s="30"/>
    </row>
    <row r="20" spans="2:14" ht="9" customHeight="1">
      <c r="B20" s="41"/>
      <c r="C20" s="41"/>
      <c r="D20" s="41"/>
      <c r="E20" s="45"/>
      <c r="F20" s="41"/>
      <c r="G20" s="41"/>
      <c r="H20" s="41"/>
      <c r="I20" s="41"/>
      <c r="J20" s="41"/>
      <c r="K20" s="41"/>
      <c r="L20" s="41"/>
      <c r="M20" s="11"/>
    </row>
    <row r="21" spans="2:14" ht="64.5" customHeight="1">
      <c r="B21" s="41"/>
      <c r="C21" s="208" t="s">
        <v>43</v>
      </c>
      <c r="D21" s="208"/>
      <c r="E21" s="47">
        <v>110</v>
      </c>
      <c r="F21" s="265" t="s">
        <v>150</v>
      </c>
      <c r="G21" s="265"/>
      <c r="H21" s="265"/>
      <c r="I21" s="265"/>
      <c r="J21" s="265"/>
      <c r="K21" s="265"/>
      <c r="L21" s="265"/>
      <c r="M21" s="39"/>
      <c r="N21" s="30"/>
    </row>
    <row r="22" spans="2:14" ht="9" customHeight="1">
      <c r="B22" s="41"/>
      <c r="C22" s="41"/>
      <c r="D22" s="41"/>
      <c r="E22" s="45"/>
      <c r="F22" s="41"/>
      <c r="G22" s="208"/>
      <c r="H22" s="208"/>
      <c r="I22" s="208"/>
      <c r="J22" s="41"/>
      <c r="K22" s="41"/>
      <c r="L22" s="41"/>
      <c r="M22" s="11"/>
    </row>
    <row r="23" spans="2:14" ht="75.75" customHeight="1">
      <c r="B23" s="41"/>
      <c r="C23" s="208" t="s">
        <v>44</v>
      </c>
      <c r="D23" s="208"/>
      <c r="E23" s="47">
        <v>99</v>
      </c>
      <c r="F23" s="265" t="s">
        <v>151</v>
      </c>
      <c r="G23" s="265"/>
      <c r="H23" s="265"/>
      <c r="I23" s="265"/>
      <c r="J23" s="265"/>
      <c r="K23" s="265"/>
      <c r="L23" s="265"/>
      <c r="M23" s="39"/>
      <c r="N23" s="30"/>
    </row>
    <row r="24" spans="2:14" ht="9" customHeight="1">
      <c r="B24" s="41"/>
      <c r="C24" s="41"/>
      <c r="D24" s="41"/>
      <c r="E24" s="45"/>
      <c r="F24" s="206"/>
      <c r="G24" s="206"/>
      <c r="H24" s="206"/>
      <c r="I24" s="206"/>
      <c r="J24" s="41"/>
      <c r="K24" s="41"/>
      <c r="L24" s="41"/>
      <c r="M24" s="11"/>
    </row>
    <row r="25" spans="2:14" ht="51" customHeight="1">
      <c r="B25" s="41"/>
      <c r="C25" s="208" t="s">
        <v>37</v>
      </c>
      <c r="D25" s="208"/>
      <c r="E25" s="47">
        <v>7709</v>
      </c>
      <c r="F25" s="265" t="s">
        <v>152</v>
      </c>
      <c r="G25" s="265"/>
      <c r="H25" s="265"/>
      <c r="I25" s="265"/>
      <c r="J25" s="265"/>
      <c r="K25" s="265"/>
      <c r="L25" s="265"/>
      <c r="M25" s="39"/>
      <c r="N25" s="30"/>
    </row>
    <row r="26" spans="2:14" ht="9" customHeight="1">
      <c r="B26" s="41"/>
      <c r="C26" s="41"/>
      <c r="D26" s="41"/>
      <c r="E26" s="49"/>
      <c r="F26" s="208"/>
      <c r="G26" s="208"/>
      <c r="H26" s="208"/>
      <c r="I26" s="208"/>
      <c r="J26" s="41"/>
      <c r="K26" s="41"/>
      <c r="L26" s="41"/>
      <c r="M26" s="11"/>
    </row>
    <row r="27" spans="2:14" ht="51" customHeight="1">
      <c r="B27" s="41"/>
      <c r="C27" s="208" t="s">
        <v>38</v>
      </c>
      <c r="D27" s="208"/>
      <c r="E27" s="218">
        <v>5774</v>
      </c>
      <c r="F27" s="265" t="s">
        <v>153</v>
      </c>
      <c r="G27" s="265"/>
      <c r="H27" s="265"/>
      <c r="I27" s="265"/>
      <c r="J27" s="265"/>
      <c r="K27" s="265"/>
      <c r="L27" s="265"/>
      <c r="M27" s="39"/>
      <c r="N27" s="30"/>
    </row>
    <row r="28" spans="2:14" ht="9" customHeight="1">
      <c r="B28" s="41"/>
      <c r="C28" s="41"/>
      <c r="D28" s="41"/>
      <c r="E28" s="49"/>
      <c r="F28" s="41"/>
      <c r="G28" s="41"/>
      <c r="H28" s="41"/>
      <c r="I28" s="41"/>
      <c r="J28" s="41"/>
      <c r="K28" s="41"/>
      <c r="L28" s="41"/>
      <c r="M28" s="11"/>
    </row>
    <row r="29" spans="2:14" ht="65.25" customHeight="1">
      <c r="B29" s="41"/>
      <c r="C29" s="208" t="s">
        <v>39</v>
      </c>
      <c r="D29" s="208"/>
      <c r="E29" s="218">
        <v>10388</v>
      </c>
      <c r="F29" s="265" t="s">
        <v>154</v>
      </c>
      <c r="G29" s="265"/>
      <c r="H29" s="265"/>
      <c r="I29" s="265"/>
      <c r="J29" s="265"/>
      <c r="K29" s="265"/>
      <c r="L29" s="265"/>
      <c r="M29" s="39"/>
      <c r="N29" s="30"/>
    </row>
    <row r="30" spans="2:14">
      <c r="B30" s="41"/>
      <c r="C30" s="41"/>
      <c r="D30" s="41"/>
      <c r="E30" s="49"/>
      <c r="F30" s="41"/>
      <c r="G30" s="41"/>
      <c r="H30" s="41"/>
      <c r="I30" s="41"/>
      <c r="J30" s="41"/>
      <c r="K30" s="41"/>
      <c r="L30" s="41"/>
      <c r="M30" s="11"/>
    </row>
    <row r="31" spans="2:14" ht="33.75" customHeight="1">
      <c r="B31" s="41"/>
      <c r="C31" s="208" t="s">
        <v>40</v>
      </c>
      <c r="D31" s="208"/>
      <c r="E31" s="218">
        <v>81</v>
      </c>
      <c r="F31" s="265" t="s">
        <v>155</v>
      </c>
      <c r="G31" s="265"/>
      <c r="H31" s="265"/>
      <c r="I31" s="265"/>
      <c r="J31" s="265"/>
      <c r="K31" s="265"/>
      <c r="L31" s="265"/>
      <c r="M31" s="39"/>
      <c r="N31" s="30"/>
    </row>
    <row r="32" spans="2:14">
      <c r="B32" s="41"/>
      <c r="C32" s="41"/>
      <c r="D32" s="41"/>
      <c r="E32" s="49"/>
      <c r="F32" s="41"/>
      <c r="G32" s="41"/>
      <c r="H32" s="41"/>
      <c r="I32" s="41"/>
      <c r="J32" s="41"/>
      <c r="K32" s="41"/>
      <c r="L32" s="41"/>
      <c r="M32" s="11"/>
    </row>
    <row r="33" spans="2:14" ht="51" customHeight="1">
      <c r="B33" s="41"/>
      <c r="C33" s="267" t="s">
        <v>41</v>
      </c>
      <c r="D33" s="267"/>
      <c r="E33" s="218">
        <v>154</v>
      </c>
      <c r="F33" s="265" t="s">
        <v>156</v>
      </c>
      <c r="G33" s="265"/>
      <c r="H33" s="265"/>
      <c r="I33" s="265"/>
      <c r="J33" s="265"/>
      <c r="K33" s="265"/>
      <c r="L33" s="265"/>
      <c r="M33" s="39"/>
      <c r="N33" s="30"/>
    </row>
    <row r="34" spans="2:14">
      <c r="B34" s="41"/>
      <c r="C34" s="41"/>
      <c r="D34" s="41"/>
      <c r="E34" s="45"/>
      <c r="F34" s="41"/>
      <c r="G34" s="41"/>
      <c r="H34" s="41"/>
      <c r="I34" s="41"/>
      <c r="J34" s="41"/>
      <c r="K34" s="41"/>
      <c r="L34" s="41"/>
      <c r="M34" s="11"/>
    </row>
    <row r="35" spans="2:14">
      <c r="B35" s="41"/>
      <c r="C35" s="41"/>
      <c r="D35" s="41"/>
      <c r="E35" s="45"/>
      <c r="F35" s="41"/>
      <c r="G35" s="41"/>
      <c r="H35" s="41"/>
      <c r="I35" s="41"/>
      <c r="J35" s="41"/>
      <c r="K35" s="41"/>
      <c r="L35" s="41"/>
      <c r="M35" s="11"/>
    </row>
    <row r="36" spans="2:14">
      <c r="B36" s="41"/>
      <c r="C36" s="41"/>
      <c r="D36" s="41"/>
      <c r="E36" s="45"/>
      <c r="F36" s="41"/>
      <c r="G36" s="41"/>
      <c r="H36" s="41"/>
      <c r="I36" s="41"/>
      <c r="J36" s="41"/>
      <c r="K36" s="41"/>
      <c r="L36" s="41"/>
      <c r="M36" s="11"/>
    </row>
    <row r="37" spans="2:14">
      <c r="B37" s="41"/>
      <c r="C37" s="41"/>
      <c r="D37" s="41"/>
      <c r="E37" s="45"/>
      <c r="F37" s="41"/>
      <c r="G37" s="41"/>
      <c r="H37" s="41"/>
      <c r="I37" s="41"/>
      <c r="J37" s="41"/>
      <c r="K37" s="41"/>
      <c r="L37" s="41"/>
      <c r="M37" s="11"/>
    </row>
    <row r="38" spans="2:14">
      <c r="B38" s="41"/>
      <c r="C38" s="41"/>
      <c r="D38" s="41"/>
      <c r="E38" s="45"/>
      <c r="F38" s="41"/>
      <c r="G38" s="41"/>
      <c r="H38" s="41"/>
      <c r="I38" s="41"/>
      <c r="J38" s="41"/>
      <c r="K38" s="41"/>
      <c r="L38" s="41"/>
      <c r="M38" s="11"/>
    </row>
    <row r="39" spans="2:14">
      <c r="B39" s="41"/>
      <c r="C39" s="41"/>
      <c r="D39" s="41"/>
      <c r="E39" s="45"/>
      <c r="F39" s="41"/>
      <c r="G39" s="41"/>
      <c r="H39" s="41"/>
      <c r="I39" s="41"/>
      <c r="J39" s="41"/>
      <c r="K39" s="41"/>
      <c r="L39" s="41"/>
      <c r="M39" s="11"/>
    </row>
    <row r="40" spans="2:14">
      <c r="B40" s="41"/>
      <c r="C40" s="41"/>
      <c r="D40" s="41"/>
      <c r="E40" s="45"/>
      <c r="F40" s="41"/>
      <c r="G40" s="41"/>
      <c r="H40" s="41"/>
      <c r="I40" s="41"/>
      <c r="J40" s="41"/>
      <c r="K40" s="41"/>
      <c r="L40" s="41"/>
      <c r="M40" s="11"/>
    </row>
    <row r="41" spans="2:14">
      <c r="B41" s="11"/>
      <c r="C41" s="11"/>
      <c r="D41" s="11"/>
      <c r="E41" s="26"/>
      <c r="F41" s="11"/>
      <c r="G41" s="11"/>
      <c r="H41" s="11"/>
      <c r="I41" s="11"/>
      <c r="J41" s="11"/>
      <c r="K41" s="11"/>
      <c r="L41" s="11"/>
      <c r="M41" s="11"/>
    </row>
    <row r="42" spans="2:14">
      <c r="B42" s="11"/>
      <c r="C42" s="11"/>
      <c r="D42" s="11"/>
      <c r="E42" s="26"/>
      <c r="F42" s="11"/>
      <c r="G42" s="11"/>
      <c r="H42" s="11"/>
      <c r="I42" s="11"/>
      <c r="J42" s="11"/>
      <c r="K42" s="266"/>
      <c r="L42" s="266"/>
      <c r="M42" s="11"/>
    </row>
    <row r="43" spans="2:14">
      <c r="B43" s="11"/>
      <c r="C43" s="11"/>
      <c r="D43" s="11"/>
      <c r="E43" s="26"/>
      <c r="F43" s="11"/>
      <c r="G43" s="11"/>
      <c r="H43" s="11"/>
      <c r="I43" s="11"/>
      <c r="J43" s="11"/>
      <c r="K43" s="11"/>
      <c r="L43" s="11"/>
      <c r="M43" s="11"/>
    </row>
    <row r="44" spans="2:14" hidden="1">
      <c r="B44" s="11"/>
      <c r="C44" s="11"/>
      <c r="D44" s="11"/>
      <c r="E44" s="26"/>
      <c r="F44" s="11"/>
      <c r="G44" s="11"/>
      <c r="H44" s="11"/>
      <c r="I44" s="11"/>
      <c r="J44" s="11"/>
      <c r="K44" s="11"/>
      <c r="L44" s="11"/>
      <c r="M44" s="11"/>
    </row>
  </sheetData>
  <mergeCells count="23">
    <mergeCell ref="C33:D33"/>
    <mergeCell ref="F23:L23"/>
    <mergeCell ref="F6:I6"/>
    <mergeCell ref="B1:M1"/>
    <mergeCell ref="B3:M3"/>
    <mergeCell ref="F25:L25"/>
    <mergeCell ref="F27:L27"/>
    <mergeCell ref="F8:L9"/>
    <mergeCell ref="C8:D8"/>
    <mergeCell ref="C19:D19"/>
    <mergeCell ref="F19:L19"/>
    <mergeCell ref="C16:D16"/>
    <mergeCell ref="C13:D13"/>
    <mergeCell ref="C14:D14"/>
    <mergeCell ref="F5:I5"/>
    <mergeCell ref="F11:L11"/>
    <mergeCell ref="F13:L14"/>
    <mergeCell ref="F16:L17"/>
    <mergeCell ref="K42:L42"/>
    <mergeCell ref="F21:L21"/>
    <mergeCell ref="F29:L29"/>
    <mergeCell ref="F31:L31"/>
    <mergeCell ref="F33:L33"/>
  </mergeCells>
  <phoneticPr fontId="0" type="noConversion"/>
  <pageMargins left="0.75" right="0.75" top="1" bottom="0.75" header="0.3" footer="0.3"/>
  <pageSetup scale="64" orientation="portrait" r:id="rId1"/>
  <headerFooter alignWithMargins="0">
    <oddHeader>&amp;C&amp;G</oddHeader>
    <oddFooter>&amp;REUS0027V04</oddFooter>
  </headerFooter>
  <legacyDrawingHF r:id="rId2"/>
</worksheet>
</file>

<file path=xl/worksheets/sheet6.xml><?xml version="1.0" encoding="utf-8"?>
<worksheet xmlns="http://schemas.openxmlformats.org/spreadsheetml/2006/main" xmlns:r="http://schemas.openxmlformats.org/officeDocument/2006/relationships">
  <sheetPr codeName="Sheet6"/>
  <dimension ref="A1:K42"/>
  <sheetViews>
    <sheetView zoomScalePageLayoutView="77" workbookViewId="0">
      <selection activeCell="C18" sqref="C18:J18"/>
    </sheetView>
  </sheetViews>
  <sheetFormatPr defaultColWidth="0" defaultRowHeight="12.75" zeroHeight="1"/>
  <cols>
    <col min="1" max="2" width="2.625" style="5" customWidth="1"/>
    <col min="3" max="3" width="10.75" style="5" customWidth="1"/>
    <col min="4" max="4" width="19" style="5" customWidth="1"/>
    <col min="5" max="5" width="16.375" style="6" customWidth="1"/>
    <col min="6" max="6" width="15.75" style="5" customWidth="1"/>
    <col min="7" max="11" width="10.75" style="5" customWidth="1"/>
    <col min="12" max="16384" width="10.75" style="5" hidden="1"/>
  </cols>
  <sheetData>
    <row r="1" spans="2:11" ht="24" customHeight="1">
      <c r="B1" s="12"/>
      <c r="C1" s="269" t="s">
        <v>136</v>
      </c>
      <c r="D1" s="269"/>
      <c r="E1" s="269"/>
      <c r="F1" s="269"/>
      <c r="G1" s="269"/>
      <c r="H1" s="269"/>
      <c r="I1" s="269"/>
      <c r="J1" s="269"/>
      <c r="K1" s="55"/>
    </row>
    <row r="2" spans="2:11" ht="25.5" customHeight="1">
      <c r="B2" s="7"/>
      <c r="C2" s="7"/>
      <c r="D2" s="7"/>
      <c r="E2" s="8"/>
      <c r="F2" s="14"/>
      <c r="G2" s="14"/>
      <c r="H2" s="14"/>
      <c r="I2" s="14"/>
      <c r="J2" s="7"/>
      <c r="K2" s="7"/>
    </row>
    <row r="3" spans="2:11" ht="25.5" customHeight="1">
      <c r="B3" s="11"/>
      <c r="C3" s="285" t="s">
        <v>142</v>
      </c>
      <c r="D3" s="285"/>
      <c r="E3" s="285"/>
      <c r="F3" s="285"/>
      <c r="G3" s="285"/>
      <c r="H3" s="285"/>
      <c r="I3" s="285"/>
      <c r="J3" s="285"/>
      <c r="K3" s="11"/>
    </row>
    <row r="4" spans="2:11" ht="25.5" customHeight="1">
      <c r="B4" s="11"/>
      <c r="C4" s="11"/>
      <c r="D4" s="11"/>
      <c r="E4" s="8"/>
      <c r="F4" s="40"/>
      <c r="G4" s="40"/>
      <c r="H4" s="40"/>
      <c r="I4" s="40"/>
      <c r="J4" s="11"/>
      <c r="K4" s="11"/>
    </row>
    <row r="5" spans="2:11" ht="15">
      <c r="B5" s="11"/>
      <c r="C5" s="280" t="s">
        <v>7</v>
      </c>
      <c r="D5" s="280"/>
      <c r="E5" s="280"/>
      <c r="F5" s="280"/>
      <c r="G5" s="280"/>
      <c r="H5" s="280"/>
      <c r="I5" s="280"/>
      <c r="J5" s="280"/>
      <c r="K5" s="7"/>
    </row>
    <row r="6" spans="2:11" ht="13.5" thickBot="1">
      <c r="B6" s="11"/>
      <c r="C6" s="11"/>
      <c r="D6" s="11"/>
      <c r="E6" s="8"/>
      <c r="F6" s="40"/>
      <c r="G6" s="281" t="s">
        <v>33</v>
      </c>
      <c r="H6" s="281"/>
      <c r="I6" s="281" t="s">
        <v>34</v>
      </c>
      <c r="J6" s="281"/>
      <c r="K6" s="7"/>
    </row>
    <row r="7" spans="2:11" ht="39" thickBot="1">
      <c r="B7" s="11"/>
      <c r="C7" s="57" t="s">
        <v>32</v>
      </c>
      <c r="D7" s="282" t="s">
        <v>2</v>
      </c>
      <c r="E7" s="282"/>
      <c r="F7" s="282"/>
      <c r="G7" s="58" t="s">
        <v>12</v>
      </c>
      <c r="H7" s="59" t="s">
        <v>4</v>
      </c>
      <c r="I7" s="59" t="s">
        <v>5</v>
      </c>
      <c r="J7" s="60" t="s">
        <v>6</v>
      </c>
      <c r="K7" s="7"/>
    </row>
    <row r="8" spans="2:11" ht="13.5" thickBot="1">
      <c r="B8" s="11"/>
      <c r="C8" s="273" t="s">
        <v>3</v>
      </c>
      <c r="D8" s="274"/>
      <c r="E8" s="274"/>
      <c r="F8" s="274"/>
      <c r="G8" s="274"/>
      <c r="H8" s="274"/>
      <c r="I8" s="274"/>
      <c r="J8" s="275"/>
      <c r="K8" s="7"/>
    </row>
    <row r="9" spans="2:11" ht="36" customHeight="1">
      <c r="B9" s="11"/>
      <c r="C9" s="9">
        <v>43232</v>
      </c>
      <c r="D9" s="276" t="s">
        <v>120</v>
      </c>
      <c r="E9" s="276"/>
      <c r="F9" s="276"/>
      <c r="G9" s="219">
        <v>264</v>
      </c>
      <c r="H9" s="219">
        <v>264</v>
      </c>
      <c r="I9" s="219">
        <v>927</v>
      </c>
      <c r="J9" s="220">
        <v>520</v>
      </c>
      <c r="K9" s="7"/>
    </row>
    <row r="10" spans="2:11" ht="52.5" customHeight="1">
      <c r="B10" s="11"/>
      <c r="C10" s="9">
        <v>43238</v>
      </c>
      <c r="D10" s="276" t="s">
        <v>119</v>
      </c>
      <c r="E10" s="276"/>
      <c r="F10" s="276"/>
      <c r="G10" s="219">
        <v>295</v>
      </c>
      <c r="H10" s="219">
        <v>295</v>
      </c>
      <c r="I10" s="219">
        <v>927</v>
      </c>
      <c r="J10" s="220">
        <v>520</v>
      </c>
      <c r="K10" s="7"/>
    </row>
    <row r="11" spans="2:11" ht="66.75" customHeight="1" thickBot="1">
      <c r="B11" s="11"/>
      <c r="C11" s="9">
        <v>43242</v>
      </c>
      <c r="D11" s="276" t="s">
        <v>24</v>
      </c>
      <c r="E11" s="276"/>
      <c r="F11" s="276"/>
      <c r="G11" s="219">
        <v>428</v>
      </c>
      <c r="H11" s="219">
        <v>428</v>
      </c>
      <c r="I11" s="219">
        <v>927</v>
      </c>
      <c r="J11" s="220">
        <v>520</v>
      </c>
      <c r="K11" s="7"/>
    </row>
    <row r="12" spans="2:11" ht="13.5" thickBot="1">
      <c r="B12" s="11"/>
      <c r="C12" s="277" t="s">
        <v>8</v>
      </c>
      <c r="D12" s="278"/>
      <c r="E12" s="278"/>
      <c r="F12" s="278"/>
      <c r="G12" s="278"/>
      <c r="H12" s="278"/>
      <c r="I12" s="278"/>
      <c r="J12" s="279"/>
      <c r="K12" s="7"/>
    </row>
    <row r="13" spans="2:11" ht="34.5" customHeight="1">
      <c r="B13" s="11"/>
      <c r="C13" s="9">
        <v>45342</v>
      </c>
      <c r="D13" s="276" t="s">
        <v>9</v>
      </c>
      <c r="E13" s="276"/>
      <c r="F13" s="276"/>
      <c r="G13" s="219">
        <v>243</v>
      </c>
      <c r="H13" s="221">
        <v>243</v>
      </c>
      <c r="I13" s="221">
        <v>716</v>
      </c>
      <c r="J13" s="222">
        <v>402</v>
      </c>
      <c r="K13" s="7"/>
    </row>
    <row r="14" spans="2:11" ht="33" customHeight="1">
      <c r="B14" s="11"/>
      <c r="C14" s="9">
        <v>45392</v>
      </c>
      <c r="D14" s="276" t="s">
        <v>10</v>
      </c>
      <c r="E14" s="276"/>
      <c r="F14" s="276"/>
      <c r="G14" s="220">
        <v>384</v>
      </c>
      <c r="H14" s="222">
        <v>384</v>
      </c>
      <c r="I14" s="222">
        <v>691</v>
      </c>
      <c r="J14" s="222">
        <v>308</v>
      </c>
      <c r="K14" s="7"/>
    </row>
    <row r="15" spans="2:11">
      <c r="B15" s="11"/>
      <c r="C15" s="283" t="s">
        <v>139</v>
      </c>
      <c r="D15" s="283"/>
      <c r="E15" s="283"/>
      <c r="F15" s="283"/>
      <c r="G15" s="283"/>
      <c r="H15" s="283"/>
      <c r="I15" s="283"/>
      <c r="J15" s="283"/>
      <c r="K15" s="7"/>
    </row>
    <row r="16" spans="2:11" ht="6" customHeight="1">
      <c r="B16" s="11"/>
      <c r="C16" s="11"/>
      <c r="D16" s="11"/>
      <c r="E16" s="26"/>
      <c r="F16" s="11"/>
      <c r="G16" s="11"/>
      <c r="H16" s="11"/>
      <c r="I16" s="11"/>
      <c r="J16" s="11"/>
      <c r="K16" s="7"/>
    </row>
    <row r="17" spans="2:11" ht="15" customHeight="1">
      <c r="B17" s="11"/>
      <c r="C17" s="284" t="s">
        <v>11</v>
      </c>
      <c r="D17" s="284"/>
      <c r="E17" s="284"/>
      <c r="F17" s="284"/>
      <c r="G17" s="284"/>
      <c r="H17" s="284"/>
      <c r="I17" s="284"/>
      <c r="J17" s="284"/>
      <c r="K17" s="7"/>
    </row>
    <row r="18" spans="2:11" ht="25.5" customHeight="1">
      <c r="B18" s="11"/>
      <c r="C18" s="265" t="s">
        <v>13</v>
      </c>
      <c r="D18" s="265"/>
      <c r="E18" s="265"/>
      <c r="F18" s="265"/>
      <c r="G18" s="265"/>
      <c r="H18" s="265"/>
      <c r="I18" s="265"/>
      <c r="J18" s="265"/>
      <c r="K18" s="7"/>
    </row>
    <row r="19" spans="2:11" ht="10.5" customHeight="1">
      <c r="B19" s="11"/>
      <c r="C19" s="186"/>
      <c r="D19" s="186"/>
      <c r="E19" s="186"/>
      <c r="F19" s="186"/>
      <c r="G19" s="186"/>
      <c r="H19" s="186"/>
      <c r="I19" s="186"/>
      <c r="J19" s="186"/>
      <c r="K19" s="7"/>
    </row>
    <row r="20" spans="2:11" ht="30" customHeight="1">
      <c r="B20" s="11"/>
      <c r="C20" s="265" t="s">
        <v>157</v>
      </c>
      <c r="D20" s="265"/>
      <c r="E20" s="265"/>
      <c r="F20" s="265"/>
      <c r="G20" s="265"/>
      <c r="H20" s="265"/>
      <c r="I20" s="265"/>
      <c r="J20" s="186"/>
      <c r="K20" s="7"/>
    </row>
    <row r="21" spans="2:11" ht="81" customHeight="1">
      <c r="B21" s="11"/>
      <c r="C21" s="287" t="s">
        <v>158</v>
      </c>
      <c r="D21" s="287"/>
      <c r="E21" s="287"/>
      <c r="F21" s="287"/>
      <c r="G21" s="287"/>
      <c r="H21" s="287"/>
      <c r="I21" s="287"/>
      <c r="J21" s="287"/>
      <c r="K21" s="7"/>
    </row>
    <row r="22" spans="2:11" ht="117.75" customHeight="1">
      <c r="B22" s="11"/>
      <c r="C22" s="286" t="s">
        <v>110</v>
      </c>
      <c r="D22" s="286"/>
      <c r="E22" s="286"/>
      <c r="F22" s="286"/>
      <c r="G22" s="286"/>
      <c r="H22" s="286"/>
      <c r="I22" s="286"/>
      <c r="J22" s="286"/>
      <c r="K22" s="7"/>
    </row>
    <row r="23" spans="2:11">
      <c r="B23" s="11"/>
      <c r="C23" s="11"/>
      <c r="D23" s="11"/>
      <c r="E23" s="26"/>
      <c r="F23" s="11"/>
      <c r="G23" s="11"/>
      <c r="H23" s="11"/>
      <c r="I23" s="11"/>
      <c r="J23" s="11"/>
      <c r="K23" s="7"/>
    </row>
    <row r="24" spans="2:11">
      <c r="B24" s="11"/>
      <c r="C24" s="11"/>
      <c r="D24" s="11"/>
      <c r="E24" s="26"/>
      <c r="F24" s="11"/>
      <c r="G24" s="11"/>
      <c r="H24" s="11"/>
      <c r="I24" s="11"/>
      <c r="J24" s="11"/>
      <c r="K24" s="7"/>
    </row>
    <row r="25" spans="2:11">
      <c r="B25" s="11"/>
      <c r="C25" s="11"/>
      <c r="D25" s="11"/>
      <c r="E25" s="26"/>
      <c r="F25" s="11"/>
      <c r="G25" s="11"/>
      <c r="H25" s="11"/>
      <c r="I25" s="11"/>
      <c r="J25" s="11"/>
      <c r="K25" s="7"/>
    </row>
    <row r="26" spans="2:11">
      <c r="B26" s="11"/>
      <c r="C26" s="11"/>
      <c r="D26" s="11"/>
      <c r="E26" s="26"/>
      <c r="F26" s="11"/>
      <c r="G26" s="11"/>
      <c r="H26" s="11"/>
      <c r="I26" s="11"/>
      <c r="J26" s="11"/>
      <c r="K26" s="7"/>
    </row>
    <row r="27" spans="2:11">
      <c r="B27" s="11"/>
      <c r="C27" s="11"/>
      <c r="D27" s="11"/>
      <c r="E27" s="26"/>
      <c r="F27" s="11"/>
      <c r="G27" s="11"/>
      <c r="H27" s="11"/>
      <c r="I27" s="11"/>
      <c r="J27" s="11"/>
      <c r="K27" s="7"/>
    </row>
    <row r="28" spans="2:11">
      <c r="B28" s="11"/>
      <c r="C28" s="11"/>
      <c r="D28" s="11"/>
      <c r="E28" s="26"/>
      <c r="F28" s="11"/>
      <c r="G28" s="11"/>
      <c r="H28" s="11"/>
      <c r="I28" s="11"/>
      <c r="J28" s="11"/>
      <c r="K28" s="7"/>
    </row>
    <row r="29" spans="2:11">
      <c r="B29" s="11"/>
      <c r="C29" s="11"/>
      <c r="D29" s="11"/>
      <c r="E29" s="26"/>
      <c r="F29" s="11"/>
      <c r="G29" s="11"/>
      <c r="H29" s="11"/>
      <c r="I29" s="11"/>
      <c r="J29" s="11"/>
      <c r="K29" s="7"/>
    </row>
    <row r="30" spans="2:11">
      <c r="B30" s="11"/>
      <c r="C30" s="11"/>
      <c r="D30" s="11"/>
      <c r="E30" s="26"/>
      <c r="F30" s="11"/>
      <c r="G30" s="11"/>
      <c r="H30" s="11"/>
      <c r="I30" s="11"/>
      <c r="J30" s="11"/>
      <c r="K30" s="7"/>
    </row>
    <row r="31" spans="2:11">
      <c r="B31" s="11"/>
      <c r="C31" s="11"/>
      <c r="D31" s="11"/>
      <c r="E31" s="26"/>
      <c r="F31" s="11"/>
      <c r="G31" s="11"/>
      <c r="H31" s="11"/>
      <c r="I31" s="11"/>
      <c r="J31" s="11"/>
      <c r="K31" s="7"/>
    </row>
    <row r="32" spans="2:11">
      <c r="B32" s="11"/>
      <c r="C32" s="11"/>
      <c r="D32" s="11"/>
      <c r="E32" s="26"/>
      <c r="F32" s="11"/>
      <c r="G32" s="11"/>
      <c r="H32" s="11"/>
      <c r="I32" s="11"/>
      <c r="J32" s="11"/>
    </row>
    <row r="33" spans="2:10">
      <c r="B33" s="11"/>
      <c r="C33" s="11"/>
      <c r="D33" s="11"/>
      <c r="E33" s="26"/>
      <c r="F33" s="11"/>
      <c r="G33" s="11"/>
      <c r="H33" s="11"/>
      <c r="I33" s="11"/>
      <c r="J33" s="11"/>
    </row>
    <row r="34" spans="2:10">
      <c r="B34" s="11"/>
      <c r="C34" s="11"/>
      <c r="D34" s="11"/>
      <c r="E34" s="26"/>
      <c r="F34" s="11"/>
      <c r="G34" s="11"/>
      <c r="H34" s="11"/>
      <c r="I34" s="11"/>
      <c r="J34" s="11"/>
    </row>
    <row r="35" spans="2:10">
      <c r="B35" s="11"/>
      <c r="C35" s="11"/>
      <c r="D35" s="11"/>
      <c r="E35" s="26"/>
      <c r="F35" s="11"/>
      <c r="G35" s="11"/>
      <c r="H35" s="11"/>
      <c r="I35" s="11"/>
      <c r="J35" s="11"/>
    </row>
    <row r="36" spans="2:10">
      <c r="B36" s="11"/>
      <c r="C36" s="11"/>
      <c r="D36" s="11"/>
      <c r="E36" s="26"/>
      <c r="F36" s="11"/>
      <c r="G36" s="11"/>
      <c r="H36" s="11"/>
      <c r="I36" s="11"/>
      <c r="J36" s="11"/>
    </row>
    <row r="37" spans="2:10">
      <c r="B37" s="11"/>
      <c r="C37" s="11"/>
      <c r="D37" s="11"/>
      <c r="E37" s="26"/>
      <c r="F37" s="11"/>
      <c r="G37" s="11"/>
      <c r="H37" s="11"/>
      <c r="I37" s="11"/>
      <c r="J37" s="11"/>
    </row>
    <row r="38" spans="2:10">
      <c r="B38" s="11"/>
      <c r="C38" s="11"/>
      <c r="D38" s="11"/>
      <c r="E38" s="26"/>
      <c r="F38" s="11"/>
      <c r="G38" s="11"/>
      <c r="H38" s="11"/>
      <c r="I38" s="11"/>
      <c r="J38" s="11"/>
    </row>
    <row r="39" spans="2:10">
      <c r="B39" s="11"/>
      <c r="C39" s="11"/>
      <c r="D39" s="11"/>
      <c r="E39" s="26"/>
      <c r="F39" s="11"/>
      <c r="G39" s="11"/>
      <c r="H39" s="11"/>
      <c r="I39" s="266"/>
      <c r="J39" s="266"/>
    </row>
    <row r="40" spans="2:10">
      <c r="B40" s="7"/>
      <c r="C40" s="7"/>
      <c r="D40" s="7"/>
      <c r="E40" s="10"/>
      <c r="F40" s="7"/>
      <c r="G40" s="7"/>
      <c r="H40" s="7"/>
      <c r="I40" s="7"/>
      <c r="J40" s="7"/>
    </row>
    <row r="41" spans="2:10" hidden="1">
      <c r="B41" s="7"/>
      <c r="C41" s="7"/>
      <c r="D41" s="7"/>
      <c r="E41" s="10"/>
      <c r="F41" s="7"/>
      <c r="G41" s="7"/>
      <c r="H41" s="7"/>
      <c r="I41" s="7"/>
      <c r="J41" s="7"/>
    </row>
    <row r="42" spans="2:10" hidden="1">
      <c r="B42" s="7"/>
      <c r="C42" s="7"/>
      <c r="D42" s="7"/>
      <c r="E42" s="10"/>
      <c r="F42" s="7"/>
      <c r="G42" s="7"/>
      <c r="H42" s="7"/>
      <c r="I42" s="7"/>
      <c r="J42" s="7"/>
    </row>
  </sheetData>
  <mergeCells count="20">
    <mergeCell ref="C15:J15"/>
    <mergeCell ref="C17:J17"/>
    <mergeCell ref="C18:J18"/>
    <mergeCell ref="C3:J3"/>
    <mergeCell ref="I39:J39"/>
    <mergeCell ref="D13:F13"/>
    <mergeCell ref="C22:J22"/>
    <mergeCell ref="C21:J21"/>
    <mergeCell ref="C20:I20"/>
    <mergeCell ref="D14:F14"/>
    <mergeCell ref="C1:J1"/>
    <mergeCell ref="C8:J8"/>
    <mergeCell ref="D9:F9"/>
    <mergeCell ref="D10:F10"/>
    <mergeCell ref="C12:J12"/>
    <mergeCell ref="C5:J5"/>
    <mergeCell ref="G6:H6"/>
    <mergeCell ref="I6:J6"/>
    <mergeCell ref="D7:F7"/>
    <mergeCell ref="D11:F11"/>
  </mergeCells>
  <phoneticPr fontId="18" type="noConversion"/>
  <pageMargins left="0.75" right="0.75" top="1" bottom="0.75" header="0.3" footer="0.3"/>
  <pageSetup scale="71" orientation="portrait" r:id="rId1"/>
  <headerFooter alignWithMargins="0">
    <oddHeader>&amp;C&amp;G</oddHeader>
    <oddFooter>&amp;REUS0027V04</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Cover Letter</vt:lpstr>
      <vt:lpstr>Introduction</vt:lpstr>
      <vt:lpstr>Input</vt:lpstr>
      <vt:lpstr>Results</vt:lpstr>
      <vt:lpstr>Assumptions</vt:lpstr>
      <vt:lpstr>Reimbursements</vt:lpstr>
      <vt:lpstr>Assumptions!Print_Area</vt:lpstr>
      <vt:lpstr>'Cover Letter'!Print_Area</vt:lpstr>
      <vt:lpstr>Input!Print_Area</vt:lpstr>
      <vt:lpstr>Introduction!Print_Area</vt:lpstr>
      <vt:lpstr>Reimbursements!Print_Area</vt:lpstr>
      <vt:lpstr>Results!Print_Area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Swarna Desai User</dc:creator>
  <cp:lastModifiedBy>Samantha Zeigler</cp:lastModifiedBy>
  <cp:lastPrinted>2013-03-25T17:35:43Z</cp:lastPrinted>
  <dcterms:created xsi:type="dcterms:W3CDTF">2008-12-12T17:03:41Z</dcterms:created>
  <dcterms:modified xsi:type="dcterms:W3CDTF">2013-03-25T17:42:48Z</dcterms:modified>
</cp:coreProperties>
</file>